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D:\progict1\Dashboards\Excel\projict1\"/>
    </mc:Choice>
  </mc:AlternateContent>
  <xr:revisionPtr revIDLastSave="0" documentId="13_ncr:1_{1BC45005-D7FE-47B7-9ADD-E94712716C35}" xr6:coauthVersionLast="36" xr6:coauthVersionMax="36" xr10:uidLastSave="{00000000-0000-0000-0000-000000000000}"/>
  <bookViews>
    <workbookView xWindow="0" yWindow="0" windowWidth="28800" windowHeight="12105" xr2:uid="{974A25E7-6611-47FD-A294-E5166973D718}"/>
  </bookViews>
  <sheets>
    <sheet name="Dashboard" sheetId="3" r:id="rId1"/>
    <sheet name="Table" sheetId="4" r:id="rId2"/>
    <sheet name="Pivot Table" sheetId="2" r:id="rId3"/>
    <sheet name="Work File (2)" sheetId="1" r:id="rId4"/>
  </sheets>
  <definedNames>
    <definedName name="_xlchart.v5.0" hidden="1">'Pivot Table'!$A$20</definedName>
    <definedName name="_xlchart.v5.1" hidden="1">'Pivot Table'!$A$21:$A$60</definedName>
    <definedName name="_xlchart.v5.2" hidden="1">'Pivot Table'!$B$20</definedName>
    <definedName name="_xlchart.v5.3" hidden="1">'Pivot Table'!$B$21:$B$60</definedName>
    <definedName name="Slicer_Category">#N/A</definedName>
    <definedName name="Slicer_month_name">#N/A</definedName>
    <definedName name="Slicer_State">#N/A</definedName>
    <definedName name="Slicer_year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5" i="2" l="1"/>
  <c r="K2" i="3" s="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3" i="3"/>
  <c r="N3" i="3"/>
  <c r="M2" i="4" l="1"/>
  <c r="P1001" i="1"/>
  <c r="P1000" i="1"/>
  <c r="P999" i="1"/>
  <c r="P998" i="1"/>
  <c r="P997" i="1"/>
  <c r="P996" i="1"/>
  <c r="P995" i="1"/>
  <c r="P994" i="1"/>
  <c r="P993" i="1"/>
  <c r="P992" i="1"/>
  <c r="P991" i="1"/>
  <c r="P990" i="1"/>
  <c r="P989" i="1"/>
  <c r="P988" i="1"/>
  <c r="P987" i="1"/>
  <c r="P986" i="1"/>
  <c r="P985" i="1"/>
  <c r="P984" i="1"/>
  <c r="P983" i="1"/>
  <c r="P982" i="1"/>
  <c r="P981" i="1"/>
  <c r="P980" i="1"/>
  <c r="P979" i="1"/>
  <c r="P978" i="1"/>
  <c r="P977" i="1"/>
  <c r="P976" i="1"/>
  <c r="P975" i="1"/>
  <c r="P974" i="1"/>
  <c r="P973" i="1"/>
  <c r="P972" i="1"/>
  <c r="P971" i="1"/>
  <c r="P970" i="1"/>
  <c r="P969" i="1"/>
  <c r="P968" i="1"/>
  <c r="P967" i="1"/>
  <c r="P966" i="1"/>
  <c r="P965" i="1"/>
  <c r="P964" i="1"/>
  <c r="P963" i="1"/>
  <c r="P962" i="1"/>
  <c r="P961" i="1"/>
  <c r="P960" i="1"/>
  <c r="P959" i="1"/>
  <c r="P958" i="1"/>
  <c r="P957" i="1"/>
  <c r="P956" i="1"/>
  <c r="P955" i="1"/>
  <c r="P954" i="1"/>
  <c r="P953" i="1"/>
  <c r="P952" i="1"/>
  <c r="P951" i="1"/>
  <c r="P950" i="1"/>
  <c r="P949" i="1"/>
  <c r="P948" i="1"/>
  <c r="P947" i="1"/>
  <c r="P946" i="1"/>
  <c r="P945" i="1"/>
  <c r="P944" i="1"/>
  <c r="P943" i="1"/>
  <c r="P942" i="1"/>
  <c r="P941" i="1"/>
  <c r="P940" i="1"/>
  <c r="P939" i="1"/>
  <c r="P938" i="1"/>
  <c r="P937" i="1"/>
  <c r="P936" i="1"/>
  <c r="P935" i="1"/>
  <c r="P934" i="1"/>
  <c r="P933" i="1"/>
  <c r="P932" i="1"/>
  <c r="P931" i="1"/>
  <c r="P930" i="1"/>
  <c r="P929" i="1"/>
  <c r="P928" i="1"/>
  <c r="P927" i="1"/>
  <c r="P926" i="1"/>
  <c r="P925" i="1"/>
  <c r="P924" i="1"/>
  <c r="P923" i="1"/>
  <c r="P922" i="1"/>
  <c r="P921" i="1"/>
  <c r="P920" i="1"/>
  <c r="P919" i="1"/>
  <c r="P918" i="1"/>
  <c r="P917" i="1"/>
  <c r="P916" i="1"/>
  <c r="P915" i="1"/>
  <c r="P914" i="1"/>
  <c r="P913" i="1"/>
  <c r="P912" i="1"/>
  <c r="P911" i="1"/>
  <c r="P910" i="1"/>
  <c r="P909" i="1"/>
  <c r="P908" i="1"/>
  <c r="P907" i="1"/>
  <c r="P906" i="1"/>
  <c r="P905" i="1"/>
  <c r="P904" i="1"/>
  <c r="P903" i="1"/>
  <c r="P902" i="1"/>
  <c r="P901" i="1"/>
  <c r="P900" i="1"/>
  <c r="P899" i="1"/>
  <c r="P898" i="1"/>
  <c r="P897" i="1"/>
  <c r="P896" i="1"/>
  <c r="P895" i="1"/>
  <c r="P894" i="1"/>
  <c r="P893" i="1"/>
  <c r="P892" i="1"/>
  <c r="P891" i="1"/>
  <c r="P890" i="1"/>
  <c r="P889" i="1"/>
  <c r="P888" i="1"/>
  <c r="P887" i="1"/>
  <c r="P886" i="1"/>
  <c r="P885" i="1"/>
  <c r="P884" i="1"/>
  <c r="P883" i="1"/>
  <c r="P882" i="1"/>
  <c r="P881" i="1"/>
  <c r="P880" i="1"/>
  <c r="P879" i="1"/>
  <c r="P878" i="1"/>
  <c r="P877" i="1"/>
  <c r="P876" i="1"/>
  <c r="P875" i="1"/>
  <c r="P874" i="1"/>
  <c r="P873" i="1"/>
  <c r="P872" i="1"/>
  <c r="P871" i="1"/>
  <c r="P870" i="1"/>
  <c r="P869" i="1"/>
  <c r="P868" i="1"/>
  <c r="P867" i="1"/>
  <c r="P866" i="1"/>
  <c r="P865" i="1"/>
  <c r="P864" i="1"/>
  <c r="P863" i="1"/>
  <c r="P862" i="1"/>
  <c r="P861" i="1"/>
  <c r="P860" i="1"/>
  <c r="P859" i="1"/>
  <c r="P858" i="1"/>
  <c r="P857" i="1"/>
  <c r="P856" i="1"/>
  <c r="P855" i="1"/>
  <c r="P854" i="1"/>
  <c r="P853" i="1"/>
  <c r="P852" i="1"/>
  <c r="P851" i="1"/>
  <c r="P850" i="1"/>
  <c r="P849" i="1"/>
  <c r="P848" i="1"/>
  <c r="P847" i="1"/>
  <c r="P846" i="1"/>
  <c r="P845" i="1"/>
  <c r="P844" i="1"/>
  <c r="P843" i="1"/>
  <c r="P842" i="1"/>
  <c r="P841" i="1"/>
  <c r="P840" i="1"/>
  <c r="P839" i="1"/>
  <c r="P838" i="1"/>
  <c r="P837" i="1"/>
  <c r="P836" i="1"/>
  <c r="P835" i="1"/>
  <c r="P834" i="1"/>
  <c r="P833" i="1"/>
  <c r="P832" i="1"/>
  <c r="P831" i="1"/>
  <c r="P830" i="1"/>
  <c r="P829" i="1"/>
  <c r="P828" i="1"/>
  <c r="P827" i="1"/>
  <c r="P826" i="1"/>
  <c r="P825" i="1"/>
  <c r="P824" i="1"/>
  <c r="P823" i="1"/>
  <c r="P822" i="1"/>
  <c r="P821" i="1"/>
  <c r="P820" i="1"/>
  <c r="P819" i="1"/>
  <c r="P818" i="1"/>
  <c r="P817" i="1"/>
  <c r="P816" i="1"/>
  <c r="P815" i="1"/>
  <c r="P814" i="1"/>
  <c r="P813" i="1"/>
  <c r="P812" i="1"/>
  <c r="P811" i="1"/>
  <c r="P810" i="1"/>
  <c r="P809" i="1"/>
  <c r="P808" i="1"/>
  <c r="P807" i="1"/>
  <c r="P806" i="1"/>
  <c r="P805" i="1"/>
  <c r="P804" i="1"/>
  <c r="P803" i="1"/>
  <c r="P802" i="1"/>
  <c r="P801" i="1"/>
  <c r="P800" i="1"/>
  <c r="P799" i="1"/>
  <c r="P798" i="1"/>
  <c r="P797" i="1"/>
  <c r="P796" i="1"/>
  <c r="P795" i="1"/>
  <c r="P794" i="1"/>
  <c r="P793" i="1"/>
  <c r="P792" i="1"/>
  <c r="P791" i="1"/>
  <c r="P790" i="1"/>
  <c r="P789" i="1"/>
  <c r="P788" i="1"/>
  <c r="P787" i="1"/>
  <c r="P786" i="1"/>
  <c r="P785" i="1"/>
  <c r="P784" i="1"/>
  <c r="P783" i="1"/>
  <c r="P782" i="1"/>
  <c r="P781" i="1"/>
  <c r="P780" i="1"/>
  <c r="P779" i="1"/>
  <c r="P778" i="1"/>
  <c r="P777" i="1"/>
  <c r="P776" i="1"/>
  <c r="P775" i="1"/>
  <c r="P774" i="1"/>
  <c r="P773" i="1"/>
  <c r="P772" i="1"/>
  <c r="P771" i="1"/>
  <c r="P770" i="1"/>
  <c r="P769" i="1"/>
  <c r="P768" i="1"/>
  <c r="P767" i="1"/>
  <c r="P766" i="1"/>
  <c r="P765" i="1"/>
  <c r="P764" i="1"/>
  <c r="P763" i="1"/>
  <c r="P762" i="1"/>
  <c r="P761" i="1"/>
  <c r="P760" i="1"/>
  <c r="P759" i="1"/>
  <c r="P758" i="1"/>
  <c r="P757" i="1"/>
  <c r="P756" i="1"/>
  <c r="P755" i="1"/>
  <c r="P754" i="1"/>
  <c r="P753" i="1"/>
  <c r="P752" i="1"/>
  <c r="P751" i="1"/>
  <c r="P750" i="1"/>
  <c r="P749" i="1"/>
  <c r="P748" i="1"/>
  <c r="P747" i="1"/>
  <c r="P746" i="1"/>
  <c r="P745" i="1"/>
  <c r="P744" i="1"/>
  <c r="P743" i="1"/>
  <c r="P742" i="1"/>
  <c r="P741" i="1"/>
  <c r="P740" i="1"/>
  <c r="P739" i="1"/>
  <c r="P738" i="1"/>
  <c r="P737" i="1"/>
  <c r="P736" i="1"/>
  <c r="P735" i="1"/>
  <c r="P734" i="1"/>
  <c r="P733" i="1"/>
  <c r="P732" i="1"/>
  <c r="P731" i="1"/>
  <c r="P730" i="1"/>
  <c r="P729" i="1"/>
  <c r="P728" i="1"/>
  <c r="P727" i="1"/>
  <c r="P726" i="1"/>
  <c r="P725" i="1"/>
  <c r="P724" i="1"/>
  <c r="P723" i="1"/>
  <c r="P722" i="1"/>
  <c r="P721" i="1"/>
  <c r="P720" i="1"/>
  <c r="P719" i="1"/>
  <c r="P718" i="1"/>
  <c r="P717" i="1"/>
  <c r="P716" i="1"/>
  <c r="P715" i="1"/>
  <c r="P714" i="1"/>
  <c r="P713" i="1"/>
  <c r="P712" i="1"/>
  <c r="P711" i="1"/>
  <c r="P710" i="1"/>
  <c r="P709" i="1"/>
  <c r="P708" i="1"/>
  <c r="P707" i="1"/>
  <c r="P706" i="1"/>
  <c r="P705" i="1"/>
  <c r="P704" i="1"/>
  <c r="P703" i="1"/>
  <c r="P702" i="1"/>
  <c r="P701" i="1"/>
  <c r="P700" i="1"/>
  <c r="P699" i="1"/>
  <c r="P698" i="1"/>
  <c r="P697" i="1"/>
  <c r="P696" i="1"/>
  <c r="P695" i="1"/>
  <c r="P694" i="1"/>
  <c r="P693" i="1"/>
  <c r="P692" i="1"/>
  <c r="P691" i="1"/>
  <c r="P690" i="1"/>
  <c r="P689" i="1"/>
  <c r="P688" i="1"/>
  <c r="P687" i="1"/>
  <c r="P686" i="1"/>
  <c r="P685" i="1"/>
  <c r="P684" i="1"/>
  <c r="P683" i="1"/>
  <c r="P682" i="1"/>
  <c r="P681" i="1"/>
  <c r="P680" i="1"/>
  <c r="P679" i="1"/>
  <c r="P678" i="1"/>
  <c r="P677" i="1"/>
  <c r="P676" i="1"/>
  <c r="P675" i="1"/>
  <c r="P674" i="1"/>
  <c r="P673" i="1"/>
  <c r="P672" i="1"/>
  <c r="P671" i="1"/>
  <c r="P670" i="1"/>
  <c r="P669" i="1"/>
  <c r="P668" i="1"/>
  <c r="P667" i="1"/>
  <c r="P666" i="1"/>
  <c r="P665" i="1"/>
  <c r="P664" i="1"/>
  <c r="P663" i="1"/>
  <c r="P662" i="1"/>
  <c r="P661" i="1"/>
  <c r="P660" i="1"/>
  <c r="P659" i="1"/>
  <c r="P658" i="1"/>
  <c r="P657" i="1"/>
  <c r="P656" i="1"/>
  <c r="P655" i="1"/>
  <c r="P654" i="1"/>
  <c r="P653" i="1"/>
  <c r="P652" i="1"/>
  <c r="P651" i="1"/>
  <c r="P650" i="1"/>
  <c r="P649" i="1"/>
  <c r="P648" i="1"/>
  <c r="P647" i="1"/>
  <c r="P646" i="1"/>
  <c r="P645" i="1"/>
  <c r="P644" i="1"/>
  <c r="P643" i="1"/>
  <c r="P642" i="1"/>
  <c r="P641" i="1"/>
  <c r="P640" i="1"/>
  <c r="P639" i="1"/>
  <c r="P638" i="1"/>
  <c r="P637" i="1"/>
  <c r="P636" i="1"/>
  <c r="P635" i="1"/>
  <c r="P634" i="1"/>
  <c r="P633" i="1"/>
  <c r="P632" i="1"/>
  <c r="P631" i="1"/>
  <c r="P630" i="1"/>
  <c r="P629" i="1"/>
  <c r="P628" i="1"/>
  <c r="P627" i="1"/>
  <c r="P626" i="1"/>
  <c r="P625" i="1"/>
  <c r="P624" i="1"/>
  <c r="P623" i="1"/>
  <c r="P622" i="1"/>
  <c r="P621" i="1"/>
  <c r="P620" i="1"/>
  <c r="P619" i="1"/>
  <c r="P618" i="1"/>
  <c r="P617" i="1"/>
  <c r="P616" i="1"/>
  <c r="P615" i="1"/>
  <c r="P614" i="1"/>
  <c r="P613" i="1"/>
  <c r="P612" i="1"/>
  <c r="P611" i="1"/>
  <c r="P610" i="1"/>
  <c r="P609" i="1"/>
  <c r="P608" i="1"/>
  <c r="P607" i="1"/>
  <c r="P606" i="1"/>
  <c r="P605" i="1"/>
  <c r="P604" i="1"/>
  <c r="P603" i="1"/>
  <c r="P602" i="1"/>
  <c r="P601" i="1"/>
  <c r="P600" i="1"/>
  <c r="P599" i="1"/>
  <c r="P598" i="1"/>
  <c r="P597" i="1"/>
  <c r="P596" i="1"/>
  <c r="P595" i="1"/>
  <c r="P594" i="1"/>
  <c r="P593" i="1"/>
  <c r="P592" i="1"/>
  <c r="P591" i="1"/>
  <c r="P590" i="1"/>
  <c r="P589" i="1"/>
  <c r="P588" i="1"/>
  <c r="P587" i="1"/>
  <c r="P586" i="1"/>
  <c r="P585" i="1"/>
  <c r="P584" i="1"/>
  <c r="P583" i="1"/>
  <c r="P582" i="1"/>
  <c r="P581" i="1"/>
  <c r="P580" i="1"/>
  <c r="P579" i="1"/>
  <c r="P578" i="1"/>
  <c r="P577" i="1"/>
  <c r="P576" i="1"/>
  <c r="P575" i="1"/>
  <c r="P574" i="1"/>
  <c r="P573" i="1"/>
  <c r="P572" i="1"/>
  <c r="P571" i="1"/>
  <c r="P570" i="1"/>
  <c r="P569" i="1"/>
  <c r="P568" i="1"/>
  <c r="P567" i="1"/>
  <c r="P566" i="1"/>
  <c r="P565" i="1"/>
  <c r="P564" i="1"/>
  <c r="P563" i="1"/>
  <c r="P562" i="1"/>
  <c r="P561" i="1"/>
  <c r="P560" i="1"/>
  <c r="P559" i="1"/>
  <c r="P558" i="1"/>
  <c r="P557" i="1"/>
  <c r="P556" i="1"/>
  <c r="P555" i="1"/>
  <c r="P554" i="1"/>
  <c r="P553" i="1"/>
  <c r="P552" i="1"/>
  <c r="P551" i="1"/>
  <c r="P550" i="1"/>
  <c r="P549" i="1"/>
  <c r="P548" i="1"/>
  <c r="P547" i="1"/>
  <c r="P546" i="1"/>
  <c r="P545" i="1"/>
  <c r="P544" i="1"/>
  <c r="P543" i="1"/>
  <c r="P542" i="1"/>
  <c r="P541" i="1"/>
  <c r="P540" i="1"/>
  <c r="P539" i="1"/>
  <c r="P538" i="1"/>
  <c r="P537" i="1"/>
  <c r="P536" i="1"/>
  <c r="P535" i="1"/>
  <c r="P534" i="1"/>
  <c r="P533" i="1"/>
  <c r="P532" i="1"/>
  <c r="P531" i="1"/>
  <c r="P530" i="1"/>
  <c r="P529" i="1"/>
  <c r="P528" i="1"/>
  <c r="P527" i="1"/>
  <c r="P526" i="1"/>
  <c r="P525" i="1"/>
  <c r="P524" i="1"/>
  <c r="P523" i="1"/>
  <c r="P522" i="1"/>
  <c r="P521" i="1"/>
  <c r="P520" i="1"/>
  <c r="P519" i="1"/>
  <c r="P518" i="1"/>
  <c r="P517" i="1"/>
  <c r="P516" i="1"/>
  <c r="P515" i="1"/>
  <c r="P514" i="1"/>
  <c r="P513" i="1"/>
  <c r="P512" i="1"/>
  <c r="P511" i="1"/>
  <c r="P510" i="1"/>
  <c r="P509" i="1"/>
  <c r="P508" i="1"/>
  <c r="P507" i="1"/>
  <c r="P506" i="1"/>
  <c r="P505" i="1"/>
  <c r="P504" i="1"/>
  <c r="P503" i="1"/>
  <c r="P502" i="1"/>
  <c r="P501" i="1"/>
  <c r="P500" i="1"/>
  <c r="P499" i="1"/>
  <c r="P498" i="1"/>
  <c r="P497" i="1"/>
  <c r="P496" i="1"/>
  <c r="P495" i="1"/>
  <c r="P494" i="1"/>
  <c r="P493" i="1"/>
  <c r="P492" i="1"/>
  <c r="P491" i="1"/>
  <c r="P490" i="1"/>
  <c r="P489" i="1"/>
  <c r="P488" i="1"/>
  <c r="P487" i="1"/>
  <c r="P486" i="1"/>
  <c r="P485" i="1"/>
  <c r="P484" i="1"/>
  <c r="P483" i="1"/>
  <c r="P482" i="1"/>
  <c r="P481" i="1"/>
  <c r="P480" i="1"/>
  <c r="P479" i="1"/>
  <c r="P478" i="1"/>
  <c r="P477" i="1"/>
  <c r="P476" i="1"/>
  <c r="P475" i="1"/>
  <c r="P474" i="1"/>
  <c r="P473" i="1"/>
  <c r="P472" i="1"/>
  <c r="P471" i="1"/>
  <c r="P470" i="1"/>
  <c r="P469" i="1"/>
  <c r="P468" i="1"/>
  <c r="P467" i="1"/>
  <c r="P466" i="1"/>
  <c r="P465" i="1"/>
  <c r="P464" i="1"/>
  <c r="P463" i="1"/>
  <c r="P462" i="1"/>
  <c r="P461" i="1"/>
  <c r="P460" i="1"/>
  <c r="P459" i="1"/>
  <c r="P458" i="1"/>
  <c r="P457" i="1"/>
  <c r="P456" i="1"/>
  <c r="P455" i="1"/>
  <c r="P454" i="1"/>
  <c r="P453" i="1"/>
  <c r="P452" i="1"/>
  <c r="P451" i="1"/>
  <c r="P450" i="1"/>
  <c r="P449" i="1"/>
  <c r="P448" i="1"/>
  <c r="P447" i="1"/>
  <c r="P446" i="1"/>
  <c r="P445" i="1"/>
  <c r="P444" i="1"/>
  <c r="P443" i="1"/>
  <c r="P442" i="1"/>
  <c r="P441" i="1"/>
  <c r="P440" i="1"/>
  <c r="P439" i="1"/>
  <c r="P438" i="1"/>
  <c r="P437" i="1"/>
  <c r="P436" i="1"/>
  <c r="P435" i="1"/>
  <c r="P434" i="1"/>
  <c r="P433" i="1"/>
  <c r="P432" i="1"/>
  <c r="P431" i="1"/>
  <c r="P430" i="1"/>
  <c r="P429" i="1"/>
  <c r="P428" i="1"/>
  <c r="P427" i="1"/>
  <c r="P426" i="1"/>
  <c r="P425" i="1"/>
  <c r="P424" i="1"/>
  <c r="P423" i="1"/>
  <c r="P422" i="1"/>
  <c r="P421" i="1"/>
  <c r="P420" i="1"/>
  <c r="P419" i="1"/>
  <c r="P418" i="1"/>
  <c r="P417" i="1"/>
  <c r="P416" i="1"/>
  <c r="P415" i="1"/>
  <c r="P414" i="1"/>
  <c r="P413" i="1"/>
  <c r="P412" i="1"/>
  <c r="P411" i="1"/>
  <c r="P410" i="1"/>
  <c r="P409" i="1"/>
  <c r="P408" i="1"/>
  <c r="P407" i="1"/>
  <c r="P406" i="1"/>
  <c r="P405" i="1"/>
  <c r="P404" i="1"/>
  <c r="P403" i="1"/>
  <c r="P402" i="1"/>
  <c r="P401" i="1"/>
  <c r="P400" i="1"/>
  <c r="P399" i="1"/>
  <c r="P398" i="1"/>
  <c r="P397" i="1"/>
  <c r="P396" i="1"/>
  <c r="P395" i="1"/>
  <c r="P394" i="1"/>
  <c r="P393" i="1"/>
  <c r="P392" i="1"/>
  <c r="P391" i="1"/>
  <c r="P390" i="1"/>
  <c r="P389" i="1"/>
  <c r="P388" i="1"/>
  <c r="P387" i="1"/>
  <c r="P386" i="1"/>
  <c r="P385" i="1"/>
  <c r="P384" i="1"/>
  <c r="P383" i="1"/>
  <c r="P382" i="1"/>
  <c r="P381" i="1"/>
  <c r="P380" i="1"/>
  <c r="P379" i="1"/>
  <c r="P378" i="1"/>
  <c r="P377" i="1"/>
  <c r="P376" i="1"/>
  <c r="P375" i="1"/>
  <c r="P374" i="1"/>
  <c r="P373" i="1"/>
  <c r="P372" i="1"/>
  <c r="P371" i="1"/>
  <c r="P370" i="1"/>
  <c r="P369" i="1"/>
  <c r="P368" i="1"/>
  <c r="P367" i="1"/>
  <c r="P366" i="1"/>
  <c r="P365" i="1"/>
  <c r="P364" i="1"/>
  <c r="P363" i="1"/>
  <c r="P362" i="1"/>
  <c r="P361" i="1"/>
  <c r="P360" i="1"/>
  <c r="P359" i="1"/>
  <c r="P358" i="1"/>
  <c r="P357" i="1"/>
  <c r="P356" i="1"/>
  <c r="P355" i="1"/>
  <c r="P354" i="1"/>
  <c r="P353" i="1"/>
  <c r="P352" i="1"/>
  <c r="P351" i="1"/>
  <c r="P350" i="1"/>
  <c r="P349" i="1"/>
  <c r="P348" i="1"/>
  <c r="P347" i="1"/>
  <c r="P346" i="1"/>
  <c r="P345" i="1"/>
  <c r="P344" i="1"/>
  <c r="P343" i="1"/>
  <c r="P342" i="1"/>
  <c r="P341" i="1"/>
  <c r="P340" i="1"/>
  <c r="P339" i="1"/>
  <c r="P338" i="1"/>
  <c r="P337" i="1"/>
  <c r="P336" i="1"/>
  <c r="P335" i="1"/>
  <c r="P334" i="1"/>
  <c r="P333" i="1"/>
  <c r="P332" i="1"/>
  <c r="P331" i="1"/>
  <c r="P330" i="1"/>
  <c r="P329" i="1"/>
  <c r="P328" i="1"/>
  <c r="P327" i="1"/>
  <c r="P326" i="1"/>
  <c r="P325" i="1"/>
  <c r="P324" i="1"/>
  <c r="P323" i="1"/>
  <c r="P322" i="1"/>
  <c r="P321" i="1"/>
  <c r="P320" i="1"/>
  <c r="P319" i="1"/>
  <c r="P318" i="1"/>
  <c r="P317" i="1"/>
  <c r="P316" i="1"/>
  <c r="P315" i="1"/>
  <c r="P314" i="1"/>
  <c r="P313" i="1"/>
  <c r="P312" i="1"/>
  <c r="P311" i="1"/>
  <c r="P310" i="1"/>
  <c r="P309" i="1"/>
  <c r="P308" i="1"/>
  <c r="P307" i="1"/>
  <c r="P306" i="1"/>
  <c r="P305" i="1"/>
  <c r="P304" i="1"/>
  <c r="P303" i="1"/>
  <c r="P302" i="1"/>
  <c r="P301" i="1"/>
  <c r="P300" i="1"/>
  <c r="P299" i="1"/>
  <c r="P298" i="1"/>
  <c r="P297" i="1"/>
  <c r="P296" i="1"/>
  <c r="P295" i="1"/>
  <c r="P294" i="1"/>
  <c r="P293" i="1"/>
  <c r="P292" i="1"/>
  <c r="P291" i="1"/>
  <c r="P290" i="1"/>
  <c r="P289" i="1"/>
  <c r="P288" i="1"/>
  <c r="P287" i="1"/>
  <c r="P286" i="1"/>
  <c r="P285" i="1"/>
  <c r="P284" i="1"/>
  <c r="P283" i="1"/>
  <c r="P282" i="1"/>
  <c r="P281" i="1"/>
  <c r="P280" i="1"/>
  <c r="P279" i="1"/>
  <c r="P278" i="1"/>
  <c r="P277" i="1"/>
  <c r="P276" i="1"/>
  <c r="P275" i="1"/>
  <c r="P274" i="1"/>
  <c r="P273" i="1"/>
  <c r="P272" i="1"/>
  <c r="P271" i="1"/>
  <c r="P270" i="1"/>
  <c r="P269" i="1"/>
  <c r="P268" i="1"/>
  <c r="P267" i="1"/>
  <c r="P266" i="1"/>
  <c r="P265" i="1"/>
  <c r="P264" i="1"/>
  <c r="P263" i="1"/>
  <c r="P262" i="1"/>
  <c r="P261" i="1"/>
  <c r="P260" i="1"/>
  <c r="P259" i="1"/>
  <c r="P258" i="1"/>
  <c r="P257" i="1"/>
  <c r="P256" i="1"/>
  <c r="P255" i="1"/>
  <c r="P254" i="1"/>
  <c r="P253" i="1"/>
  <c r="P252" i="1"/>
  <c r="P251" i="1"/>
  <c r="P250" i="1"/>
  <c r="P249" i="1"/>
  <c r="P248" i="1"/>
  <c r="P247" i="1"/>
  <c r="P246" i="1"/>
  <c r="P245" i="1"/>
  <c r="P244" i="1"/>
  <c r="P243" i="1"/>
  <c r="P242" i="1"/>
  <c r="P241" i="1"/>
  <c r="P240" i="1"/>
  <c r="P239" i="1"/>
  <c r="P238" i="1"/>
  <c r="P237" i="1"/>
  <c r="P236" i="1"/>
  <c r="P235" i="1"/>
  <c r="P234" i="1"/>
  <c r="P233" i="1"/>
  <c r="P232" i="1"/>
  <c r="P231" i="1"/>
  <c r="P230" i="1"/>
  <c r="P229" i="1"/>
  <c r="P228" i="1"/>
  <c r="P227" i="1"/>
  <c r="P226" i="1"/>
  <c r="P225" i="1"/>
  <c r="P224" i="1"/>
  <c r="P223" i="1"/>
  <c r="P222" i="1"/>
  <c r="P221" i="1"/>
  <c r="P220" i="1"/>
  <c r="P219" i="1"/>
  <c r="P218" i="1"/>
  <c r="P217" i="1"/>
  <c r="P216" i="1"/>
  <c r="P215" i="1"/>
  <c r="P214" i="1"/>
  <c r="P213" i="1"/>
  <c r="P212" i="1"/>
  <c r="P211" i="1"/>
  <c r="P210" i="1"/>
  <c r="P209" i="1"/>
  <c r="P208" i="1"/>
  <c r="P207" i="1"/>
  <c r="P206" i="1"/>
  <c r="P205" i="1"/>
  <c r="P204" i="1"/>
  <c r="P203" i="1"/>
  <c r="P202" i="1"/>
  <c r="P201" i="1"/>
  <c r="P200" i="1"/>
  <c r="P199" i="1"/>
  <c r="P198" i="1"/>
  <c r="P197" i="1"/>
  <c r="P196" i="1"/>
  <c r="P195" i="1"/>
  <c r="P194" i="1"/>
  <c r="P193" i="1"/>
  <c r="P192" i="1"/>
  <c r="P191" i="1"/>
  <c r="P190" i="1"/>
  <c r="P189" i="1"/>
  <c r="P188" i="1"/>
  <c r="P187" i="1"/>
  <c r="P186" i="1"/>
  <c r="P185" i="1"/>
  <c r="P184" i="1"/>
  <c r="P183" i="1"/>
  <c r="P182" i="1"/>
  <c r="P181" i="1"/>
  <c r="P180" i="1"/>
  <c r="P179" i="1"/>
  <c r="P178" i="1"/>
  <c r="P177" i="1"/>
  <c r="P176" i="1"/>
  <c r="P175" i="1"/>
  <c r="P174" i="1"/>
  <c r="P173" i="1"/>
  <c r="P172" i="1"/>
  <c r="P171" i="1"/>
  <c r="P170" i="1"/>
  <c r="P169" i="1"/>
  <c r="P168" i="1"/>
  <c r="P167" i="1"/>
  <c r="P166" i="1"/>
  <c r="P165" i="1"/>
  <c r="P164" i="1"/>
  <c r="P163" i="1"/>
  <c r="P162" i="1"/>
  <c r="P161" i="1"/>
  <c r="P160" i="1"/>
  <c r="P159" i="1"/>
  <c r="P158" i="1"/>
  <c r="P157" i="1"/>
  <c r="P156" i="1"/>
  <c r="P155" i="1"/>
  <c r="P154" i="1"/>
  <c r="P153" i="1"/>
  <c r="P152" i="1"/>
  <c r="P151" i="1"/>
  <c r="P150" i="1"/>
  <c r="P149" i="1"/>
  <c r="P148" i="1"/>
  <c r="P147" i="1"/>
  <c r="P146" i="1"/>
  <c r="P145" i="1"/>
  <c r="P144" i="1"/>
  <c r="P143" i="1"/>
  <c r="P142" i="1"/>
  <c r="P141" i="1"/>
  <c r="P140" i="1"/>
  <c r="P139" i="1"/>
  <c r="P138" i="1"/>
  <c r="P137" i="1"/>
  <c r="P136" i="1"/>
  <c r="P135" i="1"/>
  <c r="P134" i="1"/>
  <c r="P133" i="1"/>
  <c r="P132" i="1"/>
  <c r="P131" i="1"/>
  <c r="P130" i="1"/>
  <c r="P129" i="1"/>
  <c r="P128" i="1"/>
  <c r="P127" i="1"/>
  <c r="P126" i="1"/>
  <c r="P125" i="1"/>
  <c r="P124" i="1"/>
  <c r="P123" i="1"/>
  <c r="P122" i="1"/>
  <c r="P121" i="1"/>
  <c r="P120" i="1"/>
  <c r="P119" i="1"/>
  <c r="P118" i="1"/>
  <c r="P117" i="1"/>
  <c r="P116" i="1"/>
  <c r="P115" i="1"/>
  <c r="P114" i="1"/>
  <c r="P113" i="1"/>
  <c r="P112" i="1"/>
  <c r="P111" i="1"/>
  <c r="P110" i="1"/>
  <c r="P109" i="1"/>
  <c r="P108" i="1"/>
  <c r="P107" i="1"/>
  <c r="P106" i="1"/>
  <c r="P105" i="1"/>
  <c r="P104" i="1"/>
  <c r="P103" i="1"/>
  <c r="P102" i="1"/>
  <c r="P101" i="1"/>
  <c r="P100" i="1"/>
  <c r="P99" i="1"/>
  <c r="P98" i="1"/>
  <c r="P97" i="1"/>
  <c r="P96" i="1"/>
  <c r="P95" i="1"/>
  <c r="P94" i="1"/>
  <c r="P93" i="1"/>
  <c r="P92" i="1"/>
  <c r="P91" i="1"/>
  <c r="P90" i="1"/>
  <c r="P89" i="1"/>
  <c r="P88" i="1"/>
  <c r="P87" i="1"/>
  <c r="P86" i="1"/>
  <c r="P85" i="1"/>
  <c r="P84" i="1"/>
  <c r="P83" i="1"/>
  <c r="P82" i="1"/>
  <c r="P81" i="1"/>
  <c r="P80" i="1"/>
  <c r="P79" i="1"/>
  <c r="P78" i="1"/>
  <c r="P77" i="1"/>
  <c r="P76" i="1"/>
  <c r="P75" i="1"/>
  <c r="P74" i="1"/>
  <c r="P73" i="1"/>
  <c r="P72" i="1"/>
  <c r="P71" i="1"/>
  <c r="P70" i="1"/>
  <c r="P69" i="1"/>
  <c r="P68" i="1"/>
  <c r="P67" i="1"/>
  <c r="P66" i="1"/>
  <c r="P65" i="1"/>
  <c r="P64" i="1"/>
  <c r="P63" i="1"/>
  <c r="P62" i="1"/>
  <c r="P61" i="1"/>
  <c r="P60" i="1"/>
  <c r="P59" i="1"/>
  <c r="P58" i="1"/>
  <c r="P57" i="1"/>
  <c r="P56" i="1"/>
  <c r="P55" i="1"/>
  <c r="P54" i="1"/>
  <c r="P53" i="1"/>
  <c r="P52" i="1"/>
  <c r="P51" i="1"/>
  <c r="P50" i="1"/>
  <c r="P49" i="1"/>
  <c r="P48" i="1"/>
  <c r="P47" i="1"/>
  <c r="P46" i="1"/>
  <c r="P45" i="1"/>
  <c r="P44" i="1"/>
  <c r="P43" i="1"/>
  <c r="P42" i="1"/>
  <c r="P41" i="1"/>
  <c r="P40" i="1"/>
  <c r="P39" i="1"/>
  <c r="P38" i="1"/>
  <c r="P37" i="1"/>
  <c r="P36" i="1"/>
  <c r="P35" i="1"/>
  <c r="P34" i="1"/>
  <c r="P33" i="1"/>
  <c r="P32" i="1"/>
  <c r="P31" i="1"/>
  <c r="P30" i="1"/>
  <c r="P29" i="1"/>
  <c r="P28" i="1"/>
  <c r="P27" i="1"/>
  <c r="P26" i="1"/>
  <c r="P25" i="1"/>
  <c r="P24" i="1"/>
  <c r="P23" i="1"/>
  <c r="P22" i="1"/>
  <c r="P21" i="1"/>
  <c r="P20" i="1"/>
  <c r="P19" i="1"/>
  <c r="P18" i="1"/>
  <c r="P17" i="1"/>
  <c r="P16" i="1"/>
  <c r="P15" i="1"/>
  <c r="P14" i="1"/>
  <c r="P13" i="1"/>
  <c r="P12" i="1"/>
  <c r="P11" i="1"/>
  <c r="P10" i="1"/>
  <c r="P9" i="1"/>
  <c r="P8" i="1"/>
  <c r="P7" i="1"/>
  <c r="P6" i="1"/>
  <c r="P5" i="1"/>
  <c r="P4" i="1"/>
  <c r="P3" i="1"/>
  <c r="P2" i="1"/>
</calcChain>
</file>

<file path=xl/sharedStrings.xml><?xml version="1.0" encoding="utf-8"?>
<sst xmlns="http://schemas.openxmlformats.org/spreadsheetml/2006/main" count="9224" uniqueCount="1875">
  <si>
    <t>Row ID</t>
  </si>
  <si>
    <t>Order ID</t>
  </si>
  <si>
    <t>Order Date</t>
  </si>
  <si>
    <t>Ship Mode</t>
  </si>
  <si>
    <t>Customer Name</t>
  </si>
  <si>
    <t>City</t>
  </si>
  <si>
    <t>State</t>
  </si>
  <si>
    <t>Region</t>
  </si>
  <si>
    <t>Category</t>
  </si>
  <si>
    <t>Sub-Category</t>
  </si>
  <si>
    <t>Product Name</t>
  </si>
  <si>
    <t>Sales</t>
  </si>
  <si>
    <t>Quantity</t>
  </si>
  <si>
    <t>Discount</t>
  </si>
  <si>
    <t>Profit</t>
  </si>
  <si>
    <t>Amount</t>
  </si>
  <si>
    <t>CA-2018-152156</t>
  </si>
  <si>
    <t>Second Class</t>
  </si>
  <si>
    <t>Claire Gute</t>
  </si>
  <si>
    <t>Henderson</t>
  </si>
  <si>
    <t>Kentucky</t>
  </si>
  <si>
    <t>South</t>
  </si>
  <si>
    <t>Furniture</t>
  </si>
  <si>
    <t>Bookcases</t>
  </si>
  <si>
    <t>Bush Somerset Collection Bookcase</t>
  </si>
  <si>
    <t>Chairs</t>
  </si>
  <si>
    <t>Hon Deluxe Fabric Upholstered Stacking Chairs, Rounded Back</t>
  </si>
  <si>
    <t>CA-2018-138688</t>
  </si>
  <si>
    <t>Darrin Van Huff</t>
  </si>
  <si>
    <t>Los Angeles</t>
  </si>
  <si>
    <t>California</t>
  </si>
  <si>
    <t>West</t>
  </si>
  <si>
    <t>Office Supplies</t>
  </si>
  <si>
    <t>Labels</t>
  </si>
  <si>
    <t>Self-Adhesive Address Labels for Typewriters by Universal</t>
  </si>
  <si>
    <t>US-2017-108966</t>
  </si>
  <si>
    <t>Standard Class</t>
  </si>
  <si>
    <t>Sean O'Donnell</t>
  </si>
  <si>
    <t>Fort Lauderdale</t>
  </si>
  <si>
    <t>Florida</t>
  </si>
  <si>
    <t>Tables</t>
  </si>
  <si>
    <t>Bretford CR4500 Series Slim Rectangular Table</t>
  </si>
  <si>
    <t>Storage</t>
  </si>
  <si>
    <t>Eldon Fold 'N Roll Cart System</t>
  </si>
  <si>
    <t>CA-2016-115812</t>
  </si>
  <si>
    <t>Brosina Hoffman</t>
  </si>
  <si>
    <t>Furnishings</t>
  </si>
  <si>
    <t>Eldon Expressions Wood and Plastic Desk Accessories, Cherry Wood</t>
  </si>
  <si>
    <t>Art</t>
  </si>
  <si>
    <t>Newell 322</t>
  </si>
  <si>
    <t>Technology</t>
  </si>
  <si>
    <t>Phones</t>
  </si>
  <si>
    <t>Mitel 5320 IP Phone VoIP phone</t>
  </si>
  <si>
    <t>Binders</t>
  </si>
  <si>
    <t>DXL Angle-View Binders with Locking Rings by Samsill</t>
  </si>
  <si>
    <t>Appliances</t>
  </si>
  <si>
    <t>Belkin F5C206VTEL 6 Outlet Surge</t>
  </si>
  <si>
    <t>Chromcraft Rectangular Conference Tables</t>
  </si>
  <si>
    <t>Konftel 250 Conference phone - Charcoal black</t>
  </si>
  <si>
    <t>CA-2019-114412</t>
  </si>
  <si>
    <t>Andrew Allen</t>
  </si>
  <si>
    <t>Concord</t>
  </si>
  <si>
    <t>North Carolina</t>
  </si>
  <si>
    <t>Paper</t>
  </si>
  <si>
    <t>Xerox 1967</t>
  </si>
  <si>
    <t>CA-2018-161389</t>
  </si>
  <si>
    <t>Irene Maddox</t>
  </si>
  <si>
    <t>Seattle</t>
  </si>
  <si>
    <t>Washington</t>
  </si>
  <si>
    <t>Fellowes PB200 Plastic Comb Binding Machine</t>
  </si>
  <si>
    <t>US-2017-118983</t>
  </si>
  <si>
    <t>Harold Pawlan</t>
  </si>
  <si>
    <t>Fort Worth</t>
  </si>
  <si>
    <t>Texas</t>
  </si>
  <si>
    <t>Central</t>
  </si>
  <si>
    <t>Holmes Replacement Filter for HEPA Air Cleaner, Very Large Room, HEPA Filter</t>
  </si>
  <si>
    <t>Storex DuraTech Recycled Plastic Frosted Binders</t>
  </si>
  <si>
    <t>CA-2016-105893</t>
  </si>
  <si>
    <t>Pete Kriz</t>
  </si>
  <si>
    <t>Madison</t>
  </si>
  <si>
    <t>Wisconsin</t>
  </si>
  <si>
    <t>Stur-D-Stor Shelving, Vertical 5-Shelf: 72"H x 36"W x 18 1/2"D</t>
  </si>
  <si>
    <t>CA-2016-167164</t>
  </si>
  <si>
    <t>Alejandro Grove</t>
  </si>
  <si>
    <t>West Jordan</t>
  </si>
  <si>
    <t>Utah</t>
  </si>
  <si>
    <t>Fellowes Super Stor/Drawer</t>
  </si>
  <si>
    <t>CA-2016-143336</t>
  </si>
  <si>
    <t>Zuschuss Donatelli</t>
  </si>
  <si>
    <t>San Francisco</t>
  </si>
  <si>
    <t>Newell 341</t>
  </si>
  <si>
    <t>Cisco SPA 501G IP Phone</t>
  </si>
  <si>
    <t>Wilson Jones Hanging View Binder, White, 1"</t>
  </si>
  <si>
    <t>CA-2018-137330</t>
  </si>
  <si>
    <t>Ken Black</t>
  </si>
  <si>
    <t>Fremont</t>
  </si>
  <si>
    <t>Nebraska</t>
  </si>
  <si>
    <t>Newell 318</t>
  </si>
  <si>
    <t>Acco Six-Outlet Power Strip, 4' Cord Length</t>
  </si>
  <si>
    <t>US-2019-156909</t>
  </si>
  <si>
    <t>Sandra Flanagan</t>
  </si>
  <si>
    <t>Philadelphia</t>
  </si>
  <si>
    <t>Pennsylvania</t>
  </si>
  <si>
    <t>East</t>
  </si>
  <si>
    <t>Global Deluxe Stacking Chair, Gray</t>
  </si>
  <si>
    <t>CA-2017-106320</t>
  </si>
  <si>
    <t>Emily Burns</t>
  </si>
  <si>
    <t>Orem</t>
  </si>
  <si>
    <t>CA-2018-121755</t>
  </si>
  <si>
    <t>Eric Hoffmann</t>
  </si>
  <si>
    <t>Wilson Jones Active Use Binders</t>
  </si>
  <si>
    <t>Accessories</t>
  </si>
  <si>
    <t>Imation 8GB Mini TravelDrive USB 2.0 Flash Drive</t>
  </si>
  <si>
    <t>US-2017-150630</t>
  </si>
  <si>
    <t>Tracy Blumstein</t>
  </si>
  <si>
    <t>Riverside Palais Royal Lawyers Bookcase, Royale Cherry Finish</t>
  </si>
  <si>
    <t>Avery Recycled Flexi-View Covers for Binding Systems</t>
  </si>
  <si>
    <t>Howard Miller 13-3/4" Diameter Brushed Chrome Round Wall Clock</t>
  </si>
  <si>
    <t>Envelopes</t>
  </si>
  <si>
    <t>Poly String Tie Envelopes</t>
  </si>
  <si>
    <t>BOSTON Model 1800 Electric Pencil Sharpeners, Putty/Woodgrain</t>
  </si>
  <si>
    <t>Acco Pressboard Covers with Storage Hooks, 14 7/8" x 11", Executive Red</t>
  </si>
  <si>
    <t>Lumber Crayons</t>
  </si>
  <si>
    <t>CA-2019-107727</t>
  </si>
  <si>
    <t>Matt Abelman</t>
  </si>
  <si>
    <t>Houston</t>
  </si>
  <si>
    <t>Easy-staple paper</t>
  </si>
  <si>
    <t>CA-2018-117590</t>
  </si>
  <si>
    <t>First Class</t>
  </si>
  <si>
    <t>Gene Hale</t>
  </si>
  <si>
    <t>Richardson</t>
  </si>
  <si>
    <t>GE 30524EE4</t>
  </si>
  <si>
    <t>Electrix Architect's Clamp-On Swing Arm Lamp, Black</t>
  </si>
  <si>
    <t>CA-2017-117415</t>
  </si>
  <si>
    <t>Steve Nguyen</t>
  </si>
  <si>
    <t>#10-4 1/8" x 9 1/2" Premium Diagonal Seam Envelopes</t>
  </si>
  <si>
    <t>Atlantic Metals Mobile 3-Shelf Bookcases, Custom Colors</t>
  </si>
  <si>
    <t>Global Fabric Manager's Chair, Dark Gray</t>
  </si>
  <si>
    <t>Plantronics HL10 Handset Lifter</t>
  </si>
  <si>
    <t>CA-2019-120999</t>
  </si>
  <si>
    <t>Linda Cazamias</t>
  </si>
  <si>
    <t>Naperville</t>
  </si>
  <si>
    <t>Illinois</t>
  </si>
  <si>
    <t>Panasonic Kx-TS550</t>
  </si>
  <si>
    <t>CA-2018-101343</t>
  </si>
  <si>
    <t>Ruben Ausman</t>
  </si>
  <si>
    <t>Eldon Base for stackable storage shelf, platinum</t>
  </si>
  <si>
    <t>CA-2019-139619</t>
  </si>
  <si>
    <t>Erin Smith</t>
  </si>
  <si>
    <t>Melbourne</t>
  </si>
  <si>
    <t>Advantus 10-Drawer Portable Organizer, Chrome Metal Frame, Smoke Drawers</t>
  </si>
  <si>
    <t>CA-2018-118255</t>
  </si>
  <si>
    <t>Odella Nelson</t>
  </si>
  <si>
    <t>Eagan</t>
  </si>
  <si>
    <t>Minnesota</t>
  </si>
  <si>
    <t>Verbatim 25 GB 6x Blu-ray Single Layer Recordable Disc, 25/Pack</t>
  </si>
  <si>
    <t>Wilson Jones Leather-Like Binders with DublLock Round Rings</t>
  </si>
  <si>
    <t>CA-2016-146703</t>
  </si>
  <si>
    <t>Patrick O'Donnell</t>
  </si>
  <si>
    <t>Westland</t>
  </si>
  <si>
    <t>Michigan</t>
  </si>
  <si>
    <t>Gould Plastics 9-Pocket Panel Bin, 18-3/8w x 5-1/4d x 20-1/2h, Black</t>
  </si>
  <si>
    <t>CA-2018-169194</t>
  </si>
  <si>
    <t>Lena Hernandez</t>
  </si>
  <si>
    <t>Dover</t>
  </si>
  <si>
    <t>Delaware</t>
  </si>
  <si>
    <t>Imation 8gb Micro Traveldrive Usb 2.0 Flash Drive</t>
  </si>
  <si>
    <t>LF Elite 3D Dazzle Designer Hard Case Cover, Lf Stylus Pen and Wiper For Apple Iphone 5c Mini Lite</t>
  </si>
  <si>
    <t>CA-2017-115742</t>
  </si>
  <si>
    <t>Darren Powers</t>
  </si>
  <si>
    <t>New Albany</t>
  </si>
  <si>
    <t>Indiana</t>
  </si>
  <si>
    <t>C-Line Peel &amp; Stick Add-On Filing Pockets, 8-3/4 x 5-1/8, 10/Pack</t>
  </si>
  <si>
    <t>Avery 485</t>
  </si>
  <si>
    <t>Longer-Life Soft White Bulbs</t>
  </si>
  <si>
    <t>Global Leather Task Chair, Black</t>
  </si>
  <si>
    <t>CA-2018-105816</t>
  </si>
  <si>
    <t>Janet Molinari</t>
  </si>
  <si>
    <t>New York City</t>
  </si>
  <si>
    <t>New York</t>
  </si>
  <si>
    <t>Fasteners</t>
  </si>
  <si>
    <t>Advantus Push Pins</t>
  </si>
  <si>
    <t>AT&amp;T CL83451 4-Handset Telephone</t>
  </si>
  <si>
    <t>CA-2018-111682</t>
  </si>
  <si>
    <t>Ted Butterfield</t>
  </si>
  <si>
    <t>Troy</t>
  </si>
  <si>
    <t>Home/Office Personal File Carts</t>
  </si>
  <si>
    <t>Xerox 232</t>
  </si>
  <si>
    <t>Novimex Turbo Task Chair</t>
  </si>
  <si>
    <t>Array Parchment Paper, Assorted Colors</t>
  </si>
  <si>
    <t>Plastic Binding Combs</t>
  </si>
  <si>
    <t>Prang Dustless Chalk Sticks</t>
  </si>
  <si>
    <t>CA-2017-135545</t>
  </si>
  <si>
    <t>Kunst Miller</t>
  </si>
  <si>
    <t>Verbatim 25 GB 6x Blu-ray Single Layer Recordable Disc, 3/Pack</t>
  </si>
  <si>
    <t>Acco PRESSTEX Data Binder with Storage Hooks, Dark Blue, 14 7/8" X 11"</t>
  </si>
  <si>
    <t>Xerox 1943</t>
  </si>
  <si>
    <t>Luxo Economy Swing Arm Lamp</t>
  </si>
  <si>
    <t>US-2017-164175</t>
  </si>
  <si>
    <t>Paul Stevenson</t>
  </si>
  <si>
    <t>Chicago</t>
  </si>
  <si>
    <t>Global Value Mid-Back Manager's Chair, Gray</t>
  </si>
  <si>
    <t>CA-2016-106376</t>
  </si>
  <si>
    <t>Brendan Sweed</t>
  </si>
  <si>
    <t>Gilbert</t>
  </si>
  <si>
    <t>Arizona</t>
  </si>
  <si>
    <t>Hunt BOSTON Model 1606 High-Volume Electric Pencil Sharpener, Beige</t>
  </si>
  <si>
    <t>netTALK DUO VoIP Telephone Service</t>
  </si>
  <si>
    <t>CA-2018-119823</t>
  </si>
  <si>
    <t>Karen Daniels</t>
  </si>
  <si>
    <t>Springfield</t>
  </si>
  <si>
    <t>Virginia</t>
  </si>
  <si>
    <t>Snap-A-Way Black Print Carbonless Ruled Speed Letter, Triplicate</t>
  </si>
  <si>
    <t>CA-2018-106075</t>
  </si>
  <si>
    <t>Henry MacAllister</t>
  </si>
  <si>
    <t>Avery Binding System Hidden Tab Executive Style Index Sets</t>
  </si>
  <si>
    <t>CA-2019-114440</t>
  </si>
  <si>
    <t>Jackson</t>
  </si>
  <si>
    <t>Telephone Message Books with Fax/Mobile Section, 5 1/2" x 3 3/16"</t>
  </si>
  <si>
    <t>US-2017-134026</t>
  </si>
  <si>
    <t>Joel Eaton</t>
  </si>
  <si>
    <t>Memphis</t>
  </si>
  <si>
    <t>Tennessee</t>
  </si>
  <si>
    <t>High-Back Leather Manager's Chair</t>
  </si>
  <si>
    <t>Tenex Traditional Chairmats for Medium Pile Carpet, Standard Lip, 36" x 48"</t>
  </si>
  <si>
    <t>Safco Industrial Wire Shelving System</t>
  </si>
  <si>
    <t>US-2019-118038</t>
  </si>
  <si>
    <t>Ken Brennan</t>
  </si>
  <si>
    <t>Economy Binders</t>
  </si>
  <si>
    <t>6" Cubicle Wall Clock, Black</t>
  </si>
  <si>
    <t>SimpliFile Personal File, Black Granite, 15w x 6-15/16d x 11-1/4h</t>
  </si>
  <si>
    <t>US-2016-147606</t>
  </si>
  <si>
    <t>Eldon Expressions Desk Accessory, Wood Pencil Holder, Oak</t>
  </si>
  <si>
    <t>CA-2018-127208</t>
  </si>
  <si>
    <t>Stewart Carmichael</t>
  </si>
  <si>
    <t>Decatur</t>
  </si>
  <si>
    <t>Alabama</t>
  </si>
  <si>
    <t>1.7 Cubic Foot Compact "Cube" Office Refrigerators</t>
  </si>
  <si>
    <t>Avery Heavy-Duty EZD  Binder With Locking Rings</t>
  </si>
  <si>
    <t>CA-2016-139451</t>
  </si>
  <si>
    <t>Duane Noonan</t>
  </si>
  <si>
    <t>Premium Writing Pencils, Soft, #2 by Central Association for the Blind</t>
  </si>
  <si>
    <t>Sortfiler Multipurpose Personal File Organizer, Black</t>
  </si>
  <si>
    <t>CA-2017-149734</t>
  </si>
  <si>
    <t>Julie Creighton</t>
  </si>
  <si>
    <t>Durham</t>
  </si>
  <si>
    <t>Jet-Pak Recycled Peel 'N' Seal Padded Mailers</t>
  </si>
  <si>
    <t>US-2019-119662</t>
  </si>
  <si>
    <t>Christopher Schild</t>
  </si>
  <si>
    <t>Safco Industrial Wire Shelving</t>
  </si>
  <si>
    <t>CA-2019-140088</t>
  </si>
  <si>
    <t>Columbia</t>
  </si>
  <si>
    <t>South Carolina</t>
  </si>
  <si>
    <t>Novimex Swivel Fabric Task Chair</t>
  </si>
  <si>
    <t>CA-2019-155558</t>
  </si>
  <si>
    <t>Paul Gonzalez</t>
  </si>
  <si>
    <t>Rochester</t>
  </si>
  <si>
    <t>Logitech LS21 Speaker System - PC Multimedia - 2.1-CH - Wired</t>
  </si>
  <si>
    <t>Avery 511</t>
  </si>
  <si>
    <t>CA-2018-159695</t>
  </si>
  <si>
    <t>Gary Mitchum</t>
  </si>
  <si>
    <t>Eldon Portable Mobile Manager</t>
  </si>
  <si>
    <t>CA-2018-109806</t>
  </si>
  <si>
    <t>Jim Sink</t>
  </si>
  <si>
    <t>Turquoise Lead Holder with Pocket Clip</t>
  </si>
  <si>
    <t>Xerox 1995</t>
  </si>
  <si>
    <t>CA-2017-149587</t>
  </si>
  <si>
    <t>Karl Braun</t>
  </si>
  <si>
    <t>Minneapolis</t>
  </si>
  <si>
    <t>Xerox 1999</t>
  </si>
  <si>
    <t>Seth Thomas 13 1/2" Wall Clock</t>
  </si>
  <si>
    <t>Ibico Standard Transparent Covers</t>
  </si>
  <si>
    <t>US-2019-109484</t>
  </si>
  <si>
    <t>Roger Barcio</t>
  </si>
  <si>
    <t>Portland</t>
  </si>
  <si>
    <t>Oregon</t>
  </si>
  <si>
    <t>Flexible Leather- Look Classic Collection Ring Binder</t>
  </si>
  <si>
    <t>CA-2019-161018</t>
  </si>
  <si>
    <t>Parhena Norris</t>
  </si>
  <si>
    <t>9-3/4 Diameter Round Wall Clock</t>
  </si>
  <si>
    <t>CA-2019-157833</t>
  </si>
  <si>
    <t>Katherine Ducich</t>
  </si>
  <si>
    <t>Trimflex Flexible Post Binders</t>
  </si>
  <si>
    <t>CA-2018-149223</t>
  </si>
  <si>
    <t>Elpida Rittenbach</t>
  </si>
  <si>
    <t>Saint Paul</t>
  </si>
  <si>
    <t>Fellowes Basic Home/Office Series Surge Protectors</t>
  </si>
  <si>
    <t>CA-2018-158568</t>
  </si>
  <si>
    <t>Rick Bensley</t>
  </si>
  <si>
    <t>Avery Personal Creations Heavyweight Cards</t>
  </si>
  <si>
    <t>SanDisk Ultra 64 GB MicroSDHC Class 10 Memory Card</t>
  </si>
  <si>
    <t>Avery Hidden Tab Dividers for Binding Systems</t>
  </si>
  <si>
    <t>CA-2018-129903</t>
  </si>
  <si>
    <t>Gary Zandusky</t>
  </si>
  <si>
    <t>Universal Premium White Copier/Laser Paper (20Lb. and 87 Bright)</t>
  </si>
  <si>
    <t>US-2017-156867</t>
  </si>
  <si>
    <t>Lena Cacioppo</t>
  </si>
  <si>
    <t>Aurora</t>
  </si>
  <si>
    <t>Colorado</t>
  </si>
  <si>
    <t>Logitech K350 2.4Ghz Wireless Keyboard</t>
  </si>
  <si>
    <t>Deflect-o DuraMat Lighweight, Studded, Beveled Mat for Low Pile Carpeting</t>
  </si>
  <si>
    <t>Avery Trapezoid Ring Binder, 3" Capacity, Black, 1040 sheets</t>
  </si>
  <si>
    <t>CA-2019-119004</t>
  </si>
  <si>
    <t>Janet Martin</t>
  </si>
  <si>
    <t>Charlotte</t>
  </si>
  <si>
    <t>Memorex Mini Travel Drive 8 GB USB 2.0 Flash Drive</t>
  </si>
  <si>
    <t>Speck Products Candyshell Flip Case</t>
  </si>
  <si>
    <t>Newell Chalk Holder</t>
  </si>
  <si>
    <t>CA-2017-129476</t>
  </si>
  <si>
    <t>Pete Armstrong</t>
  </si>
  <si>
    <t>Orland Park</t>
  </si>
  <si>
    <t>Logitech Gaming G510s - Keyboard</t>
  </si>
  <si>
    <t>CA-2019-146780</t>
  </si>
  <si>
    <t>Cynthia Voltz</t>
  </si>
  <si>
    <t>Magnifier Swing Arm Lamp</t>
  </si>
  <si>
    <t>CA-2018-128867</t>
  </si>
  <si>
    <t>Clay Ludtke</t>
  </si>
  <si>
    <t>Urbandale</t>
  </si>
  <si>
    <t>Iowa</t>
  </si>
  <si>
    <t>Hunt PowerHouse Electric Pencil Sharpener, Blue</t>
  </si>
  <si>
    <t>Avery Durable Plastic 1" Binders</t>
  </si>
  <si>
    <t>CA-2016-115259</t>
  </si>
  <si>
    <t>Ryan Crowe</t>
  </si>
  <si>
    <t>Columbus</t>
  </si>
  <si>
    <t>Ohio</t>
  </si>
  <si>
    <t>OIC Colored Binder Clips, Assorted Sizes</t>
  </si>
  <si>
    <t>Redi-Strip #10 Envelopes, 4 1/8 x 9 1/2</t>
  </si>
  <si>
    <t>Xerox 1921</t>
  </si>
  <si>
    <t>Tyvek  Top-Opening Peel &amp; Seel Envelopes, Plain White</t>
  </si>
  <si>
    <t>CA-2017-110457</t>
  </si>
  <si>
    <t>Dave Kipp</t>
  </si>
  <si>
    <t>Hon Racetrack Conference Tables</t>
  </si>
  <si>
    <t>US-2017-136476</t>
  </si>
  <si>
    <t>Greg Guthrie</t>
  </si>
  <si>
    <t>Bristol</t>
  </si>
  <si>
    <t>GBC DocuBind 300 Electric Binding Machine</t>
  </si>
  <si>
    <t>CA-2018-103730</t>
  </si>
  <si>
    <t>Steven Cartwright</t>
  </si>
  <si>
    <t>Wilmington</t>
  </si>
  <si>
    <t>Artistic Insta-Plaque</t>
  </si>
  <si>
    <t>Companion Letter/Legal File, Black</t>
  </si>
  <si>
    <t>Globe Weis Peel &amp; Seel First Class Envelopes</t>
  </si>
  <si>
    <t>KLD Oscar II Style Snap-on Ultra Thin Side Flip Synthetic Leather Cover Case for HTC One HTC M7</t>
  </si>
  <si>
    <t>US-2016-152030</t>
  </si>
  <si>
    <t>Alan Dominguez</t>
  </si>
  <si>
    <t>Global Deluxe High-Back Manager's Chair</t>
  </si>
  <si>
    <t>US-2016-134614</t>
  </si>
  <si>
    <t>Philip Fox</t>
  </si>
  <si>
    <t>Bloomington</t>
  </si>
  <si>
    <t>Bevis 44 x 96 Conference Tables</t>
  </si>
  <si>
    <t>US-2019-107272</t>
  </si>
  <si>
    <t>Troy Staebel</t>
  </si>
  <si>
    <t>Phoenix</t>
  </si>
  <si>
    <t>Avery Durable Slant Ring Binders, No Labels</t>
  </si>
  <si>
    <t>Trav-L-File Heavy-Duty Shuttle II, Black</t>
  </si>
  <si>
    <t>US-2018-125969</t>
  </si>
  <si>
    <t>Lindsay Shagiari</t>
  </si>
  <si>
    <t>Global Task Chair, Black</t>
  </si>
  <si>
    <t>Eldon Cleatmat Plus Chair Mats for High Pile Carpets</t>
  </si>
  <si>
    <t>US-2019-164147</t>
  </si>
  <si>
    <t>Dorothy Wardle</t>
  </si>
  <si>
    <t>Anker 36W 4-Port USB Wall Charger Travel Power Adapter for iPhone 5s 5c 5</t>
  </si>
  <si>
    <t>Xerox 1916</t>
  </si>
  <si>
    <t>Staples</t>
  </si>
  <si>
    <t>CA-2018-145583</t>
  </si>
  <si>
    <t>Lena Creighton</t>
  </si>
  <si>
    <t>Roseville</t>
  </si>
  <si>
    <t>Xerox 195</t>
  </si>
  <si>
    <t>Xerox 1880</t>
  </si>
  <si>
    <t>Sanford Colorific Colored Pencils, 12/Box</t>
  </si>
  <si>
    <t>Ideal Clamps</t>
  </si>
  <si>
    <t>GBC Wire Binding Strips</t>
  </si>
  <si>
    <t>Supplies</t>
  </si>
  <si>
    <t>Fiskars Softgrip Scissors</t>
  </si>
  <si>
    <t>CA-2018-110366</t>
  </si>
  <si>
    <t>Jonathan Doherty</t>
  </si>
  <si>
    <t>CA-2019-106180</t>
  </si>
  <si>
    <t>Sally Hughsby</t>
  </si>
  <si>
    <t>Newell 343</t>
  </si>
  <si>
    <t>Convenience Packs of Business Envelopes</t>
  </si>
  <si>
    <t>Xerox 1911</t>
  </si>
  <si>
    <t>CA-2019-155376</t>
  </si>
  <si>
    <t>Sandra Glassco</t>
  </si>
  <si>
    <t>Independence</t>
  </si>
  <si>
    <t>Missouri</t>
  </si>
  <si>
    <t>Sanyo 2.5 Cubic Foot Mid-Size Office Refrigerators</t>
  </si>
  <si>
    <t>CA-2017-110744</t>
  </si>
  <si>
    <t>Helen Andreada</t>
  </si>
  <si>
    <t>Pasadena</t>
  </si>
  <si>
    <t>CA-2016-110072</t>
  </si>
  <si>
    <t>Maureen Gastineau</t>
  </si>
  <si>
    <t>Newark</t>
  </si>
  <si>
    <t>Seth Thomas 14" Putty-Colored Wall Clock</t>
  </si>
  <si>
    <t>CA-2018-114489</t>
  </si>
  <si>
    <t>Justin Ellison</t>
  </si>
  <si>
    <t>Franklin</t>
  </si>
  <si>
    <t>Plantronics Cordless Phone Headset with In-line Volume - M214C</t>
  </si>
  <si>
    <t>Anker Astro 15000mAh USB Portable Charger</t>
  </si>
  <si>
    <t>GBC Prestige Therm-A-Bind Covers</t>
  </si>
  <si>
    <t>CA-2018-158834</t>
  </si>
  <si>
    <t>Tamara Willingham</t>
  </si>
  <si>
    <t>Scottsdale</t>
  </si>
  <si>
    <t>Belkin 7 Outlet SurgeMaster Surge Protector with Phone Protection</t>
  </si>
  <si>
    <t>Jabra BIZ 2300 Duo QD Duo Corded Headset</t>
  </si>
  <si>
    <t>CA-2017-124919</t>
  </si>
  <si>
    <t>Stephanie Phelps</t>
  </si>
  <si>
    <t>San Jose</t>
  </si>
  <si>
    <t>Southworth 25% Cotton Antique Laid Paper &amp; Envelopes</t>
  </si>
  <si>
    <t>Xerox 1883</t>
  </si>
  <si>
    <t>Tenex Personal Project File with Scoop Front Design, Black</t>
  </si>
  <si>
    <t>CA-2017-118948</t>
  </si>
  <si>
    <t>Neil Knudson</t>
  </si>
  <si>
    <t>Newell 311</t>
  </si>
  <si>
    <t>CA-2016-104269</t>
  </si>
  <si>
    <t>Dave Brooks</t>
  </si>
  <si>
    <t>CA-2018-114104</t>
  </si>
  <si>
    <t>Nora Paige</t>
  </si>
  <si>
    <t>Edmond</t>
  </si>
  <si>
    <t>Oklahoma</t>
  </si>
  <si>
    <t>Avery 519</t>
  </si>
  <si>
    <t>Avaya 5420 Digital phone</t>
  </si>
  <si>
    <t>CA-2018-162733</t>
  </si>
  <si>
    <t>Ted Trevino</t>
  </si>
  <si>
    <t>Xerox 1920</t>
  </si>
  <si>
    <t>CA-2017-119697</t>
  </si>
  <si>
    <t>Eric Murdock</t>
  </si>
  <si>
    <t>Lenovo 17-Key USB Numeric Keypad</t>
  </si>
  <si>
    <t>CA-2018-154508</t>
  </si>
  <si>
    <t>Ruben Dartt</t>
  </si>
  <si>
    <t>Carlsbad</t>
  </si>
  <si>
    <t>New Mexico</t>
  </si>
  <si>
    <t>Staple envelope</t>
  </si>
  <si>
    <t>CA-2018-113817</t>
  </si>
  <si>
    <t>Max Jones</t>
  </si>
  <si>
    <t>Wilson Jones International Size A4 Ring Binders</t>
  </si>
  <si>
    <t>CA-2016-139892</t>
  </si>
  <si>
    <t>Becky Martin</t>
  </si>
  <si>
    <t>San Antonio</t>
  </si>
  <si>
    <t>BIC Brite Liner Highlighters</t>
  </si>
  <si>
    <t>Machines</t>
  </si>
  <si>
    <t>Lexmark MX611dhe Monochrome Laser Printer</t>
  </si>
  <si>
    <t>Space Solutions HD Industrial Steel Shelving.</t>
  </si>
  <si>
    <t>SAFCO Arco Folding Chair</t>
  </si>
  <si>
    <t>Sanford Liquid Accent Highlighters</t>
  </si>
  <si>
    <t>Kensington 7 Outlet MasterPiece Power Center</t>
  </si>
  <si>
    <t>JBL Micro Wireless Portable Bluetooth Speaker</t>
  </si>
  <si>
    <t>CA-2016-118962</t>
  </si>
  <si>
    <t>Chad Sievert</t>
  </si>
  <si>
    <t>Adams Phone Message Book, Professional, 400 Message Capacity, 5 3/6” x 11”</t>
  </si>
  <si>
    <t>Xerox 1913</t>
  </si>
  <si>
    <t>Global Value Steno Chair, Gray</t>
  </si>
  <si>
    <t>US-2016-100853</t>
  </si>
  <si>
    <t>Jennifer Braxton</t>
  </si>
  <si>
    <t>Kensington 7 Outlet MasterPiece HOMEOFFICE Power Control Center</t>
  </si>
  <si>
    <t>Avery 51</t>
  </si>
  <si>
    <t>US-2019-152366</t>
  </si>
  <si>
    <t>Shirley Jackson</t>
  </si>
  <si>
    <t>Acco 7-Outlet Masterpiece Power Center, Wihtout Fax/Phone Line Protection</t>
  </si>
  <si>
    <t>US-2017-101511</t>
  </si>
  <si>
    <t>Padded Folding Chairs, Black, 4/Carton</t>
  </si>
  <si>
    <t>Acme Rosewood Handle Letter Opener</t>
  </si>
  <si>
    <t>CA-2017-137225</t>
  </si>
  <si>
    <t>Jim Kriz</t>
  </si>
  <si>
    <t>Sanford Colorific Eraseable Coloring Pencils, 12 Count</t>
  </si>
  <si>
    <t>CA-2016-166191</t>
  </si>
  <si>
    <t>David Kendrick</t>
  </si>
  <si>
    <t>Tenex File Box, Personal Filing Tote with Lid, Black</t>
  </si>
  <si>
    <t>Imation Secure+ Hardware Encrypted USB 2.0 Flash Drive; 16GB</t>
  </si>
  <si>
    <t>CA-2016-158274</t>
  </si>
  <si>
    <t>Robert Marley</t>
  </si>
  <si>
    <t>Monroe</t>
  </si>
  <si>
    <t>Louisiana</t>
  </si>
  <si>
    <t>AT&amp;T TR1909W</t>
  </si>
  <si>
    <t>Nokia Lumia 521 (T-Mobile)</t>
  </si>
  <si>
    <t>HP Standard 104 key PS/2 Keyboard</t>
  </si>
  <si>
    <t>CA-2018-105018</t>
  </si>
  <si>
    <t>Sally Knutson</t>
  </si>
  <si>
    <t>Fairfield</t>
  </si>
  <si>
    <t>Connecticut</t>
  </si>
  <si>
    <t>Avery Poly Binder Pockets</t>
  </si>
  <si>
    <t>CA-2016-123260</t>
  </si>
  <si>
    <t>Frank Merwin</t>
  </si>
  <si>
    <t>SanDisk Ultra 32 GB MicroSDHC Class 10 Memory Card</t>
  </si>
  <si>
    <t>CA-2018-157000</t>
  </si>
  <si>
    <t>Alice McCarthy</t>
  </si>
  <si>
    <t>Grand Prairie</t>
  </si>
  <si>
    <t>Personal Filing Tote with Lid, Black/Gray</t>
  </si>
  <si>
    <t>CA-2017-102281</t>
  </si>
  <si>
    <t>Mark Packer</t>
  </si>
  <si>
    <t>Atlantic Metals Mobile 4-Shelf Bookcases, Custom Colors</t>
  </si>
  <si>
    <t>I Need's 3d Hello Kitty Hybrid Silicone Case Cover for HTC One X 4g with 3d Hello Kitty Stylus Pen Green/pink</t>
  </si>
  <si>
    <t>Xerox 205</t>
  </si>
  <si>
    <t>4009 Highlighters by Sanford</t>
  </si>
  <si>
    <t>CA-2017-131457</t>
  </si>
  <si>
    <t>Mary Zewe</t>
  </si>
  <si>
    <t>Redlands</t>
  </si>
  <si>
    <t>CA-2016-140004</t>
  </si>
  <si>
    <t>Cassandra Brandow</t>
  </si>
  <si>
    <t>Hamilton</t>
  </si>
  <si>
    <t>Binney &amp; Smith Crayola Metallic Colored Pencils, 8-Color Set</t>
  </si>
  <si>
    <t>Binney &amp; Smith inkTank Erasable Desk Highlighter, Chisel Tip, Yellow, 12/Box</t>
  </si>
  <si>
    <t>CA-2019-107720</t>
  </si>
  <si>
    <t>Valerie Mitchum</t>
  </si>
  <si>
    <t>Westfield</t>
  </si>
  <si>
    <t>New Jersey</t>
  </si>
  <si>
    <t>Decoflex Hanging Personal Folder File</t>
  </si>
  <si>
    <t>US-2019-124303</t>
  </si>
  <si>
    <t>Fred Hopkins</t>
  </si>
  <si>
    <t>Pressboard Covers with Storage Hooks, 9 1/2" x 11", Light Blue</t>
  </si>
  <si>
    <t>Wirebound Message Books, 5-1/2 x 4 Forms, 2 or 4 Forms per Page</t>
  </si>
  <si>
    <t>CA-2019-105074</t>
  </si>
  <si>
    <t>Maria Bertelson</t>
  </si>
  <si>
    <t>Akron</t>
  </si>
  <si>
    <t>Southworth 25% Cotton Linen-Finish Paper &amp; Envelopes</t>
  </si>
  <si>
    <t>CA-2016-133690</t>
  </si>
  <si>
    <t>Bruce Stewart</t>
  </si>
  <si>
    <t>Denver</t>
  </si>
  <si>
    <t>BoxOffice By Design Rectangular and Half-Moon Meeting Room Tables</t>
  </si>
  <si>
    <t>Bravo II Megaboss 12-Amp Hard Body Upright, Replacement Belts, 2 Belts per Pack</t>
  </si>
  <si>
    <t>US-2019-116701</t>
  </si>
  <si>
    <t>Logan Currie</t>
  </si>
  <si>
    <t>Dallas</t>
  </si>
  <si>
    <t>Eureka Sanitaire  Commercial Upright</t>
  </si>
  <si>
    <t>CA-2019-126382</t>
  </si>
  <si>
    <t>Heather Kirkland</t>
  </si>
  <si>
    <t>Eldon 200 Class Desk Accessories, Burgundy</t>
  </si>
  <si>
    <t>CA-2019-108329</t>
  </si>
  <si>
    <t>Laurel Elliston</t>
  </si>
  <si>
    <t>Whittier</t>
  </si>
  <si>
    <t>Nortel Business Series Terminal T7208 Digital phone</t>
  </si>
  <si>
    <t>CA-2019-135860</t>
  </si>
  <si>
    <t>Joseph Holt</t>
  </si>
  <si>
    <t>Saginaw</t>
  </si>
  <si>
    <t>Tennsco Lockers, Gray</t>
  </si>
  <si>
    <t>Panasonic KX-TG6844B Expandable Digital Cordless Telephone</t>
  </si>
  <si>
    <t>Advantus Push Pins, Aluminum Head</t>
  </si>
  <si>
    <t>Gould Plastics 18-Pocket Panel Bin, 34w x 5-1/4d x 20-1/2h</t>
  </si>
  <si>
    <t>CA-2017-101007</t>
  </si>
  <si>
    <t>Michael Stewart</t>
  </si>
  <si>
    <t>Memorex Micro Travel Drive 8 GB</t>
  </si>
  <si>
    <t>CA-2017-146262</t>
  </si>
  <si>
    <t>Victoria Wilson</t>
  </si>
  <si>
    <t>Medina</t>
  </si>
  <si>
    <t>Avery 505</t>
  </si>
  <si>
    <t>O'Sullivan 2-Door Barrister Bookcase in Odessa Pine</t>
  </si>
  <si>
    <t>Cisco 9971 IP Video Phone Charcoal</t>
  </si>
  <si>
    <t>Sony Micro Vault Click 16 GB USB 2.0 Flash Drive</t>
  </si>
  <si>
    <t>CA-2018-130162</t>
  </si>
  <si>
    <t>Jonathan Howell</t>
  </si>
  <si>
    <t>Adtran 1202752G1</t>
  </si>
  <si>
    <t>CA-2017-169397</t>
  </si>
  <si>
    <t>Joni Blumstein</t>
  </si>
  <si>
    <t>Dublin</t>
  </si>
  <si>
    <t>OIC Bulk Pack Metal Binder Clips</t>
  </si>
  <si>
    <t>While You Were Out Pads, 50 per Pad, 4 x 5 1/4, Green Cycle</t>
  </si>
  <si>
    <t>Executive Impressions 14" Two-Color Numerals Wall Clock</t>
  </si>
  <si>
    <t>Swingline SM12-08 MicroCut Jam Free Shredder</t>
  </si>
  <si>
    <t>Stanley Bostitch Contemporary Electric Pencil Sharpeners</t>
  </si>
  <si>
    <t>CA-2017-163055</t>
  </si>
  <si>
    <t>David Smith</t>
  </si>
  <si>
    <t>Detroit</t>
  </si>
  <si>
    <t>Sanford Uni-Blazer View Highlighters, Chisel Tip, Yellow</t>
  </si>
  <si>
    <t>Bevis 36 x 72 Conference Tables</t>
  </si>
  <si>
    <t>Rogers Deluxe File Chest</t>
  </si>
  <si>
    <t>US-2017-145436</t>
  </si>
  <si>
    <t>Valerie Dominguez</t>
  </si>
  <si>
    <t>Global Low Back Tilter Chair</t>
  </si>
  <si>
    <t>Global Push Button Manager's Chair, Indigo</t>
  </si>
  <si>
    <t>US-2016-156216</t>
  </si>
  <si>
    <t>Erin Ashbrook</t>
  </si>
  <si>
    <t>GBC Instant Index System for Binding Systems</t>
  </si>
  <si>
    <t>US-2019-100930</t>
  </si>
  <si>
    <t>Tampa</t>
  </si>
  <si>
    <t>Bush Advantage Collection Round Conference Table</t>
  </si>
  <si>
    <t>Bretford Rectangular Conference Table Tops</t>
  </si>
  <si>
    <t>Tenex Contemporary Contur Chairmats for Low and Medium Pile Carpet, Computer, 39" x 49"</t>
  </si>
  <si>
    <t>Logitech P710e Mobile Speakerphone</t>
  </si>
  <si>
    <t>CA-2019-160514</t>
  </si>
  <si>
    <t>David Bremer</t>
  </si>
  <si>
    <t>Santa Clara</t>
  </si>
  <si>
    <t>Xerox 4200 Series MultiUse Premium Copy Paper (20Lb. and 84 Bright)</t>
  </si>
  <si>
    <t>CA-2018-157749</t>
  </si>
  <si>
    <t>Ken Lonsdale</t>
  </si>
  <si>
    <t>Xerox 1957</t>
  </si>
  <si>
    <t>Luxo Professional Fluorescent Magnifier Lamp with Clamp-Mount Base</t>
  </si>
  <si>
    <t>Staple-based wall hangings</t>
  </si>
  <si>
    <t>PureGear Roll-On Screen Protector</t>
  </si>
  <si>
    <t>KI Conference Tables</t>
  </si>
  <si>
    <t>Eldon 100 Class Desk Accessories</t>
  </si>
  <si>
    <t>CA-2016-131926</t>
  </si>
  <si>
    <t>Dianna Wilson</t>
  </si>
  <si>
    <t>Lakeville</t>
  </si>
  <si>
    <t>Safco Steel Mobile File Cart</t>
  </si>
  <si>
    <t>Adams Telephone Message Book w/Frequently-Called Numbers Space, 400 Messages per Book</t>
  </si>
  <si>
    <t>Honeywell Enviracaire Portable HEPA Air Cleaner for 17' x 22' Room</t>
  </si>
  <si>
    <t>CA-2018-154739</t>
  </si>
  <si>
    <t>Logan Haushalter</t>
  </si>
  <si>
    <t>Global Leather Highback Executive Chair with Pneumatic Height Adjustment, Black</t>
  </si>
  <si>
    <t>CA-2018-145625</t>
  </si>
  <si>
    <t>Kelly Collister</t>
  </si>
  <si>
    <t>San Diego</t>
  </si>
  <si>
    <t>Wirebound Message Books, Two 4 1/4" x 5" Forms per Page</t>
  </si>
  <si>
    <t>CA-2018-146941</t>
  </si>
  <si>
    <t>Delfina Latchford</t>
  </si>
  <si>
    <t>Fellowes Personal Hanging Folder Files, Navy</t>
  </si>
  <si>
    <t>Tyvek Side-Opening Peel &amp; Seel Expanding Envelopes</t>
  </si>
  <si>
    <t>US-2017-159982</t>
  </si>
  <si>
    <t>Dan Reichenbach</t>
  </si>
  <si>
    <t>Belkin 19" Vented Equipment Shelf, Black</t>
  </si>
  <si>
    <t>Logitech Mobile Speakerphone P710e - speaker phone</t>
  </si>
  <si>
    <t>CA-2019-163139</t>
  </si>
  <si>
    <t>Craig Carreira</t>
  </si>
  <si>
    <t>Sabrent 4-Port USB 2.0 Hub</t>
  </si>
  <si>
    <t>Safco Industrial Shelving</t>
  </si>
  <si>
    <t>Acco 3-Hole Punch</t>
  </si>
  <si>
    <t>US-2019-155299</t>
  </si>
  <si>
    <t>Dorris liebe</t>
  </si>
  <si>
    <t>Eureka Disposable Bags for Sanitaire Vibra Groomer I Upright Vac</t>
  </si>
  <si>
    <t>US-2016-106992</t>
  </si>
  <si>
    <t>Sean Braxton</t>
  </si>
  <si>
    <t>Xerox WorkCentre 6505DN Laser Multifunction Printer</t>
  </si>
  <si>
    <t>CA-2018-125318</t>
  </si>
  <si>
    <t>Roy Collins</t>
  </si>
  <si>
    <t>Cisco Small Business SPA 502G VoIP phone</t>
  </si>
  <si>
    <t>CA-2017-155040</t>
  </si>
  <si>
    <t>Alan Hwang</t>
  </si>
  <si>
    <t>Brentwood</t>
  </si>
  <si>
    <t>Microsoft Sculpt Comfort Mouse</t>
  </si>
  <si>
    <t>CA-2019-136826</t>
  </si>
  <si>
    <t>Claudia Bergmann</t>
  </si>
  <si>
    <t>Chapel Hill</t>
  </si>
  <si>
    <t>Quartet Omega Colored Chalk, 12/Pack</t>
  </si>
  <si>
    <t>CA-2018-111010</t>
  </si>
  <si>
    <t>Morristown</t>
  </si>
  <si>
    <t>Bagged Rubber Bands</t>
  </si>
  <si>
    <t>US-2019-145366</t>
  </si>
  <si>
    <t>Christine Abelman</t>
  </si>
  <si>
    <t>Cincinnati</t>
  </si>
  <si>
    <t>Safco Commercial Shelving</t>
  </si>
  <si>
    <t>Recycled Interoffice Envelopes with String and Button Closure, 10 x 13</t>
  </si>
  <si>
    <t>CA-2019-163979</t>
  </si>
  <si>
    <t>Kristen Hastings</t>
  </si>
  <si>
    <t>Adjustable Depth Letter/Legal Cart</t>
  </si>
  <si>
    <t>CA-2017-155334</t>
  </si>
  <si>
    <t>Logitech 910-002974 M325 Wireless Mouse for Web Scrolling</t>
  </si>
  <si>
    <t>Regeneration Desk Collection</t>
  </si>
  <si>
    <t>Presstex Flexible Ring Binders</t>
  </si>
  <si>
    <t>CA-2019-118136</t>
  </si>
  <si>
    <t>Barry Blumstein</t>
  </si>
  <si>
    <t>Inglewood</t>
  </si>
  <si>
    <t>Ampad Gold Fibre Wirebound Steno Books, 6" x 9", Gregg Ruled</t>
  </si>
  <si>
    <t>Newell 330</t>
  </si>
  <si>
    <t>CA-2019-132976</t>
  </si>
  <si>
    <t>Andrew Gjertsen</t>
  </si>
  <si>
    <t>Post-it “Important Message” Note Pad, Neon Colors, 50 Sheets/Pad</t>
  </si>
  <si>
    <t>Adams Write n' Stick Phone Message Book, 11" X 5 1/4", 200 Messages</t>
  </si>
  <si>
    <t>Eldon Simplefile Box Office</t>
  </si>
  <si>
    <t>Avery 489</t>
  </si>
  <si>
    <t>US-2017-161991</t>
  </si>
  <si>
    <t>Round Ring Binders</t>
  </si>
  <si>
    <t>Bose SoundLink Bluetooth Speaker</t>
  </si>
  <si>
    <t>CA-2017-130890</t>
  </si>
  <si>
    <t>Jas O'Carroll</t>
  </si>
  <si>
    <t>Bevis Round Bullnose 29" High Table Top</t>
  </si>
  <si>
    <t>CA-2017-130883</t>
  </si>
  <si>
    <t>Microsoft Arc Touch Mouse</t>
  </si>
  <si>
    <t>Xerox 216</t>
  </si>
  <si>
    <t>CA-2018-112697</t>
  </si>
  <si>
    <t>Alan Haines</t>
  </si>
  <si>
    <t>Tamarac</t>
  </si>
  <si>
    <t>GBC VeloBinder Electric Binding Machine</t>
  </si>
  <si>
    <t>Premier Automatic Letter Opener</t>
  </si>
  <si>
    <t>CA-2018-110772</t>
  </si>
  <si>
    <t>Nick Zandusky</t>
  </si>
  <si>
    <t>Advantus SlideClip Paper Clips</t>
  </si>
  <si>
    <t>Avery 512</t>
  </si>
  <si>
    <t>Logitech Wireless Gaming Headset G930</t>
  </si>
  <si>
    <t>Bush Westfield Collection Bookcases, Medium Cherry Finish</t>
  </si>
  <si>
    <t>CA-2016-111451</t>
  </si>
  <si>
    <t>Kelly Lampkin</t>
  </si>
  <si>
    <t>Colorado Springs</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</si>
  <si>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</si>
  <si>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</si>
  <si>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</si>
  <si>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</si>
  <si>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</si>
  <si>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CA-2018-142545</t>
  </si>
  <si>
    <t>Belleville</t>
  </si>
  <si>
    <t>Xerox 223</t>
  </si>
  <si>
    <t>Tennsco Stur-D-Stor Boltless Shelving, 5 Shelves, 24" Deep, Sand</t>
  </si>
  <si>
    <t>Xerox 1939</t>
  </si>
  <si>
    <t>Floodlight Indoor Halogen Bulbs, 1 Bulb per Pack, 60 Watts</t>
  </si>
  <si>
    <t>Avery Premier Heavy-Duty Binder with Round Locking Rings</t>
  </si>
  <si>
    <t>US-2019-152380</t>
  </si>
  <si>
    <t>BPI Conference Tables</t>
  </si>
  <si>
    <t>CA-2017-144253</t>
  </si>
  <si>
    <t>Alan Schoenberger</t>
  </si>
  <si>
    <t>Electrix 20W Halogen Replacement Bulb for Zoom-In Desk Lamp</t>
  </si>
  <si>
    <t>CA-2016-130960</t>
  </si>
  <si>
    <t>Taylor</t>
  </si>
  <si>
    <t>Newell 350</t>
  </si>
  <si>
    <t>CA-2016-111003</t>
  </si>
  <si>
    <t>Corey Roper</t>
  </si>
  <si>
    <t>Lakewood</t>
  </si>
  <si>
    <t>GBC Clear Cover, 8-1/2 x 11, unpunched, 25 covers per pack</t>
  </si>
  <si>
    <t>Boston Heavy-Duty Trimline Electric Pencil Sharpeners</t>
  </si>
  <si>
    <t>CA-2019-126774</t>
  </si>
  <si>
    <t>Shahid Hopkins</t>
  </si>
  <si>
    <t>Arlington</t>
  </si>
  <si>
    <t>Faber Castell Col-Erase Pencils</t>
  </si>
  <si>
    <t>CA-2018-142902</t>
  </si>
  <si>
    <t>Ben Peterman</t>
  </si>
  <si>
    <t>Arvada</t>
  </si>
  <si>
    <t>C-Line Cubicle Keepers Polyproplyene Holder With Velcro Backings</t>
  </si>
  <si>
    <t>Hon 4070 Series Pagoda Armless Upholstered Stacking Chairs</t>
  </si>
  <si>
    <t>Eldon Expressions Desk Accessory, Wood Photo Frame, Mahogany</t>
  </si>
  <si>
    <t>Avery 509</t>
  </si>
  <si>
    <t>CA-2016-120887</t>
  </si>
  <si>
    <t>Thomas Seio</t>
  </si>
  <si>
    <t>Hackensack</t>
  </si>
  <si>
    <t>Deflect-o SuperTray Unbreakable Stackable Tray, Letter, Black</t>
  </si>
  <si>
    <t>CA-2016-167850</t>
  </si>
  <si>
    <t>Andy Gerbode</t>
  </si>
  <si>
    <t>Saint Petersburg</t>
  </si>
  <si>
    <t>AT&amp;T 1070 Corded Phone</t>
  </si>
  <si>
    <t>Xerox 21</t>
  </si>
  <si>
    <t>CA-2016-164259</t>
  </si>
  <si>
    <t>Sung Pak</t>
  </si>
  <si>
    <t>Boston School Pro Electric Pencil Sharpener, 1670</t>
  </si>
  <si>
    <t>CA-2016-164973</t>
  </si>
  <si>
    <t>Nathan Mautz</t>
  </si>
  <si>
    <t>DMI Arturo Collection Mission-style Design Wood Chair</t>
  </si>
  <si>
    <t>Canon imageCLASS MF7460 Monochrome Digital Laser Multifunction Copier</t>
  </si>
  <si>
    <t>NETGEAR N750 Dual Band Wi-Fi Gigabit Router</t>
  </si>
  <si>
    <t>CA-2016-156601</t>
  </si>
  <si>
    <t>Frank Atkinson</t>
  </si>
  <si>
    <t>Long Beach</t>
  </si>
  <si>
    <t>OIC Binder Clips</t>
  </si>
  <si>
    <t>CA-2018-162138</t>
  </si>
  <si>
    <t>Grace Kelly</t>
  </si>
  <si>
    <t>Hesperia</t>
  </si>
  <si>
    <t>Logitech Wireless Headset h800</t>
  </si>
  <si>
    <t>CA-2019-153339</t>
  </si>
  <si>
    <t>Don Jones</t>
  </si>
  <si>
    <t>Murfreesboro</t>
  </si>
  <si>
    <t>Telescoping Adjustable Floor Lamp</t>
  </si>
  <si>
    <t>US-2018-141544</t>
  </si>
  <si>
    <t>Patrick O'Brill</t>
  </si>
  <si>
    <t>Aastra 57i VoIP phone</t>
  </si>
  <si>
    <t>File Shuttle II and Handi-File, Black</t>
  </si>
  <si>
    <t>Hon 2090 “Pillow Soft” Series Mid Back Swivel/Tilt Chairs</t>
  </si>
  <si>
    <t>Round Specialty Laser Printer Labels</t>
  </si>
  <si>
    <t>GBC Premium Transparent Covers with Diagonal Lined Pattern</t>
  </si>
  <si>
    <t>US-2018-150147</t>
  </si>
  <si>
    <t>John Lucas</t>
  </si>
  <si>
    <t>AT&amp;T 841000 Phone</t>
  </si>
  <si>
    <t>Ibico Recycled Grain-Textured Covers</t>
  </si>
  <si>
    <t>Wilson Jones Custom Binder Spines &amp; Labels</t>
  </si>
  <si>
    <t>CA-2017-137946</t>
  </si>
  <si>
    <t>Doug Bickford</t>
  </si>
  <si>
    <t>Storex Dura Pro Binders</t>
  </si>
  <si>
    <t>Copiers</t>
  </si>
  <si>
    <t>Hewlett Packard LaserJet 3310 Copier</t>
  </si>
  <si>
    <t>Avery Non-Stick Binders</t>
  </si>
  <si>
    <t>CA-2016-129924</t>
  </si>
  <si>
    <t>Alyssa Crouse</t>
  </si>
  <si>
    <t>Tuff Stuff Recycled Round Ring Binders</t>
  </si>
  <si>
    <t>Hon 5100 Series Wood Tables</t>
  </si>
  <si>
    <t>CA-2017-128167</t>
  </si>
  <si>
    <t>Layton</t>
  </si>
  <si>
    <t>OIC Binder Clips, Mini, 1/4" Capacity, Black</t>
  </si>
  <si>
    <t>CA-2016-122336</t>
  </si>
  <si>
    <t>Newell 314</t>
  </si>
  <si>
    <t>Square Credit Card Reader, 4 1/2" x 4 1/2" x 1", White</t>
  </si>
  <si>
    <t>US-2017-120712</t>
  </si>
  <si>
    <t>Austin</t>
  </si>
  <si>
    <t>CA-2019-169901</t>
  </si>
  <si>
    <t>Clay Cheatham</t>
  </si>
  <si>
    <t>CA-2019-134306</t>
  </si>
  <si>
    <t>Tamara Dahlen</t>
  </si>
  <si>
    <t>Lowell</t>
  </si>
  <si>
    <t>Massachusetts</t>
  </si>
  <si>
    <t>BIC Brite Liner Highlighters, Chisel Tip</t>
  </si>
  <si>
    <t>CA-2018-129714</t>
  </si>
  <si>
    <t>Adam Bellavance</t>
  </si>
  <si>
    <t>Xerox 1881</t>
  </si>
  <si>
    <t>Acco Hanging Data Binders</t>
  </si>
  <si>
    <t>GBC DocuBind P400 Electric Binding System</t>
  </si>
  <si>
    <t>CA-2018-138520</t>
  </si>
  <si>
    <t>Jeremy Lonsdale</t>
  </si>
  <si>
    <t>Sauder Barrister Bookcases</t>
  </si>
  <si>
    <t>#10 Gummed Flap White Envelopes, 100/Box</t>
  </si>
  <si>
    <t>Dixon Prang Watercolor Pencils, 10-Color Set with Brush</t>
  </si>
  <si>
    <t>Adams Phone Message Book, 200 Message Capacity, 8 1/16” x 11”</t>
  </si>
  <si>
    <t>CA-2018-130001</t>
  </si>
  <si>
    <t>CA-2019-155698</t>
  </si>
  <si>
    <t>Victoria Brennan</t>
  </si>
  <si>
    <t>Georgia</t>
  </si>
  <si>
    <t>Belkin 8 Outlet SurgeMaster II Gold Surge Protector with Phone Protection</t>
  </si>
  <si>
    <t>Avery Address/Shipping Labels for Typewriters, 4" x 2"</t>
  </si>
  <si>
    <t>CA-2019-144904</t>
  </si>
  <si>
    <t>Katrina Willman</t>
  </si>
  <si>
    <t>Global Ergonomic Managers Chair</t>
  </si>
  <si>
    <t>Newell 333</t>
  </si>
  <si>
    <t>Eldon Wave Desk Accessories</t>
  </si>
  <si>
    <t>CA-2016-123344</t>
  </si>
  <si>
    <t>Julia Dunbar</t>
  </si>
  <si>
    <t>CA-2018-155516</t>
  </si>
  <si>
    <t>Same Day</t>
  </si>
  <si>
    <t>Michael Kennedy</t>
  </si>
  <si>
    <t>Manchester</t>
  </si>
  <si>
    <t>Wilson Jones “Snap” Scratch Pad Binder Tool for Ring Binders</t>
  </si>
  <si>
    <t>Staple remover</t>
  </si>
  <si>
    <t>Pizazz Global Quick File</t>
  </si>
  <si>
    <t>CA-2019-104745</t>
  </si>
  <si>
    <t>Guy Thornton</t>
  </si>
  <si>
    <t>Harlingen</t>
  </si>
  <si>
    <t>Xerox 1930</t>
  </si>
  <si>
    <t>File Shuttle I and Handi-File</t>
  </si>
  <si>
    <t>US-2016-119137</t>
  </si>
  <si>
    <t>Arthur Gainer</t>
  </si>
  <si>
    <t>Tucson</t>
  </si>
  <si>
    <t>NETGEAR AC1750 Dual Band Gigabit Smart WiFi Router</t>
  </si>
  <si>
    <t>Newell 324</t>
  </si>
  <si>
    <t>Microsoft Natural Keyboard Elite</t>
  </si>
  <si>
    <t>US-2018-134656</t>
  </si>
  <si>
    <t>Muhammed MacIntyre</t>
  </si>
  <si>
    <t>Quincy</t>
  </si>
  <si>
    <t>Xerox 1960</t>
  </si>
  <si>
    <t>US-2019-134481</t>
  </si>
  <si>
    <t>Allen Rosenblatt</t>
  </si>
  <si>
    <t>Office Impressions End Table, 20-1/2"H x 24"W x 20"D</t>
  </si>
  <si>
    <t>CA-2017-130792</t>
  </si>
  <si>
    <t>Russell Applegate</t>
  </si>
  <si>
    <t>Holmes Odor Grabber</t>
  </si>
  <si>
    <t>Akro-Mils 12-Gallon Tote</t>
  </si>
  <si>
    <t>GBC Twin Loop Wire Binding Elements, 9/16" Spine, Black</t>
  </si>
  <si>
    <t>CA-2018-134775</t>
  </si>
  <si>
    <t>Alejandro Savely</t>
  </si>
  <si>
    <t>Southworth Structures Collection</t>
  </si>
  <si>
    <t>Square Ring Data Binders, Rigid 75 Pt. Covers, 11" x 14-7/8"</t>
  </si>
  <si>
    <t>CA-2017-125395</t>
  </si>
  <si>
    <t>Laura Armstrong</t>
  </si>
  <si>
    <t>Sony 32GB Class 10 Micro SDHC R40 Memory Card</t>
  </si>
  <si>
    <t>US-2017-168935</t>
  </si>
  <si>
    <t>Denny Ordway</t>
  </si>
  <si>
    <t>Pembroke Pines</t>
  </si>
  <si>
    <t>Hon Practical Foundations 30 x 60 Training Table, Light Gray/Charcoal</t>
  </si>
  <si>
    <t>Logitech Media Keyboard K200</t>
  </si>
  <si>
    <t>CA-2017-122756</t>
  </si>
  <si>
    <t>Dean Katz</t>
  </si>
  <si>
    <t>Lexmark MarkNet N8150 Wireless Print Server</t>
  </si>
  <si>
    <t>3M Hangers With Command Adhesive</t>
  </si>
  <si>
    <t>CA-2016-115973</t>
  </si>
  <si>
    <t>Nathan Gelder</t>
  </si>
  <si>
    <t>Crayola Colored Pencils</t>
  </si>
  <si>
    <t>CA-2019-101798</t>
  </si>
  <si>
    <t>Mike Vittorini</t>
  </si>
  <si>
    <t>Angle-D Binders with Locking Rings, Label Holders</t>
  </si>
  <si>
    <t>US-2016-135972</t>
  </si>
  <si>
    <t>Jack Garza</t>
  </si>
  <si>
    <t>Des Moines</t>
  </si>
  <si>
    <t>Nortel Meridian M3904 Professional Digital phone</t>
  </si>
  <si>
    <t>Canon PC1080F Personal Copier</t>
  </si>
  <si>
    <t>US-2016-134971</t>
  </si>
  <si>
    <t>Bart Pistole</t>
  </si>
  <si>
    <t>Peoria</t>
  </si>
  <si>
    <t>Wilson Jones Century Plastic Molded Ring Binders</t>
  </si>
  <si>
    <t>CA-2019-102946</t>
  </si>
  <si>
    <t>Victor Preis</t>
  </si>
  <si>
    <t>Las Vegas</t>
  </si>
  <si>
    <t>Nevada</t>
  </si>
  <si>
    <t>Tuf-Vin Binders</t>
  </si>
  <si>
    <t>CA-2019-165603</t>
  </si>
  <si>
    <t>Saphhira Shifley</t>
  </si>
  <si>
    <t>Warwick</t>
  </si>
  <si>
    <t>Rhode Island</t>
  </si>
  <si>
    <t>2300 Heavy-Duty Transfer File Systems by Perma</t>
  </si>
  <si>
    <t>Xerox 1958</t>
  </si>
  <si>
    <t>CA-2017-122259</t>
  </si>
  <si>
    <t>Acme 10" Easy Grip Assistive Scissors</t>
  </si>
  <si>
    <t>CA-2018-108987</t>
  </si>
  <si>
    <t>Anna Gayman</t>
  </si>
  <si>
    <t>Super Decoflex Portable Personal File</t>
  </si>
  <si>
    <t>Contico 72"H Heavy-Duty Storage System</t>
  </si>
  <si>
    <t>Sony 64GB Class 10 Micro SDHC R40 Memory Card</t>
  </si>
  <si>
    <t>CA-2016-113166</t>
  </si>
  <si>
    <t>Luke Foster</t>
  </si>
  <si>
    <t>Miami</t>
  </si>
  <si>
    <t>Xerox 1974</t>
  </si>
  <si>
    <t>CA-2016-155208</t>
  </si>
  <si>
    <t>Avery Hi-Liter EverBold Pen Style Fluorescent Highlighters, 4/Pack</t>
  </si>
  <si>
    <t>CA-2019-117933</t>
  </si>
  <si>
    <t>Roy Französisch</t>
  </si>
  <si>
    <t>Staple holder</t>
  </si>
  <si>
    <t>CA-2019-117457</t>
  </si>
  <si>
    <t>Keith Herrera</t>
  </si>
  <si>
    <t>Sharp AL-1530CS Digital Copier</t>
  </si>
  <si>
    <t>Wirebound Message Book, 4 per Page</t>
  </si>
  <si>
    <t>Bevis Round Conference Table Top, X-Base</t>
  </si>
  <si>
    <t>Wirebound Service Call Books, 5 1/2" x 4"</t>
  </si>
  <si>
    <t>Self-Adhesive Removable Labels</t>
  </si>
  <si>
    <t>Xerox 1908</t>
  </si>
  <si>
    <t>O'Sullivan 4-Shelf Bookcase in Odessa Pine</t>
  </si>
  <si>
    <t>Novimex High-Tech Fabric Mesh Task Chair</t>
  </si>
  <si>
    <t>CA-2019-142636</t>
  </si>
  <si>
    <t>Kimberly Carter</t>
  </si>
  <si>
    <t>Xerox 191</t>
  </si>
  <si>
    <t>CA-2019-122105</t>
  </si>
  <si>
    <t>Caroline Jumper</t>
  </si>
  <si>
    <t>Huntington Beach</t>
  </si>
  <si>
    <t>Bulldog Vacuum Base Pencil Sharpener</t>
  </si>
  <si>
    <t>CA-2018-148796</t>
  </si>
  <si>
    <t>Philip Brown</t>
  </si>
  <si>
    <t>Bevis Steel Folding Chairs</t>
  </si>
  <si>
    <t>CA-2019-154816</t>
  </si>
  <si>
    <t>Richmond</t>
  </si>
  <si>
    <t>Xerox 1987</t>
  </si>
  <si>
    <t>CA-2019-110478</t>
  </si>
  <si>
    <t>American Pencil</t>
  </si>
  <si>
    <t>White Envelopes, White Envelopes with Clear Poly Window</t>
  </si>
  <si>
    <t>CA-2016-142048</t>
  </si>
  <si>
    <t>Louisville</t>
  </si>
  <si>
    <t>KeyTronic 6101 Series - Keyboard - Black</t>
  </si>
  <si>
    <t>CA-2019-125388</t>
  </si>
  <si>
    <t>Michael Paige</t>
  </si>
  <si>
    <t>Lawrence</t>
  </si>
  <si>
    <t>Westinghouse Mesh Shade Clip-On Gooseneck Lamp, Black</t>
  </si>
  <si>
    <t>Crate-A-Files</t>
  </si>
  <si>
    <t>CA-2019-155705</t>
  </si>
  <si>
    <t>Natalie Fritzler</t>
  </si>
  <si>
    <t>Mississippi</t>
  </si>
  <si>
    <t>Hon Multipurpose Stacking Arm Chairs</t>
  </si>
  <si>
    <t>CA-2019-149160</t>
  </si>
  <si>
    <t>Canton</t>
  </si>
  <si>
    <t>Coloredge Poster Frame</t>
  </si>
  <si>
    <t>GBC VeloBinder Manual Binding System</t>
  </si>
  <si>
    <t>CA-2016-101476</t>
  </si>
  <si>
    <t>Shirley Daniels</t>
  </si>
  <si>
    <t>New Rochelle</t>
  </si>
  <si>
    <t>Epson WorkForce WF-2530 All-in-One Printer, Copier Scanner</t>
  </si>
  <si>
    <t>CA-2019-152275</t>
  </si>
  <si>
    <t>Ken Heidel</t>
  </si>
  <si>
    <t>Design Ebony Sketching Pencil</t>
  </si>
  <si>
    <t>US-2018-123750</t>
  </si>
  <si>
    <t>Ross Baird</t>
  </si>
  <si>
    <t>Gastonia</t>
  </si>
  <si>
    <t>GBC ProClick 150 Presentation Binding System</t>
  </si>
  <si>
    <t>Woodgrain Magazine Files by Perma</t>
  </si>
  <si>
    <t>CA-2018-127369</t>
  </si>
  <si>
    <t>Letter Size Cart</t>
  </si>
  <si>
    <t>US-2016-150574</t>
  </si>
  <si>
    <t>Mike Kennedy</t>
  </si>
  <si>
    <t>Jacksonville</t>
  </si>
  <si>
    <t>Insertable Tab Post Binder Dividers</t>
  </si>
  <si>
    <t>Belkin QODE FastFit Bluetooth Keyboard</t>
  </si>
  <si>
    <t>CA-2018-147375</t>
  </si>
  <si>
    <t>Philisse Overcash</t>
  </si>
  <si>
    <t>Canon Color ImageCLASS MF8580Cdw Wireless Laser All-In-One Printer, Copier, Scanner</t>
  </si>
  <si>
    <t>CA-2019-130043</t>
  </si>
  <si>
    <t>Brenda Bowman</t>
  </si>
  <si>
    <t>Xerox 1897</t>
  </si>
  <si>
    <t>CA-2019-157252</t>
  </si>
  <si>
    <t>Global Deluxe Steno Chair</t>
  </si>
  <si>
    <t>CA-2018-115756</t>
  </si>
  <si>
    <t>Aluminum Document Frame</t>
  </si>
  <si>
    <t>Fellowes Bankers Box Staxonsteel Drawer File/Stacking System</t>
  </si>
  <si>
    <t>Eldon Mobile Mega Data Cart  Mega Stackable  Add-On Trays</t>
  </si>
  <si>
    <t>Xerox Color Copier Paper, 11" x 17", Ream</t>
  </si>
  <si>
    <t>Office Star - Ergonomically Designed Knee Chair</t>
  </si>
  <si>
    <t>Avery 520</t>
  </si>
  <si>
    <t>CA-2019-154214</t>
  </si>
  <si>
    <t>Troy Blackwell</t>
  </si>
  <si>
    <t>GE General Purpose, Extra Long Life, Showcase &amp; Floodlight Incandescent Bulbs</t>
  </si>
  <si>
    <t>CA-2018-166674</t>
  </si>
  <si>
    <t>Raymond Buch</t>
  </si>
  <si>
    <t>Auburn</t>
  </si>
  <si>
    <t>Newell 345</t>
  </si>
  <si>
    <t>Fellowes Bankers Box Recycled Super Stor/Drawer</t>
  </si>
  <si>
    <t>Boston 1645 Deluxe Heavier-Duty Electric Pencil Sharpener</t>
  </si>
  <si>
    <t>50 Colored Long Pencils</t>
  </si>
  <si>
    <t>Newell 342</t>
  </si>
  <si>
    <t>Belkin Grip Candy Sheer Case / Cover for iPhone 5 and 5S</t>
  </si>
  <si>
    <t>CA-2019-147277</t>
  </si>
  <si>
    <t>Ed Braxton</t>
  </si>
  <si>
    <t>Deluxe Rollaway Locking File with Drawer</t>
  </si>
  <si>
    <t>CA-2018-100153</t>
  </si>
  <si>
    <t>Norman</t>
  </si>
  <si>
    <t>Memorex Mini Travel Drive 16 GB USB 2.0 Flash Drive</t>
  </si>
  <si>
    <t>US-2016-110674</t>
  </si>
  <si>
    <t>Sanjit Chand</t>
  </si>
  <si>
    <t>Global Geo Office Task Chair, Gray</t>
  </si>
  <si>
    <t>US-2018-157945</t>
  </si>
  <si>
    <t>Hon 4700 Series Mobuis Mid-Back Task Chairs with Adjustable Arms</t>
  </si>
  <si>
    <t>CA-2017-109638</t>
  </si>
  <si>
    <t>3M Office Air Cleaner</t>
  </si>
  <si>
    <t>Logitech G700s Rechargeable Gaming Mouse</t>
  </si>
  <si>
    <t>Acco D-Ring Binder w/DublLock</t>
  </si>
  <si>
    <t>CA-2018-109869</t>
  </si>
  <si>
    <t>Tanja Norvell</t>
  </si>
  <si>
    <t>Bush Advantage Collection Racetrack Conference Table</t>
  </si>
  <si>
    <t>Poly Designer Cover &amp; Back</t>
  </si>
  <si>
    <t>Premier Electric Letter Opener</t>
  </si>
  <si>
    <t>Fellowes Premier Superior Surge Suppressor, 10-Outlet, With Phone and Remote</t>
  </si>
  <si>
    <t>US-2017-101399</t>
  </si>
  <si>
    <t>Joni Sundaresam</t>
  </si>
  <si>
    <t>Park Ridge</t>
  </si>
  <si>
    <t>CA-2019-154907</t>
  </si>
  <si>
    <t>Amarillo</t>
  </si>
  <si>
    <t>Bush Mission Pointe Library</t>
  </si>
  <si>
    <t>US-2018-100419</t>
  </si>
  <si>
    <t>Cardinal Hold-It CD Pocket</t>
  </si>
  <si>
    <t>CA-2017-154144</t>
  </si>
  <si>
    <t>Maya Herman</t>
  </si>
  <si>
    <t>Lindenhurst</t>
  </si>
  <si>
    <t>Eaton Premium Continuous-Feed Paper, 25% Cotton, Letter Size, White, 1000 Shts/Box</t>
  </si>
  <si>
    <t>CA-2016-144666</t>
  </si>
  <si>
    <t>Jeremy Pistek</t>
  </si>
  <si>
    <t>SAFCO Boltless Steel Shelving</t>
  </si>
  <si>
    <t>Sauder Mission Library with Doors, Fruitwood Finish</t>
  </si>
  <si>
    <t>Samsung Galaxy Note 3</t>
  </si>
  <si>
    <t>Decoflex Hanging Personal Folder File, Blue</t>
  </si>
  <si>
    <t>Recycled Desk Saver Line "While You Were Out" Book, 5 1/2" X 4"</t>
  </si>
  <si>
    <t>Xerox 1912</t>
  </si>
  <si>
    <t>CA-2018-103891</t>
  </si>
  <si>
    <t>Cisco SPA525G2 IP Phone - Wireless</t>
  </si>
  <si>
    <t>CA-2018-152632</t>
  </si>
  <si>
    <t>Jeremy Ellison</t>
  </si>
  <si>
    <t>CA-2018-100790</t>
  </si>
  <si>
    <t>John Grady</t>
  </si>
  <si>
    <t>Prang Colored Pencils</t>
  </si>
  <si>
    <t>Fellowes Strictly Business Drawer File, Letter/Legal Size</t>
  </si>
  <si>
    <t>CA-2016-134677</t>
  </si>
  <si>
    <t>Xylona Preis</t>
  </si>
  <si>
    <t>Imation USB 2.0 Swivel Flash Drive USB flash drive - 4 GB - Pink</t>
  </si>
  <si>
    <t>CA-2016-127691</t>
  </si>
  <si>
    <t>Erin Mull</t>
  </si>
  <si>
    <t>Logitech G602 Wireless Gaming Mouse</t>
  </si>
  <si>
    <t>CA-2019-140963</t>
  </si>
  <si>
    <t>Michelle Tran</t>
  </si>
  <si>
    <t>Alphabetical Labels for Top Tab Filing</t>
  </si>
  <si>
    <t>O'Sullivan Living Dimensions 2-Shelf Bookcases</t>
  </si>
  <si>
    <t>iHome FM Clock Radio with Lightning Dock</t>
  </si>
  <si>
    <t>CA-2016-154627</t>
  </si>
  <si>
    <t>Sue Ann Reed</t>
  </si>
  <si>
    <t>Apple iPhone 5S</t>
  </si>
  <si>
    <t>CA-2016-133753</t>
  </si>
  <si>
    <t>Carl Weiss</t>
  </si>
  <si>
    <t>Huntsville</t>
  </si>
  <si>
    <t>Square Credit Card Reader</t>
  </si>
  <si>
    <t>Logitech M510 Wireless Mouse</t>
  </si>
  <si>
    <t>CA-2016-113362</t>
  </si>
  <si>
    <t>Astrea Jones</t>
  </si>
  <si>
    <t>Fellowes Officeware Wire Shelving</t>
  </si>
  <si>
    <t>Colored Envelopes</t>
  </si>
  <si>
    <t>CA-2018-169166</t>
  </si>
  <si>
    <t>Sonia Sunley</t>
  </si>
  <si>
    <t>Sony Micro Vault Click 8 GB USB 2.0 Flash Drive</t>
  </si>
  <si>
    <t>US-2018-120929</t>
  </si>
  <si>
    <t>Rose O'Brian</t>
  </si>
  <si>
    <t>Balt Solid Wood Rectangular Table</t>
  </si>
  <si>
    <t>CA-2017-134782</t>
  </si>
  <si>
    <t>Maribeth Dona</t>
  </si>
  <si>
    <t>Fayetteville</t>
  </si>
  <si>
    <t>Arkansas</t>
  </si>
  <si>
    <t>Strathmore #10 Envelopes, Ultimate White</t>
  </si>
  <si>
    <t>CA-2018-126158</t>
  </si>
  <si>
    <t>Costa Mesa</t>
  </si>
  <si>
    <t>Clear Mylar Reinforcing Strips</t>
  </si>
  <si>
    <t>Howard Miller 14-1/2" Diameter Chrome Round Wall Clock</t>
  </si>
  <si>
    <t>Deflect-O Glasstique Clear Desk Accessories</t>
  </si>
  <si>
    <t>US-2018-105578</t>
  </si>
  <si>
    <t>Maribeth Yedwab</t>
  </si>
  <si>
    <t>Parker</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</si>
  <si>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</si>
  <si>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</si>
  <si>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</si>
  <si>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</si>
  <si>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</si>
  <si>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CA-2019-134978</t>
  </si>
  <si>
    <t>CA-2017-145352</t>
  </si>
  <si>
    <t>Christopher Martinez</t>
  </si>
  <si>
    <t>Atlanta</t>
  </si>
  <si>
    <t>Rogers Handheld Barrel Pencil Sharpener</t>
  </si>
  <si>
    <t>Newell 344</t>
  </si>
  <si>
    <t>Personal File Boxes with Fold-Down Carry Handle</t>
  </si>
  <si>
    <t>Fellowes PB500 Electric Punch Plastic Comb Binding Machine with Manual Bind</t>
  </si>
  <si>
    <t>CA-2019-135307</t>
  </si>
  <si>
    <t>Lynn Smith</t>
  </si>
  <si>
    <t>Gladstone</t>
  </si>
  <si>
    <t>Executive Impressions Supervisor Wall Clock</t>
  </si>
  <si>
    <t>SanDisk Cruzer 32 GB USB Flash Drive</t>
  </si>
  <si>
    <t>CA-2018-106341</t>
  </si>
  <si>
    <t>CA-2019-163405</t>
  </si>
  <si>
    <t>Bradley Nguyen</t>
  </si>
  <si>
    <t>Newell 327</t>
  </si>
  <si>
    <t>Newell 317</t>
  </si>
  <si>
    <t>CA-2019-127432</t>
  </si>
  <si>
    <t>Great Falls</t>
  </si>
  <si>
    <t>Montana</t>
  </si>
  <si>
    <t>Canon Image Class D660 Copier</t>
  </si>
  <si>
    <t>Advantus Rolling Storage Box</t>
  </si>
  <si>
    <t>Great White Multi-Use Recycled Paper (20Lb. and 84 Bright)</t>
  </si>
  <si>
    <t>Tennsco Single-Tier Lockers</t>
  </si>
  <si>
    <t>CA-2017-157812</t>
  </si>
  <si>
    <t>Dean Braden</t>
  </si>
  <si>
    <t>Carina Double Wide Media Storage Towers in Natural &amp; Black</t>
  </si>
  <si>
    <t>XtraLife ClearVue Slant-D Ring Binders by Cardinal</t>
  </si>
  <si>
    <t>CA-2019-145142</t>
  </si>
  <si>
    <t>Matt Connell</t>
  </si>
  <si>
    <t>US-2018-139486</t>
  </si>
  <si>
    <t>Motorola HK250 Universal Bluetooth Headset</t>
  </si>
  <si>
    <t>Imation 16GB Mini TravelDrive USB 2.0 Flash Drive</t>
  </si>
  <si>
    <t>CA-2017-158792</t>
  </si>
  <si>
    <t>Brian Dahlen</t>
  </si>
  <si>
    <t>CA-2019-113558</t>
  </si>
  <si>
    <t>Patricia Hirasaki</t>
  </si>
  <si>
    <t>Lakeland</t>
  </si>
  <si>
    <t>Global Commerce Series High-Back Swivel/Tilt Chairs</t>
  </si>
  <si>
    <t>US-2017-138303</t>
  </si>
  <si>
    <t>Mike Gockenbach</t>
  </si>
  <si>
    <t>Eldon Gobal File Keepers</t>
  </si>
  <si>
    <t>Martin Yale Chadless Opener Electric Letter Opener</t>
  </si>
  <si>
    <t>White Business Envelopes with Contemporary Seam, Recycled White Business Envelopes</t>
  </si>
  <si>
    <t>CA-2017-102848</t>
  </si>
  <si>
    <t>Karen Bern</t>
  </si>
  <si>
    <t>Safco Contoured Stacking Chairs</t>
  </si>
  <si>
    <t>US-2019-129441</t>
  </si>
  <si>
    <t>Jasper Cacioppo</t>
  </si>
  <si>
    <t>Tenex Chairmats For Use With Carpeted Floors</t>
  </si>
  <si>
    <t>CA-2018-168753</t>
  </si>
  <si>
    <t>Rob Lucas</t>
  </si>
  <si>
    <t>Montgomery</t>
  </si>
  <si>
    <t>Panasonic KX-TG9471B</t>
  </si>
  <si>
    <t>CA-2018-126613</t>
  </si>
  <si>
    <t>Allen Armold</t>
  </si>
  <si>
    <t>Mesa</t>
  </si>
  <si>
    <t>Sterilite Officeware Hinged File Box</t>
  </si>
  <si>
    <t>US-2019-122637</t>
  </si>
  <si>
    <t>Emily Phan</t>
  </si>
  <si>
    <t>Premier Elliptical Ring Binder, Black</t>
  </si>
  <si>
    <t>CA-2017-147851</t>
  </si>
  <si>
    <t>Cardinal Poly Pocket Divider Pockets for Ring Binders</t>
  </si>
  <si>
    <t>CA-2017-134894</t>
  </si>
  <si>
    <t>Darren Koutras</t>
  </si>
  <si>
    <t>Eureka The Boss Cordless Rechargeable Stick Vac</t>
  </si>
  <si>
    <t>Situations Contoured Folding Chairs, 4/Set</t>
  </si>
  <si>
    <t>CA-2016-140795</t>
  </si>
  <si>
    <t>Bradley Drucker</t>
  </si>
  <si>
    <t>Green Bay</t>
  </si>
  <si>
    <t>Enermax Aurora Lite Keyboard</t>
  </si>
  <si>
    <t>CA-2018-136924</t>
  </si>
  <si>
    <t>LG Electronics Tone+ HBS-730 Bluetooth Headset</t>
  </si>
  <si>
    <t>US-2017-120161</t>
  </si>
  <si>
    <t>Liz MacKendrick</t>
  </si>
  <si>
    <t>CA-2016-103849</t>
  </si>
  <si>
    <t>SanDisk Cruzer 64 GB USB Flash Drive</t>
  </si>
  <si>
    <t>Xblue XB-1670-86 X16 Small Office Telephone - Titanium</t>
  </si>
  <si>
    <t>Deflect-o EconoMat Studded, No Bevel Mat for Low Pile Carpeting</t>
  </si>
  <si>
    <t>CA-2019-162929</t>
  </si>
  <si>
    <t>Adrian Shami</t>
  </si>
  <si>
    <t>Avery Printable Repositionable Plastic Tabs</t>
  </si>
  <si>
    <t>Xerox 1898</t>
  </si>
  <si>
    <t>CA-2017-113173</t>
  </si>
  <si>
    <t>CA-2018-136406</t>
  </si>
  <si>
    <t>Bill Donatelli</t>
  </si>
  <si>
    <t>HON 5400 Series Task Chairs for Big and Tall</t>
  </si>
  <si>
    <t>CA-2019-112774</t>
  </si>
  <si>
    <t>Howard Miller 11-1/2" Diameter Grantwood Wall Clock</t>
  </si>
  <si>
    <t>CA-2019-101945</t>
  </si>
  <si>
    <t>Greg Tran</t>
  </si>
  <si>
    <t>Advantus T-Pin Paper Clips</t>
  </si>
  <si>
    <t>CA-2019-100650</t>
  </si>
  <si>
    <t>Anaheim</t>
  </si>
  <si>
    <t>Tennsco 16-Compartment Lockers with Coat Rack</t>
  </si>
  <si>
    <t>CA-2016-155852</t>
  </si>
  <si>
    <t>Ashley Jarboe</t>
  </si>
  <si>
    <t>Zebra Zazzle Fluorescent Highlighters</t>
  </si>
  <si>
    <t>CA-2018-113243</t>
  </si>
  <si>
    <t>Olvera Toch</t>
  </si>
  <si>
    <t>Avery 473</t>
  </si>
  <si>
    <t>Bretford “Just In Time” Height-Adjustable Multi-Task Work Tables</t>
  </si>
  <si>
    <t>Xerox 226</t>
  </si>
  <si>
    <t>CA-2019-118731</t>
  </si>
  <si>
    <t>Liz Pelletier</t>
  </si>
  <si>
    <t>GBC Prepunched Paper, 19-Hole, for Binding Systems, 24-lb</t>
  </si>
  <si>
    <t>CA-2016-145576</t>
  </si>
  <si>
    <t>Cynthia Arntzen</t>
  </si>
  <si>
    <t>Sanitaire Vibra Groomer IR Commercial Upright Vacuum, Replacement Belts</t>
  </si>
  <si>
    <t>Advantus Panel Wall Acrylic Frame</t>
  </si>
  <si>
    <t>CA-2017-130736</t>
  </si>
  <si>
    <t>Jeremy Farry</t>
  </si>
  <si>
    <t>Alliance Big Bands Rubber Bands, 12/Pack</t>
  </si>
  <si>
    <t>CA-2019-137099</t>
  </si>
  <si>
    <t>Frank Preis</t>
  </si>
  <si>
    <t>Cisco SPA301</t>
  </si>
  <si>
    <t>CA-2019-156951</t>
  </si>
  <si>
    <t>Ellis Ballard</t>
  </si>
  <si>
    <t>Personal Creations Ink Jet Cards and Labels</t>
  </si>
  <si>
    <t>GBC White Gloss Covers, Plain Front</t>
  </si>
  <si>
    <t>Xerox 222</t>
  </si>
  <si>
    <t>Hon Every-Day Series Multi-Task Chairs</t>
  </si>
  <si>
    <t>CA-2019-164826</t>
  </si>
  <si>
    <t>Jennifer Ferguson</t>
  </si>
  <si>
    <t>Cush Cases Heavy Duty Rugged Cover Case for Samsung Galaxy S5 - Purple</t>
  </si>
  <si>
    <t>CA-2018-127250</t>
  </si>
  <si>
    <t>Sarah Foster</t>
  </si>
  <si>
    <t>Marysville</t>
  </si>
  <si>
    <t>Newell 332</t>
  </si>
  <si>
    <t>CA-2017-149713</t>
  </si>
  <si>
    <t>Trudy Glocke</t>
  </si>
  <si>
    <t>Rediform S.O.S. Phone Message Books</t>
  </si>
  <si>
    <t>Acme Value Line Scissors</t>
  </si>
  <si>
    <t>CA-2019-118640</t>
  </si>
  <si>
    <t>Carlos Soltero</t>
  </si>
  <si>
    <t>Contract Clock, 14", Brown</t>
  </si>
  <si>
    <t>CA-2017-132906</t>
  </si>
  <si>
    <t>Charles Crestani</t>
  </si>
  <si>
    <t>Martin-Yale Premier Letter Opener</t>
  </si>
  <si>
    <t>CA-2019-145233</t>
  </si>
  <si>
    <t>Dianna Vittorini</t>
  </si>
  <si>
    <t>AT&amp;T SB67148 SynJ</t>
  </si>
  <si>
    <t>Recycled Pressboard Report Cover with Reinforced Top Hinge</t>
  </si>
  <si>
    <t>CA-2017-128139</t>
  </si>
  <si>
    <t>Bruce Degenhardt</t>
  </si>
  <si>
    <t>Dot Matrix Printer Tape Reel Labels, White, 5000/Box</t>
  </si>
  <si>
    <t>US-2018-156986</t>
  </si>
  <si>
    <t>Zuschuss Carroll</t>
  </si>
  <si>
    <t>Salem</t>
  </si>
  <si>
    <t>i.Sound Portable Power - 8000 mAh</t>
  </si>
  <si>
    <t>Xerox 225</t>
  </si>
  <si>
    <t>Xerox 1894</t>
  </si>
  <si>
    <t>CA-2016-135405</t>
  </si>
  <si>
    <t>Melanie Seite</t>
  </si>
  <si>
    <t>Laredo</t>
  </si>
  <si>
    <t>Newell 312</t>
  </si>
  <si>
    <t>CA-2016-131450</t>
  </si>
  <si>
    <t>Lena Radford</t>
  </si>
  <si>
    <t>Fellowes Superior 10 Outlet Split Surge Protector</t>
  </si>
  <si>
    <t>Dana Halogen Swing-Arm Architect Lamp</t>
  </si>
  <si>
    <t>CA-2018-120180</t>
  </si>
  <si>
    <t>Theone Pippenger</t>
  </si>
  <si>
    <t>Acme Stainless Steel Office Snips</t>
  </si>
  <si>
    <t>US-2018-100720</t>
  </si>
  <si>
    <t>Chloris Kastensmidt</t>
  </si>
  <si>
    <t>Mophie Juice Pack Helium for iPhone</t>
  </si>
  <si>
    <t>GE 2-Jack Phone Line Splitter</t>
  </si>
  <si>
    <t>CA-2016-149958</t>
  </si>
  <si>
    <t>Alan Shonely</t>
  </si>
  <si>
    <t>Hot File 7-Pocket, Floor Stand</t>
  </si>
  <si>
    <t>Xerox 1889</t>
  </si>
  <si>
    <t>US-2016-105767</t>
  </si>
  <si>
    <t>Andrew Roberts</t>
  </si>
  <si>
    <t>Angle-D Ring Binders</t>
  </si>
  <si>
    <t>Motorola L804</t>
  </si>
  <si>
    <t>CA-2018-161816</t>
  </si>
  <si>
    <t>Nona Balk</t>
  </si>
  <si>
    <t>Avery 493</t>
  </si>
  <si>
    <t>CA-2018-121223</t>
  </si>
  <si>
    <t>Giulietta Dortch</t>
  </si>
  <si>
    <t>Xerox 1972</t>
  </si>
  <si>
    <t>Cisco 8x8 Inc. 6753i IP Business Phone System</t>
  </si>
  <si>
    <t>CA-2019-138611</t>
  </si>
  <si>
    <t>Clytie Kelty</t>
  </si>
  <si>
    <t>Grove City</t>
  </si>
  <si>
    <t>Prestige Round Ring Binders</t>
  </si>
  <si>
    <t>CA-2019-117947</t>
  </si>
  <si>
    <t>Nat Gilpin</t>
  </si>
  <si>
    <t>DAX Metal Frame, Desktop, Stepped-Edge</t>
  </si>
  <si>
    <t>DAX Value U-Channel Document Frames, Easel Back</t>
  </si>
  <si>
    <t>Recycled Easel Ring Binders</t>
  </si>
  <si>
    <t>Grandstream GXP1160 VoIP phone</t>
  </si>
  <si>
    <t>US-2016-111171</t>
  </si>
  <si>
    <t>Christina Anderson</t>
  </si>
  <si>
    <t>Cardinal Slant-D Ring Binder, Heavy Gauge Vinyl</t>
  </si>
  <si>
    <t>CA-2017-138009</t>
  </si>
  <si>
    <t>Sylvia Foulston</t>
  </si>
  <si>
    <t>Dearborn</t>
  </si>
  <si>
    <t>Global Manager's Adjustable Task Chair, Storm</t>
  </si>
  <si>
    <t>Honeywell Enviracaire Portable HEPA Air Cleaner for up to 10 x 16 Room</t>
  </si>
  <si>
    <t>Mini 13-1/2 Capacity Data Binder Rack, Pearl</t>
  </si>
  <si>
    <t>CA-2019-163020</t>
  </si>
  <si>
    <t>Meg O'Connel</t>
  </si>
  <si>
    <t>Master Caster Door Stop, Brown</t>
  </si>
  <si>
    <t>CA-2019-153787</t>
  </si>
  <si>
    <t>Annie Thurman</t>
  </si>
  <si>
    <t>Belkin Premiere Surge Master II 8-outlet surge protector</t>
  </si>
  <si>
    <t>CA-2019-133431</t>
  </si>
  <si>
    <t>Acco Pressboard Covers with Storage Hooks, 9 1/2" x 11", Executive Red</t>
  </si>
  <si>
    <t>US-2018-135720</t>
  </si>
  <si>
    <t>Fred McMath</t>
  </si>
  <si>
    <t>Tennsco Regal Shelving Units</t>
  </si>
  <si>
    <t>Imation 32GB Pocket Pro USB 3.0 Flash Drive - 32 GB - Black - 1 P ...</t>
  </si>
  <si>
    <t>Jabra SPEAK 410</t>
  </si>
  <si>
    <t>CA-2019-144694</t>
  </si>
  <si>
    <t>Verbatim 25 GB 6x Blu-ray Single Layer Recordable Disc, 1/Pack</t>
  </si>
  <si>
    <t>CA-2017-168004</t>
  </si>
  <si>
    <t>Denny Joy</t>
  </si>
  <si>
    <t>Warner Robins</t>
  </si>
  <si>
    <t>Office Star - Mesh Screen back chair with Vinyl seat</t>
  </si>
  <si>
    <t>US-2018-123470</t>
  </si>
  <si>
    <t>Max Engle</t>
  </si>
  <si>
    <t>Premium Transparent Presentation Covers by GBC</t>
  </si>
  <si>
    <t>Tripp Lite TLP810NET Broadband Surge for Modem/Fax</t>
  </si>
  <si>
    <t>CA-2018-115917</t>
  </si>
  <si>
    <t>Vallejo</t>
  </si>
  <si>
    <t>Wilson Jones Turn Tabs Binder Tool for Ring Binders</t>
  </si>
  <si>
    <t>CA-2018-147067</t>
  </si>
  <si>
    <t>Justin Deggeller</t>
  </si>
  <si>
    <t>Eldon 200 Class Desk Accessories</t>
  </si>
  <si>
    <t>CA-2019-167913</t>
  </si>
  <si>
    <t>John Lee</t>
  </si>
  <si>
    <t>Mission Viejo</t>
  </si>
  <si>
    <t>Economy Rollaway Files</t>
  </si>
  <si>
    <t>Avery 480</t>
  </si>
  <si>
    <t>CA-2019-106103</t>
  </si>
  <si>
    <t>Sean Christensen</t>
  </si>
  <si>
    <t>Rochester Hills</t>
  </si>
  <si>
    <t>US-2019-127719</t>
  </si>
  <si>
    <t>Plainfield</t>
  </si>
  <si>
    <t>Xerox 1993</t>
  </si>
  <si>
    <t>CA-2019-126221</t>
  </si>
  <si>
    <t>Chuck Clark</t>
  </si>
  <si>
    <t>Eureka The Boss Plus 12-Amp Hard Box Upright Vacuum, Red</t>
  </si>
  <si>
    <t>CA-2018-103947</t>
  </si>
  <si>
    <t>Sierra Vista</t>
  </si>
  <si>
    <t>Belkin F9H710-06 7 Outlet SurgeMaster Surge Protector</t>
  </si>
  <si>
    <t>CA-2018-160745</t>
  </si>
  <si>
    <t>Anthony Rawles</t>
  </si>
  <si>
    <t>Vancouver</t>
  </si>
  <si>
    <t>First Data FD10 PIN Pad</t>
  </si>
  <si>
    <t>CA-2018-132661</t>
  </si>
  <si>
    <t>Steven Roelle</t>
  </si>
  <si>
    <t>CA-2019-140844</t>
  </si>
  <si>
    <t>Sony 16GB Class 10 Micro SDHC R40 Memory Card</t>
  </si>
  <si>
    <t>CA-2018-137239</t>
  </si>
  <si>
    <t>Craig Reiter</t>
  </si>
  <si>
    <t>Tripp Lite Isotel 8 Ultra 8 Outlet Metal Surge</t>
  </si>
  <si>
    <t>Avery Durable Poly Binders</t>
  </si>
  <si>
    <t>Airmail Envelopes</t>
  </si>
  <si>
    <t>US-2018-156097</t>
  </si>
  <si>
    <t>Eugene Hildebrand</t>
  </si>
  <si>
    <t>CA-2017-146563</t>
  </si>
  <si>
    <t>Space Solutions Commercial Steel Shelving</t>
  </si>
  <si>
    <t>CA-2018-123666</t>
  </si>
  <si>
    <t>Sibella Parks</t>
  </si>
  <si>
    <t>CA-2018-143308</t>
  </si>
  <si>
    <t>CA-2019-132682</t>
  </si>
  <si>
    <t>Tiffany House</t>
  </si>
  <si>
    <t>Acme Tagit Stainless Steel Antibacterial Scissors</t>
  </si>
  <si>
    <t>ClearOne Communications CHAT 70 OC Speaker Phone</t>
  </si>
  <si>
    <t>CA-2016-156314</t>
  </si>
  <si>
    <t>Resi Pölking</t>
  </si>
  <si>
    <t>Cleveland</t>
  </si>
  <si>
    <t>Master Giant Foot Doorstop, Safety Yellow</t>
  </si>
  <si>
    <t>US-2019-106663</t>
  </si>
  <si>
    <t>12-1/2 Diameter Round Wall Clock</t>
  </si>
  <si>
    <t>Chromcraft Bull-Nose Wood Round Conference Table Top, Wood Base</t>
  </si>
  <si>
    <t>Adams Telephone Message Book W/Dividers/Space For Phone Numbers, 5 1/4"X8 1/2", 200/Messages</t>
  </si>
  <si>
    <t>CA-2019-111178</t>
  </si>
  <si>
    <t>Newell 331</t>
  </si>
  <si>
    <t>CA-2019-130351</t>
  </si>
  <si>
    <t>Rob Beeghly</t>
  </si>
  <si>
    <t>Kensington 6 Outlet Guardian Standard Surge Protector</t>
  </si>
  <si>
    <t>Southworth 100% Résumé Paper, 24lb.</t>
  </si>
  <si>
    <t>US-2019-119438</t>
  </si>
  <si>
    <t>Carol Darley</t>
  </si>
  <si>
    <t>Tyler</t>
  </si>
  <si>
    <t>Hoover Portapower Portable Vacuum</t>
  </si>
  <si>
    <t>Verbatim 25 GB 6x Blu-ray Single Layer Recordable Disc, 10/Pack</t>
  </si>
  <si>
    <t>Howard Miller 13-1/2" Diameter Rosebrook Wall Clock</t>
  </si>
  <si>
    <t>Ibico Hi-Tech Manual Binding System</t>
  </si>
  <si>
    <t>CA-2018-164511</t>
  </si>
  <si>
    <t>Doug Jacobs</t>
  </si>
  <si>
    <t>Avery Hanging File Binders</t>
  </si>
  <si>
    <t>Fellowes Neat Ideas Storage Cubes</t>
  </si>
  <si>
    <t>US-2019-168116</t>
  </si>
  <si>
    <t>Grant Thornton</t>
  </si>
  <si>
    <t>Burlington</t>
  </si>
  <si>
    <t>Cubify CubeX 3D Printer Triple Head Print</t>
  </si>
  <si>
    <t>CA-2016-157784</t>
  </si>
  <si>
    <t>Michael Chen</t>
  </si>
  <si>
    <t>Avery 516</t>
  </si>
  <si>
    <t>CA-2019-161480</t>
  </si>
  <si>
    <t>Ralph Arnett</t>
  </si>
  <si>
    <t>Bush Andora Bookcase, Maple/Graphite Gray Finish</t>
  </si>
  <si>
    <t>US-2016-117135</t>
  </si>
  <si>
    <t>Naresj Patel</t>
  </si>
  <si>
    <t>Waynesboro</t>
  </si>
  <si>
    <t>Luxo Professional Magnifying Clamp-On Fluorescent Lamps</t>
  </si>
  <si>
    <t>Recycled Eldon Regeneration Jumbo File</t>
  </si>
  <si>
    <t>CA-2017-131534</t>
  </si>
  <si>
    <t>Alan Barnes</t>
  </si>
  <si>
    <t>Imation Bio 8GB USB Flash Drive Imation Corp</t>
  </si>
  <si>
    <t>Xerox 1977</t>
  </si>
  <si>
    <t>CA-2017-119291</t>
  </si>
  <si>
    <t>Jesus Ocampo</t>
  </si>
  <si>
    <t>Chester</t>
  </si>
  <si>
    <t>Avery 490</t>
  </si>
  <si>
    <t>Avery 4027 File Folder Labels for Dot Matrix Printers, 5000 Labels per Box, White</t>
  </si>
  <si>
    <t>Binney &amp; Smith Crayola Metallic Crayons, 16-Color Pack</t>
  </si>
  <si>
    <t>GBC Linen Binding Covers</t>
  </si>
  <si>
    <t>CA-2019-114552</t>
  </si>
  <si>
    <t>CA-2018-163755</t>
  </si>
  <si>
    <t>Tenex "The Solids" Textured Chair Mats</t>
  </si>
  <si>
    <t>CA-2017-142027</t>
  </si>
  <si>
    <t>Jay Kimmel</t>
  </si>
  <si>
    <t>Laminate Occasional Tables</t>
  </si>
  <si>
    <t>CA-2016-138527</t>
  </si>
  <si>
    <t>Brad Norvell</t>
  </si>
  <si>
    <t>Cary</t>
  </si>
  <si>
    <t>Xerox 220</t>
  </si>
  <si>
    <t>Fellowes 8 Outlet Superior Workstation Surge Protector</t>
  </si>
  <si>
    <t>CA-2016-112158</t>
  </si>
  <si>
    <t>David Philippe</t>
  </si>
  <si>
    <t>O'Sullivan Living Dimensions 5-Shelf Bookcases</t>
  </si>
  <si>
    <t>CA-2016-113887</t>
  </si>
  <si>
    <t>Tracy Hopkins</t>
  </si>
  <si>
    <t>CA-2019-146136</t>
  </si>
  <si>
    <t>Arthur Prichep</t>
  </si>
  <si>
    <t>Palm Coast</t>
  </si>
  <si>
    <t>#10- 4 1/8" x 9 1/2" Security-Tint Envelopes</t>
  </si>
  <si>
    <t>US-2019-100048</t>
  </si>
  <si>
    <t>Roland Schwarz</t>
  </si>
  <si>
    <t>Mount Vernon</t>
  </si>
  <si>
    <t>Bionaire Personal Warm Mist Humidifier/Vaporizer</t>
  </si>
  <si>
    <t>Logitech Wireless Performance Mouse MX for PC and Mac</t>
  </si>
  <si>
    <t>CA-2016-153150</t>
  </si>
  <si>
    <t>Cardinal Holdit Business Card Pockets</t>
  </si>
  <si>
    <t>CA-2016-130092</t>
  </si>
  <si>
    <t>Seth Vernon</t>
  </si>
  <si>
    <t>CA-2019-108910</t>
  </si>
  <si>
    <t>Howard Miller 13" Diameter Pewter Finish Round Wall Clock</t>
  </si>
  <si>
    <t>CA-2016-104472</t>
  </si>
  <si>
    <t>Christine Kargatis</t>
  </si>
  <si>
    <t>CA-2018-112942</t>
  </si>
  <si>
    <t>Ross DeVincentis</t>
  </si>
  <si>
    <t>Tops Green Bar Computer Printout Paper</t>
  </si>
  <si>
    <t>CA-2018-142335</t>
  </si>
  <si>
    <t>Chromcraft Bull-Nose Wood Oval Conference Tables &amp; Bases</t>
  </si>
  <si>
    <t>Recycled Data-Pak for Archival Bound Computer Printouts, 12-1/2 x 12-1/2 x 16</t>
  </si>
  <si>
    <t>CA-2016-117429</t>
  </si>
  <si>
    <t>Mathew Reese</t>
  </si>
  <si>
    <t>Seth Thomas 16" Steel Case Clock</t>
  </si>
  <si>
    <t>CA-2018-114713</t>
  </si>
  <si>
    <t>Steve Chapman</t>
  </si>
  <si>
    <t>Hialeah</t>
  </si>
  <si>
    <t>Acme Softgrip Scissors</t>
  </si>
  <si>
    <t>CA-2019-144113</t>
  </si>
  <si>
    <t>Jay Fein</t>
  </si>
  <si>
    <t>Manila Recycled Extra-Heavyweight Clasp Envelopes, 6" x 9"</t>
  </si>
  <si>
    <t>ClearSounds CSC500 Amplified Spirit Phone Corded phone</t>
  </si>
  <si>
    <t>US-2018-150861</t>
  </si>
  <si>
    <t>Emily Grady</t>
  </si>
  <si>
    <t>Oceanside</t>
  </si>
  <si>
    <t>Xerox 1964</t>
  </si>
  <si>
    <t>Bevis Traditional Conference Table Top, Plinth Base</t>
  </si>
  <si>
    <t>Personal Folder Holder, Ebony</t>
  </si>
  <si>
    <t>CA-2019-131954</t>
  </si>
  <si>
    <t>Darrin Sayre</t>
  </si>
  <si>
    <t>Logitech Illuminated - Keyboard</t>
  </si>
  <si>
    <t>O'Sullivan Cherrywood Estates Traditional Bookcase</t>
  </si>
  <si>
    <t>Acco Translucent Poly Ring Binders</t>
  </si>
  <si>
    <t>CA-2016-132500</t>
  </si>
  <si>
    <t>Logitech Wireless Touch Keyboard K400</t>
  </si>
  <si>
    <t>CA-2016-112326</t>
  </si>
  <si>
    <t>Phillina Ober</t>
  </si>
  <si>
    <t>Avery 508</t>
  </si>
  <si>
    <t>GBC Standard Plastic Binding Systems Combs</t>
  </si>
  <si>
    <t>US-2018-146710</t>
  </si>
  <si>
    <t>Sung Shariari</t>
  </si>
  <si>
    <t>Xerox 196</t>
  </si>
  <si>
    <t>Fiskars 8" Scissors, 2/Pack</t>
  </si>
  <si>
    <t>CA-2016-124429</t>
  </si>
  <si>
    <t>CA-2018-150889</t>
  </si>
  <si>
    <t>Peter Bühler</t>
  </si>
  <si>
    <t>Evanston</t>
  </si>
  <si>
    <t>Belkin iPhone and iPad Lightning Cable</t>
  </si>
  <si>
    <t>CA-2019-126074</t>
  </si>
  <si>
    <t>Roland Fjeld</t>
  </si>
  <si>
    <t>Trenton</t>
  </si>
  <si>
    <t>GBC Durable Plastic Covers</t>
  </si>
  <si>
    <t>Nu-Dell Leatherette Frames</t>
  </si>
  <si>
    <t>Avery Durable Binders</t>
  </si>
  <si>
    <t>CA-2018-110499</t>
  </si>
  <si>
    <t>Yoseph Carroll</t>
  </si>
  <si>
    <t>Hewlett Packard 610 Color Digital Copier / Printer</t>
  </si>
  <si>
    <t>CA-2017-135272</t>
  </si>
  <si>
    <t>CA-2018-140928</t>
  </si>
  <si>
    <t>Chromcraft Round Conference Tables</t>
  </si>
  <si>
    <t>CA-2016-106803</t>
  </si>
  <si>
    <t>Debra Catini</t>
  </si>
  <si>
    <t>Cottage Grove</t>
  </si>
  <si>
    <t>CA-2019-117240</t>
  </si>
  <si>
    <t>Christine Phan</t>
  </si>
  <si>
    <t>CA-2019-133333</t>
  </si>
  <si>
    <t>Barry Französisch</t>
  </si>
  <si>
    <t>CA-2017-112319</t>
  </si>
  <si>
    <t>CA-2019-126046</t>
  </si>
  <si>
    <t>Avery 476</t>
  </si>
  <si>
    <t>CA-2017-114923</t>
  </si>
  <si>
    <t>Lisa Hazard</t>
  </si>
  <si>
    <t>CA-2016-162775</t>
  </si>
  <si>
    <t>Chris Selesnick</t>
  </si>
  <si>
    <t>Bossier City</t>
  </si>
  <si>
    <t>Brown Kraft Recycled Envelopes</t>
  </si>
  <si>
    <t>Plantronics S12 Corded Telephone Headset System</t>
  </si>
  <si>
    <t>3-ring staple pack</t>
  </si>
  <si>
    <t>Fellowes Stor/Drawer Steel Plus Storage Drawers</t>
  </si>
  <si>
    <t>CA-2016-106810</t>
  </si>
  <si>
    <t>Anthony Johnson</t>
  </si>
  <si>
    <t>Electrix Halogen Magnifier Lamp</t>
  </si>
  <si>
    <t>CA-2018-157245</t>
  </si>
  <si>
    <t>Hon 4070 Series Pagoda Round Back Stacking Chairs</t>
  </si>
  <si>
    <t>CA-2019-104220</t>
  </si>
  <si>
    <t>Benjamin Venier</t>
  </si>
  <si>
    <t>Cardinal EasyOpen D-Ring Binders</t>
  </si>
  <si>
    <t>GBC Instant Report Kit</t>
  </si>
  <si>
    <t>Boston 19500 Mighty Mite Electric Pencil Sharpener</t>
  </si>
  <si>
    <t>C-Line Magnetic Cubicle Keepers, Clear Polypropylene</t>
  </si>
  <si>
    <t>CA-2016-165974</t>
  </si>
  <si>
    <t>Dan Lawera</t>
  </si>
  <si>
    <t>Dixon My First Ticonderoga Pencil, #2</t>
  </si>
  <si>
    <t>CA-2017-144267</t>
  </si>
  <si>
    <t>Hon GuestStacker Chair</t>
  </si>
  <si>
    <t>Xerox 1927</t>
  </si>
  <si>
    <t>US-2017-157014</t>
  </si>
  <si>
    <t>Bryan Mills</t>
  </si>
  <si>
    <t>Safco Value Mate Series Steel Bookcases, Baked Enamel Finish on Steel, Gray</t>
  </si>
  <si>
    <t>Microsoft Natural Ergonomic Keyboard 4000</t>
  </si>
  <si>
    <t>CA-2017-154921</t>
  </si>
  <si>
    <t>Cameo Buff Policy Envelopes</t>
  </si>
  <si>
    <t>CA-2019-129567</t>
  </si>
  <si>
    <t>Lancaster</t>
  </si>
  <si>
    <t>Heavy-Duty E-Z-D Binders</t>
  </si>
  <si>
    <t>CA-2017-154620</t>
  </si>
  <si>
    <t>Liz Thompson</t>
  </si>
  <si>
    <t>Lifetime Advantage Folding Chairs, 4/Carton</t>
  </si>
  <si>
    <t>CA-2017-115938</t>
  </si>
  <si>
    <t>Acco PRESSTEX Data Binder with Storage Hooks, Dark Blue, 9 1/2" X 11"</t>
  </si>
  <si>
    <t>Office Star - Contemporary Task Swivel Chair</t>
  </si>
  <si>
    <t>CA-2018-105256</t>
  </si>
  <si>
    <t>Joe Kamberova</t>
  </si>
  <si>
    <t>Asheville</t>
  </si>
  <si>
    <t>Cisco Unified IP Phone 7945G VoIP phone</t>
  </si>
  <si>
    <t>CA-2016-156433</t>
  </si>
  <si>
    <t>Erica Smith</t>
  </si>
  <si>
    <t>Avery 499</t>
  </si>
  <si>
    <t>CA-2019-151428</t>
  </si>
  <si>
    <t>Rick Hansen</t>
  </si>
  <si>
    <t>CA-2017-124653</t>
  </si>
  <si>
    <t>Xerox 1887</t>
  </si>
  <si>
    <t>Smead Alpha-Z Color-Coded Second Alphabetical Labels and Starter Set</t>
  </si>
  <si>
    <t>CA-2017-101910</t>
  </si>
  <si>
    <t>Carlos Daly</t>
  </si>
  <si>
    <t>Lake Elsinore</t>
  </si>
  <si>
    <t>CA-2019-105809</t>
  </si>
  <si>
    <t>Helen Wasserman</t>
  </si>
  <si>
    <t>Executive Impressions 14" Contract Wall Clock</t>
  </si>
  <si>
    <t>CA-2018-136133</t>
  </si>
  <si>
    <t>Belkin 7 Outlet SurgeMaster II</t>
  </si>
  <si>
    <t>CA-2018-115504</t>
  </si>
  <si>
    <t>Mike Caudle</t>
  </si>
  <si>
    <t>Xerox 218</t>
  </si>
  <si>
    <t>CA-2019-135783</t>
  </si>
  <si>
    <t>Gary McGarr</t>
  </si>
  <si>
    <t>Eldon Stackable Tray, Side-Load, Legal, Smoke</t>
  </si>
  <si>
    <t>CA-2016-134313</t>
  </si>
  <si>
    <t>Model L Table or Wall-Mount Pencil Sharpener</t>
  </si>
  <si>
    <t>ClearOne CHATAttach 160 - speaker phone</t>
  </si>
  <si>
    <t>CA-2017-140921</t>
  </si>
  <si>
    <t>Omaha</t>
  </si>
  <si>
    <t>Kensington SlimBlade Notebook Wireless Mouse with Nano Receiver</t>
  </si>
  <si>
    <t>CA-2016-151995</t>
  </si>
  <si>
    <t>Edmonds</t>
  </si>
  <si>
    <t>Newell 32</t>
  </si>
  <si>
    <t>Belkin F9G930V10-GRY 9 Outlet Surge</t>
  </si>
  <si>
    <t>CA-2019-143686</t>
  </si>
  <si>
    <t>Pauline Johnson</t>
  </si>
  <si>
    <t>Santa Ana</t>
  </si>
  <si>
    <t>Razer Tiamat Over Ear 7.1 Surround Sound PC Gaming Headset</t>
  </si>
  <si>
    <t>CA-2017-106565</t>
  </si>
  <si>
    <t>Bart Watters</t>
  </si>
  <si>
    <t>Milwaukee</t>
  </si>
  <si>
    <t>CA-2018-149370</t>
  </si>
  <si>
    <t>Xerox 1968</t>
  </si>
  <si>
    <t>CA-2016-140858</t>
  </si>
  <si>
    <t>Self-Adhesive Ring Binder Labels</t>
  </si>
  <si>
    <t>Global Leather Executive Chair</t>
  </si>
  <si>
    <t>GBC Recycled Grain Textured Covers</t>
  </si>
  <si>
    <t>Xerox 1941</t>
  </si>
  <si>
    <t>CA-2019-101434</t>
  </si>
  <si>
    <t>Toby Ritter</t>
  </si>
  <si>
    <t>Razer Kraken PRO Over Ear PC and Music Headset</t>
  </si>
  <si>
    <t>US-2016-102071</t>
  </si>
  <si>
    <t>Patrick Gardner</t>
  </si>
  <si>
    <t>Kingston Digital DataTraveler 32GB USB 2.0</t>
  </si>
  <si>
    <t>CA-2019-126956</t>
  </si>
  <si>
    <t>Advantus Plastic Paper Clips</t>
  </si>
  <si>
    <t>Acme Forged Steel Scissors with Black Enamel Handles</t>
  </si>
  <si>
    <t>Security-Tint Envelopes</t>
  </si>
  <si>
    <t>CA-2019-129462</t>
  </si>
  <si>
    <t>Florence</t>
  </si>
  <si>
    <t>Global Airflow Leather Mesh Back Chair, Black</t>
  </si>
  <si>
    <t>Fellowes Smart Surge Ten-Outlet Protector, Platinum</t>
  </si>
  <si>
    <t>Pyle PMP37LED</t>
  </si>
  <si>
    <t>Clarity 53712</t>
  </si>
  <si>
    <t>CA-2018-165316</t>
  </si>
  <si>
    <t>Boston 16801 Nautilus Battery Pencil Sharpener</t>
  </si>
  <si>
    <t>Holmes Replacement Filter for HEPA Air Cleaner, Large Room</t>
  </si>
  <si>
    <t>Zebra GX420t Direct Thermal/Thermal Transfer Printer</t>
  </si>
  <si>
    <t>US-2016-115987</t>
  </si>
  <si>
    <t>GBC ProClick Punch Binding System</t>
  </si>
  <si>
    <t>US-2019-156083</t>
  </si>
  <si>
    <t>James Lanier</t>
  </si>
  <si>
    <t>Adams Telephone Message Books, 5 1/4” x 11”</t>
  </si>
  <si>
    <t>US-2018-137547</t>
  </si>
  <si>
    <t>CA-2017-100454</t>
  </si>
  <si>
    <t>Brian Moss</t>
  </si>
  <si>
    <t>Newell 335</t>
  </si>
  <si>
    <t>O'Sullivan 3-Shelf Heavy-Duty Bookcases</t>
  </si>
  <si>
    <t>CA-2018-161669</t>
  </si>
  <si>
    <t>Eudokia Martin</t>
  </si>
  <si>
    <t>Fellowes Binding Cases</t>
  </si>
  <si>
    <t>Ibico Plastic and Wire Spiral Binding Combs</t>
  </si>
  <si>
    <t>Acme Preferred Stainless Steel Scissors</t>
  </si>
  <si>
    <t>Avery 486</t>
  </si>
  <si>
    <t>CA-2017-114300</t>
  </si>
  <si>
    <t>Art Foster</t>
  </si>
  <si>
    <t>CA-2019-107503</t>
  </si>
  <si>
    <t>Guy Armstrong</t>
  </si>
  <si>
    <t>Lorain</t>
  </si>
  <si>
    <t>Linden 10" Round Wall Clock, Black</t>
  </si>
  <si>
    <t>CA-2016-107755</t>
  </si>
  <si>
    <t>Cyma Kinney</t>
  </si>
  <si>
    <t>Linden</t>
  </si>
  <si>
    <t>Maxell DVD-RAM Discs</t>
  </si>
  <si>
    <t>CA-2018-152534</t>
  </si>
  <si>
    <t>Dave Poirier</t>
  </si>
  <si>
    <t>Salinas</t>
  </si>
  <si>
    <t>DIXON Oriole Pencils</t>
  </si>
  <si>
    <t>Xerox 202</t>
  </si>
  <si>
    <t>CA-2018-113747</t>
  </si>
  <si>
    <t>CA-2018-123274</t>
  </si>
  <si>
    <t>CA-2016-125612</t>
  </si>
  <si>
    <t>Berenike Kampe</t>
  </si>
  <si>
    <t>Xerox 1884</t>
  </si>
  <si>
    <t>Acme Box Cutter Scissors</t>
  </si>
  <si>
    <t>Staple magnet</t>
  </si>
  <si>
    <t>CA-2019-161984</t>
  </si>
  <si>
    <t>Sanjit Jacobs</t>
  </si>
  <si>
    <t>New Brunswick</t>
  </si>
  <si>
    <t>CA-2016-133851</t>
  </si>
  <si>
    <t>Chuck Magee</t>
  </si>
  <si>
    <t>Deluxe Chalkboard Eraser Cleaner</t>
  </si>
  <si>
    <t>CA-2018-134474</t>
  </si>
  <si>
    <t>Logitech MX Performance Wireless Mouse</t>
  </si>
  <si>
    <t>Newell 337</t>
  </si>
  <si>
    <t>Logitech B530 USB Headset - headset - Full size, Binaural</t>
  </si>
  <si>
    <t>CA-2016-149020</t>
  </si>
  <si>
    <t>Anthony Jacobs</t>
  </si>
  <si>
    <t>Avery 482</t>
  </si>
  <si>
    <t>Howard Miller 11-1/2" Diameter Ridgewood Wall Clock</t>
  </si>
  <si>
    <t>CA-2018-134362</t>
  </si>
  <si>
    <t>Linda Southworth</t>
  </si>
  <si>
    <t>Avery 483</t>
  </si>
  <si>
    <t>CA-2016-136742</t>
  </si>
  <si>
    <t>Guy Phonely</t>
  </si>
  <si>
    <t>Large Capacity Hanging Post Binders</t>
  </si>
  <si>
    <t>CA-2018-158099</t>
  </si>
  <si>
    <t>Paul Knutson</t>
  </si>
  <si>
    <t>GBC Ibimaster 500 Manual ProClick Binding System</t>
  </si>
  <si>
    <t>CA-2017-131128</t>
  </si>
  <si>
    <t>New Hampshire</t>
  </si>
  <si>
    <t>Southworth 100% Cotton The Best Paper</t>
  </si>
  <si>
    <t>CA-2016-148488</t>
  </si>
  <si>
    <t>Sally Matthias</t>
  </si>
  <si>
    <t>CA-2019-114636</t>
  </si>
  <si>
    <t>Xerox 1910</t>
  </si>
  <si>
    <t>CA-2018-116736</t>
  </si>
  <si>
    <t>Logitech G19 Programmable Gaming Keyboard</t>
  </si>
  <si>
    <t>US-2016-158638</t>
  </si>
  <si>
    <t>Anthony Garverick</t>
  </si>
  <si>
    <t>Acco Pressboard Covers with Storage Hooks, 14 7/8" x 11", Light Blue</t>
  </si>
  <si>
    <t>CA-2019-111689</t>
  </si>
  <si>
    <t>Lock-Up Easel 'Spel-Binder'</t>
  </si>
  <si>
    <t>CA-2017-129098</t>
  </si>
  <si>
    <t>US-2019-123463</t>
  </si>
  <si>
    <t>CA-2018-165148</t>
  </si>
  <si>
    <t>Peter McVee</t>
  </si>
  <si>
    <t>CA-2016-134061</t>
  </si>
  <si>
    <t>Lauren Leatherbury</t>
  </si>
  <si>
    <t>Dax Clear Box Frame</t>
  </si>
  <si>
    <t>CA-2017-143602</t>
  </si>
  <si>
    <t>Jill Stevenson</t>
  </si>
  <si>
    <t>Fellowes Black Plastic Comb Bindings</t>
  </si>
  <si>
    <t>CA-2019-115364</t>
  </si>
  <si>
    <t>Eldon Shelf Savers Cubes and Bins</t>
  </si>
  <si>
    <t>CA-2019-150707</t>
  </si>
  <si>
    <t>Ed Ludwig</t>
  </si>
  <si>
    <t>Maryland</t>
  </si>
  <si>
    <t>CA-2016-104976</t>
  </si>
  <si>
    <t>CA-2019-132934</t>
  </si>
  <si>
    <t>Anker Ultrathin Bluetooth Wireless Keyboard Aluminum Cover with Stand</t>
  </si>
  <si>
    <t>CA-2019-133256</t>
  </si>
  <si>
    <t>Ampad Poly Cover Wirebound Steno Book, 6" x 9" Assorted Colors, Gregg Ruled</t>
  </si>
  <si>
    <t>Fluorescent Highlighters by Dixon</t>
  </si>
  <si>
    <t>Nortel Networks T7316 E Nt8 B27</t>
  </si>
  <si>
    <t>CA-2018-105494</t>
  </si>
  <si>
    <t>Pamela Coakley</t>
  </si>
  <si>
    <t>Binding Machine Supplies</t>
  </si>
  <si>
    <t>CA-2018-140634</t>
  </si>
  <si>
    <t>Hunter Lopez</t>
  </si>
  <si>
    <t>CA-2016-144407</t>
  </si>
  <si>
    <t>Maribeth Schnelling</t>
  </si>
  <si>
    <t>CA-2019-160983</t>
  </si>
  <si>
    <t>George Bell</t>
  </si>
  <si>
    <t>Things To Do Today Pad</t>
  </si>
  <si>
    <t>US-2018-114622</t>
  </si>
  <si>
    <t>Justin Ritter</t>
  </si>
  <si>
    <t>Wilson Jones Hanging Recycled Pressboard Data Binders</t>
  </si>
  <si>
    <t>CA-2019-150959</t>
  </si>
  <si>
    <t>Garland</t>
  </si>
  <si>
    <t>Permanent Self-Adhesive File Folder Labels for Typewriters by Universal</t>
  </si>
  <si>
    <t>Deluxe Heavy-Duty Vinyl Round Ring Binder</t>
  </si>
  <si>
    <t>CA-2019-132353</t>
  </si>
  <si>
    <t>CA-2018-130477</t>
  </si>
  <si>
    <t>Xerox 1923</t>
  </si>
  <si>
    <t>Xerox 1931</t>
  </si>
  <si>
    <t>CA-2019-143259</t>
  </si>
  <si>
    <t>Bush Westfield Collection Bookcases, Fully Assembled</t>
  </si>
  <si>
    <t>Gear Head AU3700S Headset</t>
  </si>
  <si>
    <t>Wilson Jones Legal Size Ring Binders</t>
  </si>
  <si>
    <t>CA-2019-137596</t>
  </si>
  <si>
    <t>Bill Eplett</t>
  </si>
  <si>
    <t>Polycom CX600 IP Phone VoIP phone</t>
  </si>
  <si>
    <t>Maxell iVDR EX 500GB Cartridge</t>
  </si>
  <si>
    <t>Fellowes High-Stak Drawer Files</t>
  </si>
  <si>
    <t>CA-2017-133627</t>
  </si>
  <si>
    <t>Sample Company A</t>
  </si>
  <si>
    <t>Norwich</t>
  </si>
  <si>
    <t>CA-2019-102519</t>
  </si>
  <si>
    <t>US-2016-141215</t>
  </si>
  <si>
    <t>Lesro Sheffield Collection Coffee Table, End Table, Center Table, Corner Table</t>
  </si>
  <si>
    <t>CA-2018-165218</t>
  </si>
  <si>
    <t>Rob Williams</t>
  </si>
  <si>
    <t>Acco Perma 4000 Stacking Storage Drawers</t>
  </si>
  <si>
    <t>CA-2016-138296</t>
  </si>
  <si>
    <t>Alexandria</t>
  </si>
  <si>
    <t>CA-2017-111164</t>
  </si>
  <si>
    <t>Sanjit Engle</t>
  </si>
  <si>
    <t>Maxell 4.7GB DVD-R</t>
  </si>
  <si>
    <t>OtterBox Commuter Series Case - iPhone 5 &amp; 5s</t>
  </si>
  <si>
    <t>Kensington 4 Outlet MasterPiece Compact Power Control Center</t>
  </si>
  <si>
    <t>CA-2018-149797</t>
  </si>
  <si>
    <t>Adam Hart</t>
  </si>
  <si>
    <t>CA-2016-132962</t>
  </si>
  <si>
    <t>Jessica Myrick</t>
  </si>
  <si>
    <t>Xerox 1985</t>
  </si>
  <si>
    <t>Hypercom P1300 Pinpad</t>
  </si>
  <si>
    <t>CA-2017-115091</t>
  </si>
  <si>
    <t>Joel Jenkins</t>
  </si>
  <si>
    <t>CA-2019-144932</t>
  </si>
  <si>
    <t>Toledo</t>
  </si>
  <si>
    <t>Sanford Prismacolor Professional Thick Lead Art Pencils, 36-Color Set</t>
  </si>
  <si>
    <t>CA-2019-114216</t>
  </si>
  <si>
    <t>Ralph Kennedy</t>
  </si>
  <si>
    <t>RSVP Cards &amp; Envelopes, Blank White, 8-1/2" X 11", 24 Cards/25 Envelopes/Set</t>
  </si>
  <si>
    <t>CA-2018-140081</t>
  </si>
  <si>
    <t>Catherine Glotzbach</t>
  </si>
  <si>
    <t>Wirebound Message Books, 2 7/8" x 5", 3 Forms per Page</t>
  </si>
  <si>
    <t>JM Magazine Binder</t>
  </si>
  <si>
    <t>US-2019-111745</t>
  </si>
  <si>
    <t>Farmington</t>
  </si>
  <si>
    <t>CA-2017-148250</t>
  </si>
  <si>
    <t>Rachel Payne</t>
  </si>
  <si>
    <t>Riverside</t>
  </si>
  <si>
    <t>Xerox 213</t>
  </si>
  <si>
    <t>Fellowes 8 Outlet Superior Workstation Surge Protector w/o Phone/Fax/Modem Protection</t>
  </si>
  <si>
    <t>CA-2018-105760</t>
  </si>
  <si>
    <t>Karen Carlisle</t>
  </si>
  <si>
    <t>Message Book, Standard Line "While You Were Out", 5 1/2" X 4", 200 Sets/Book</t>
  </si>
  <si>
    <t>CA-2018-142958</t>
  </si>
  <si>
    <t>Torrance</t>
  </si>
  <si>
    <t>Acco Pressboard Covers with Storage Hooks, 14 7/8" x 11", Dark Blue</t>
  </si>
  <si>
    <t>CA-2017-120880</t>
  </si>
  <si>
    <t>Standard Rollaway File with Lock</t>
  </si>
  <si>
    <t>Avery Trapezoid Extra Heavy Duty 4" Binders</t>
  </si>
  <si>
    <t>US-2017-140200</t>
  </si>
  <si>
    <t>Bevis Boat-Shaped Conference Table</t>
  </si>
  <si>
    <t>US-2019-110576</t>
  </si>
  <si>
    <t>Deflect-o RollaMat Studded, Beveled Mat for Medium Pile Carpeting</t>
  </si>
  <si>
    <t>Riverside Furniture Oval Coffee Table, Oval End Table, End Table with Drawer</t>
  </si>
  <si>
    <t>Xerox 210</t>
  </si>
  <si>
    <t>CA-2019-131156</t>
  </si>
  <si>
    <t>Katherine Hughes</t>
  </si>
  <si>
    <t>CA-2019-136539</t>
  </si>
  <si>
    <t>Greg Hansen</t>
  </si>
  <si>
    <t>Round Rock</t>
  </si>
  <si>
    <t>CA-2019-119305</t>
  </si>
  <si>
    <t>Scott Williamson</t>
  </si>
  <si>
    <t>CA-2019-102414</t>
  </si>
  <si>
    <t>Joseph Airdo</t>
  </si>
  <si>
    <t>Avery Durable Slant Ring Binders</t>
  </si>
  <si>
    <t>Universal Ultra Bright White Copier/Laser Paper, 8 1/2" x 11", Ream</t>
  </si>
  <si>
    <t>CA-2017-112571</t>
  </si>
  <si>
    <t>Daniel Lacy</t>
  </si>
  <si>
    <t>Luxo Professional Combination Clamp-On Lamps</t>
  </si>
  <si>
    <t>CA-2019-152142</t>
  </si>
  <si>
    <t>Lindsay Williams</t>
  </si>
  <si>
    <t>CA-2017-160059</t>
  </si>
  <si>
    <t>Thomas Brumley</t>
  </si>
  <si>
    <t>Zipper Ring Binder Pockets</t>
  </si>
  <si>
    <t>CA-2018-120859</t>
  </si>
  <si>
    <t>CA-2016-127488</t>
  </si>
  <si>
    <t>Boca Raton</t>
  </si>
  <si>
    <t>Avery File Folder Labels</t>
  </si>
  <si>
    <t>CA-2019-135279</t>
  </si>
  <si>
    <t>Bryan Spruell</t>
  </si>
  <si>
    <t>Color-Coded Legal Exhibit Labels</t>
  </si>
  <si>
    <t>Xerox 212</t>
  </si>
  <si>
    <t>Computer Printout Paper with Letter-Trim Fine Perforations</t>
  </si>
  <si>
    <t>Office Impressions Heavy Duty Welded Shelving &amp; Multimedia Storage Drawers</t>
  </si>
  <si>
    <t>CA-2016-115791</t>
  </si>
  <si>
    <t>DAX Black Cherry Wood-Tone Poster Frame</t>
  </si>
  <si>
    <t>US-2019-103247</t>
  </si>
  <si>
    <t>US-2019-100209</t>
  </si>
  <si>
    <t>Wilson Jones Easy Flow II Sheet Lifters</t>
  </si>
  <si>
    <t>CA-2019-159366</t>
  </si>
  <si>
    <t>CA-2018-145499</t>
  </si>
  <si>
    <t>Robert Waldorf</t>
  </si>
  <si>
    <t>CA-2017-157035</t>
  </si>
  <si>
    <t>Xerox 188</t>
  </si>
  <si>
    <t>CA-2018-144939</t>
  </si>
  <si>
    <t>CA-2016-163419</t>
  </si>
  <si>
    <t>Tracy Zic</t>
  </si>
  <si>
    <t>BIC Brite Liner Grip Highlighters, Assorted, 5/Pack</t>
  </si>
  <si>
    <t>Samsung Galaxy S III - 16GB - pebble blue (T-Mobile)</t>
  </si>
  <si>
    <t>CA-2019-100314</t>
  </si>
  <si>
    <t>Ann Steele</t>
  </si>
  <si>
    <t>#10- 4 1/8" x 9 1/2" Recycled Envelopes</t>
  </si>
  <si>
    <t>Wasp CCD Handheld Bar Code Reader</t>
  </si>
  <si>
    <t>CA-2017-146829</t>
  </si>
  <si>
    <t>Toby Swindell</t>
  </si>
  <si>
    <t>Acco Suede Grain Vinyl Round Ring Binder</t>
  </si>
  <si>
    <t>CA-2019-167899</t>
  </si>
  <si>
    <t>Bulldog Table or Wall-Mount Pencil Sharpener</t>
  </si>
  <si>
    <t>CA-2017-153549</t>
  </si>
  <si>
    <t>Sara Luxemburg</t>
  </si>
  <si>
    <t>CA-2018-110023</t>
  </si>
  <si>
    <t>CA-2018-105585</t>
  </si>
  <si>
    <t>Xerox 1979</t>
  </si>
  <si>
    <t>CA-2016-117639</t>
  </si>
  <si>
    <t>Mitch Willingham</t>
  </si>
  <si>
    <t>Virginia Beach</t>
  </si>
  <si>
    <t>Fellowes PB300 Plastic Comb Binding Machine</t>
  </si>
  <si>
    <t>Plantronics Voyager Pro Legend</t>
  </si>
  <si>
    <t>CA-2017-162537</t>
  </si>
  <si>
    <t>Rob Dowd</t>
  </si>
  <si>
    <t>Laser &amp; Ink Jet Business Envelopes</t>
  </si>
  <si>
    <t>Portable Personal File Box</t>
  </si>
  <si>
    <t>Magna Visual Magnetic Picture Hangers</t>
  </si>
  <si>
    <t>Row Labels</t>
  </si>
  <si>
    <t>Grand Total</t>
  </si>
  <si>
    <t>Sum of Amount</t>
  </si>
  <si>
    <t>Sum of Profit</t>
  </si>
  <si>
    <t>years</t>
  </si>
  <si>
    <t>month name</t>
  </si>
  <si>
    <t>Total Sales</t>
  </si>
  <si>
    <t>Sales Report Years</t>
  </si>
  <si>
    <t>Quition</t>
  </si>
  <si>
    <t>status</t>
  </si>
  <si>
    <t>Total Profit</t>
  </si>
  <si>
    <t xml:space="preserve"> Top 10  Customers</t>
  </si>
  <si>
    <t>Top 5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</si>
</sst>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15" x14ac:knownFonts="1">
    <font>
      <sz val="10"/>
      <name val="MS Sans Serif"/>
    </font>
    <font>
      <b/>
      <sz val="11"/>
      <color theme="0"/>
      <name val="Calibri"/>
      <family val="2"/>
      <scheme val="minor"/>
    </font>
    <font>
      <sz val="11"/>
      <color theme="0"/>
      <name val="Calibri"/>
      <family val="2"/>
      <scheme val="minor"/>
    </font>
    <font>
      <b/>
      <sz val="10"/>
      <color theme="0"/>
      <name val="MS Sans Serif"/>
    </font>
    <font>
      <b/>
      <sz val="10"/>
      <color theme="1"/>
      <name val="MS Sans Serif"/>
    </font>
    <font>
      <b/>
      <sz val="10"/>
      <name val="MS Sans Serif"/>
    </font>
    <font>
      <b/>
      <sz val="14"/>
      <color theme="0"/>
      <name val="MS Sans Serif"/>
    </font>
    <font>
      <b/>
      <sz val="16"/>
      <color theme="0"/>
      <name val="MS Sans Serif"/>
    </font>
    <font>
      <sz val="14"/>
      <color theme="0"/>
      <name val="MS Sans Serif"/>
    </font>
    <font>
      <b/>
      <sz val="12"/>
      <name val="MS Sans Serif"/>
    </font>
    <font>
      <b/>
      <sz val="22"/>
      <color theme="0"/>
      <name val="Arial Rounded MT Bold"/>
      <family val="2"/>
    </font>
    <font>
      <b/>
      <sz val="24"/>
      <color theme="0"/>
      <name val="Arial Rounded MT Bold"/>
      <family val="2"/>
    </font>
    <font>
      <b/>
      <sz val="12"/>
      <color theme="0"/>
      <name val="Calibri"/>
      <family val="2"/>
      <scheme val="minor"/>
    </font>
    <font>
      <b/>
      <sz val="12"/>
      <color theme="0"/>
      <name val="MS Sans Serif"/>
    </font>
    <font>
      <b/>
      <sz val="11"/>
      <color theme="0"/>
      <name val="MS Sans Serif"/>
    </font>
  </fonts>
  <fills count="15">
    <fill>
      <patternFill patternType="none"/>
    </fill>
    <fill>
      <patternFill patternType="gray125"/>
    </fill>
    <fill>
      <patternFill patternType="solid">
        <fgColor theme="4"/>
      </patternFill>
    </fill>
    <fill>
      <patternFill patternType="solid">
        <fgColor theme="0"/>
        <bgColor indexed="64"/>
      </patternFill>
    </fill>
    <fill>
      <patternFill patternType="solid">
        <fgColor rgb="FF002060"/>
        <bgColor theme="1"/>
      </patternFill>
    </fill>
    <fill>
      <patternFill patternType="solid">
        <fgColor theme="1"/>
        <bgColor indexed="64"/>
      </patternFill>
    </fill>
    <fill>
      <patternFill patternType="solid">
        <fgColor theme="4" tint="0.79998168889431442"/>
        <bgColor theme="4" tint="0.79998168889431442"/>
      </patternFill>
    </fill>
    <fill>
      <patternFill patternType="solid">
        <fgColor theme="2" tint="-0.749992370372631"/>
        <bgColor indexed="64"/>
      </patternFill>
    </fill>
    <fill>
      <patternFill patternType="solid">
        <fgColor theme="1" tint="0.249977111117893"/>
        <bgColor indexed="65"/>
      </patternFill>
    </fill>
    <fill>
      <patternFill patternType="solid">
        <fgColor theme="3" tint="-0.499984740745262"/>
        <bgColor indexed="64"/>
      </patternFill>
    </fill>
    <fill>
      <patternFill patternType="solid">
        <fgColor theme="3" tint="-0.499984740745262"/>
        <bgColor indexed="65"/>
      </patternFill>
    </fill>
    <fill>
      <patternFill patternType="solid">
        <fgColor theme="2" tint="-0.749992370372631"/>
        <bgColor indexed="65"/>
      </patternFill>
    </fill>
    <fill>
      <patternFill patternType="solid">
        <fgColor theme="4" tint="-0.499984740745262"/>
        <bgColor indexed="64"/>
      </patternFill>
    </fill>
    <fill>
      <patternFill patternType="solid">
        <fgColor theme="3" tint="-0.249977111117893"/>
        <bgColor indexed="64"/>
      </patternFill>
    </fill>
    <fill>
      <patternFill patternType="solid">
        <fgColor theme="1" tint="0.249977111117893"/>
        <bgColor theme="1" tint="0.249977111117893"/>
      </patternFill>
    </fill>
  </fills>
  <borders count="9">
    <border>
      <left/>
      <right/>
      <top/>
      <bottom/>
      <diagonal/>
    </border>
    <border>
      <left style="double">
        <color rgb="FF3F3F3F"/>
      </left>
      <right style="double">
        <color rgb="FF3F3F3F"/>
      </right>
      <top style="double">
        <color rgb="FF3F3F3F"/>
      </top>
      <bottom style="double">
        <color rgb="FF3F3F3F"/>
      </bottom>
      <diagonal/>
    </border>
    <border>
      <left style="thin">
        <color theme="1"/>
      </left>
      <right/>
      <top/>
      <bottom/>
      <diagonal/>
    </border>
    <border>
      <left/>
      <right style="thin">
        <color theme="1"/>
      </right>
      <top/>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style="hair">
        <color auto="1"/>
      </right>
      <top style="hair">
        <color auto="1"/>
      </top>
      <bottom/>
      <diagonal/>
    </border>
    <border>
      <left/>
      <right/>
      <top/>
      <bottom style="thin">
        <color theme="4" tint="0.39997558519241921"/>
      </bottom>
      <diagonal/>
    </border>
    <border>
      <left style="medium">
        <color theme="1"/>
      </left>
      <right style="medium">
        <color theme="1"/>
      </right>
      <top style="medium">
        <color theme="1"/>
      </top>
      <bottom style="medium">
        <color theme="1"/>
      </bottom>
      <diagonal/>
    </border>
  </borders>
  <cellStyleXfs count="2">
    <xf numFmtId="0" fontId="0" fillId="0" borderId="0"/>
    <xf numFmtId="0" fontId="2" fillId="2" borderId="0" applyNumberFormat="0" applyBorder="0" applyAlignment="0" applyProtection="0"/>
  </cellStyleXfs>
  <cellXfs count="53">
    <xf numFmtId="0" fontId="0" fillId="0" borderId="0" xfId="0"/>
    <xf numFmtId="0" fontId="4" fillId="3" borderId="4" xfId="0" applyFont="1" applyFill="1" applyBorder="1" applyAlignment="1">
      <alignment horizontal="left" vertical="center"/>
    </xf>
    <xf numFmtId="14" fontId="4" fillId="3" borderId="4" xfId="0" applyNumberFormat="1" applyFont="1" applyFill="1" applyBorder="1" applyAlignment="1">
      <alignment horizontal="left" vertical="center"/>
    </xf>
    <xf numFmtId="0" fontId="1" fillId="2" borderId="1" xfId="0" applyFont="1" applyFill="1" applyBorder="1"/>
    <xf numFmtId="0" fontId="1" fillId="2" borderId="1" xfId="0" applyFont="1" applyFill="1" applyBorder="1" applyAlignment="1">
      <alignment horizontal="left"/>
    </xf>
    <xf numFmtId="164" fontId="1" fillId="2" borderId="1" xfId="0" applyNumberFormat="1" applyFont="1" applyFill="1" applyBorder="1"/>
    <xf numFmtId="0" fontId="1" fillId="2" borderId="1" xfId="0" applyNumberFormat="1" applyFont="1" applyFill="1" applyBorder="1" applyAlignment="1" applyProtection="1"/>
    <xf numFmtId="0" fontId="5" fillId="0" borderId="0" xfId="0" applyFont="1"/>
    <xf numFmtId="0" fontId="1" fillId="2" borderId="0" xfId="0" applyFont="1" applyFill="1"/>
    <xf numFmtId="0" fontId="5" fillId="0" borderId="0" xfId="0" applyFont="1" applyAlignment="1">
      <alignment horizontal="left"/>
    </xf>
    <xf numFmtId="164" fontId="5" fillId="0" borderId="0" xfId="0" applyNumberFormat="1" applyFont="1"/>
    <xf numFmtId="0" fontId="4" fillId="3" borderId="5" xfId="0" applyFont="1" applyFill="1" applyBorder="1" applyAlignment="1">
      <alignment horizontal="left" vertical="center"/>
    </xf>
    <xf numFmtId="0" fontId="4" fillId="3" borderId="6" xfId="0" applyFont="1" applyFill="1" applyBorder="1" applyAlignment="1">
      <alignment horizontal="left" vertical="center"/>
    </xf>
    <xf numFmtId="0" fontId="3" fillId="4" borderId="2" xfId="0" applyFont="1" applyFill="1" applyBorder="1"/>
    <xf numFmtId="0" fontId="3" fillId="4" borderId="0" xfId="0" applyFont="1" applyFill="1" applyBorder="1"/>
    <xf numFmtId="0" fontId="3" fillId="4" borderId="3" xfId="0" applyFont="1" applyFill="1" applyBorder="1"/>
    <xf numFmtId="0" fontId="3" fillId="4" borderId="0" xfId="0" applyFont="1" applyFill="1"/>
    <xf numFmtId="164" fontId="4" fillId="3" borderId="4" xfId="0" applyNumberFormat="1" applyFont="1" applyFill="1" applyBorder="1" applyAlignment="1">
      <alignment horizontal="left" vertical="center"/>
    </xf>
    <xf numFmtId="0" fontId="4" fillId="3" borderId="0" xfId="0" applyFont="1" applyFill="1" applyAlignment="1">
      <alignment horizontal="left" vertical="center"/>
    </xf>
    <xf numFmtId="0" fontId="4" fillId="3" borderId="0" xfId="0" applyNumberFormat="1" applyFont="1" applyFill="1" applyAlignment="1">
      <alignment horizontal="left" vertical="center"/>
    </xf>
    <xf numFmtId="0" fontId="5" fillId="0" borderId="0" xfId="0" applyFont="1" applyAlignment="1">
      <alignment horizontal="center" vertical="center"/>
    </xf>
    <xf numFmtId="0" fontId="0" fillId="5" borderId="0" xfId="0" applyFill="1"/>
    <xf numFmtId="0" fontId="8" fillId="5" borderId="0" xfId="0" applyFont="1" applyFill="1"/>
    <xf numFmtId="0" fontId="9" fillId="0" borderId="0" xfId="0" applyFont="1" applyAlignment="1">
      <alignment horizontal="center" vertical="center"/>
    </xf>
    <xf numFmtId="0" fontId="2" fillId="2" borderId="0" xfId="0" applyFont="1" applyFill="1" applyAlignment="1">
      <alignment horizontal="left"/>
    </xf>
    <xf numFmtId="0" fontId="2" fillId="2" borderId="0" xfId="1" applyAlignment="1">
      <alignment horizontal="center" vertical="center"/>
    </xf>
    <xf numFmtId="0" fontId="4" fillId="6" borderId="7" xfId="0" applyFont="1" applyFill="1" applyBorder="1"/>
    <xf numFmtId="0" fontId="5" fillId="0" borderId="0" xfId="0" pivotButton="1" applyFont="1"/>
    <xf numFmtId="3" fontId="5" fillId="0" borderId="0" xfId="0" applyNumberFormat="1" applyFont="1"/>
    <xf numFmtId="0" fontId="10" fillId="5" borderId="0" xfId="0" applyFont="1" applyFill="1" applyAlignment="1">
      <alignment horizontal="left"/>
    </xf>
    <xf numFmtId="0" fontId="11" fillId="5" borderId="0" xfId="0" applyFont="1" applyFill="1" applyAlignment="1">
      <alignment horizontal="right"/>
    </xf>
    <xf numFmtId="0" fontId="0" fillId="5" borderId="0" xfId="0" pivotButton="1" applyFill="1"/>
    <xf numFmtId="0" fontId="12" fillId="8" borderId="8" xfId="0" applyFont="1" applyFill="1" applyBorder="1" applyAlignment="1">
      <alignment horizontal="center" vertical="center"/>
    </xf>
    <xf numFmtId="0" fontId="13" fillId="7" borderId="8" xfId="0" applyFont="1" applyFill="1" applyBorder="1" applyAlignment="1">
      <alignment horizontal="left" vertical="center"/>
    </xf>
    <xf numFmtId="164" fontId="13" fillId="9" borderId="8" xfId="0" applyNumberFormat="1" applyFont="1" applyFill="1" applyBorder="1" applyAlignment="1">
      <alignment horizontal="right" vertical="center"/>
    </xf>
    <xf numFmtId="0" fontId="12" fillId="8" borderId="8" xfId="0" applyNumberFormat="1" applyFont="1" applyFill="1" applyBorder="1" applyAlignment="1" applyProtection="1">
      <alignment horizontal="center" vertical="center"/>
    </xf>
    <xf numFmtId="0" fontId="12" fillId="10" borderId="8" xfId="0" applyNumberFormat="1" applyFont="1" applyFill="1" applyBorder="1" applyAlignment="1" applyProtection="1">
      <alignment horizontal="center" vertical="center"/>
    </xf>
    <xf numFmtId="0" fontId="12" fillId="11" borderId="8" xfId="0" applyFont="1" applyFill="1" applyBorder="1" applyAlignment="1">
      <alignment horizontal="left" vertical="center"/>
    </xf>
    <xf numFmtId="164" fontId="12" fillId="10" borderId="8" xfId="0" applyNumberFormat="1" applyFont="1" applyFill="1" applyBorder="1" applyAlignment="1">
      <alignment horizontal="right" vertical="center"/>
    </xf>
    <xf numFmtId="164" fontId="12" fillId="10" borderId="8" xfId="0" applyNumberFormat="1" applyFont="1" applyFill="1" applyBorder="1" applyAlignment="1">
      <alignment horizontal="center" vertical="center"/>
    </xf>
    <xf numFmtId="0" fontId="14" fillId="7" borderId="8" xfId="0" applyFont="1" applyFill="1" applyBorder="1" applyAlignment="1">
      <alignment horizontal="left" vertical="center"/>
    </xf>
    <xf numFmtId="0" fontId="14" fillId="7" borderId="8" xfId="0" applyFont="1" applyFill="1" applyBorder="1" applyAlignment="1">
      <alignment horizontal="right" vertical="center"/>
    </xf>
    <xf numFmtId="164" fontId="14" fillId="9" borderId="8" xfId="0" applyNumberFormat="1" applyFont="1" applyFill="1" applyBorder="1" applyAlignment="1">
      <alignment horizontal="right" vertical="center"/>
    </xf>
    <xf numFmtId="0" fontId="0" fillId="0" borderId="0" xfId="0" pivotButton="1"/>
    <xf numFmtId="0" fontId="0" fillId="0" borderId="0" xfId="0" applyAlignment="1">
      <alignment horizontal="left"/>
    </xf>
    <xf numFmtId="164" fontId="0" fillId="0" borderId="0" xfId="0" applyNumberFormat="1"/>
    <xf numFmtId="0" fontId="7" fillId="12" borderId="0" xfId="0" applyFont="1" applyFill="1" applyAlignment="1">
      <alignment horizontal="center" vertical="center"/>
    </xf>
    <xf numFmtId="164" fontId="6" fillId="12" borderId="0" xfId="0" applyNumberFormat="1" applyFont="1" applyFill="1" applyAlignment="1">
      <alignment horizontal="center" vertical="center"/>
    </xf>
    <xf numFmtId="164" fontId="6" fillId="13" borderId="0" xfId="0" applyNumberFormat="1" applyFont="1" applyFill="1" applyAlignment="1">
      <alignment horizontal="center" vertical="center"/>
    </xf>
    <xf numFmtId="164" fontId="6" fillId="9" borderId="0" xfId="0" applyNumberFormat="1" applyFont="1" applyFill="1" applyAlignment="1">
      <alignment horizontal="center" vertical="center"/>
    </xf>
    <xf numFmtId="164" fontId="13" fillId="9" borderId="0" xfId="0" applyNumberFormat="1" applyFont="1" applyFill="1" applyAlignment="1">
      <alignment horizontal="right" vertical="center"/>
    </xf>
    <xf numFmtId="0" fontId="12" fillId="7" borderId="0" xfId="0" applyFont="1" applyFill="1" applyAlignment="1">
      <alignment horizontal="left" vertical="center"/>
    </xf>
    <xf numFmtId="0" fontId="12" fillId="14" borderId="0" xfId="0" applyFont="1" applyFill="1" applyAlignment="1">
      <alignment horizontal="center" vertical="center"/>
    </xf>
  </cellXfs>
  <cellStyles count="2">
    <cellStyle name="Accent1" xfId="1" builtinId="29"/>
    <cellStyle name="Normal" xfId="0" builtinId="0"/>
  </cellStyles>
  <dxfs count="380">
    <dxf>
      <font>
        <b/>
        <i val="0"/>
        <strike val="0"/>
        <condense val="0"/>
        <extend val="0"/>
        <outline val="0"/>
        <shadow val="0"/>
        <u val="none"/>
        <vertAlign val="baseline"/>
        <sz val="10"/>
        <color theme="1"/>
        <name val="MS Sans Serif"/>
        <scheme val="none"/>
      </font>
      <fill>
        <patternFill patternType="solid">
          <fgColor indexed="64"/>
          <bgColor theme="0"/>
        </patternFill>
      </fill>
      <alignment horizontal="left" vertical="center" textRotation="0" wrapText="0" indent="0" justifyLastLine="0" shrinkToFit="0" readingOrder="0"/>
    </dxf>
    <dxf>
      <font>
        <b/>
        <i val="0"/>
        <strike val="0"/>
        <condense val="0"/>
        <extend val="0"/>
        <outline val="0"/>
        <shadow val="0"/>
        <u val="none"/>
        <vertAlign val="baseline"/>
        <sz val="10"/>
        <color theme="1"/>
        <name val="MS Sans Serif"/>
        <scheme val="none"/>
      </font>
      <numFmt numFmtId="0" formatCode="General"/>
      <fill>
        <patternFill patternType="solid">
          <fgColor indexed="64"/>
          <bgColor theme="0"/>
        </patternFill>
      </fill>
      <alignment horizontal="left" vertical="center" textRotation="0" wrapText="0" indent="0" justifyLastLine="0" shrinkToFit="0" readingOrder="0"/>
    </dxf>
    <dxf>
      <font>
        <b/>
        <i val="0"/>
        <strike val="0"/>
        <condense val="0"/>
        <extend val="0"/>
        <outline val="0"/>
        <shadow val="0"/>
        <u val="none"/>
        <vertAlign val="baseline"/>
        <sz val="10"/>
        <color theme="1"/>
        <name val="MS Sans Serif"/>
        <scheme val="none"/>
      </font>
      <numFmt numFmtId="0" formatCode="General"/>
      <fill>
        <patternFill patternType="solid">
          <fgColor indexed="64"/>
          <bgColor theme="0"/>
        </patternFill>
      </fill>
      <alignment horizontal="left"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i val="0"/>
        <strike val="0"/>
        <condense val="0"/>
        <extend val="0"/>
        <outline val="0"/>
        <shadow val="0"/>
        <u val="none"/>
        <vertAlign val="baseline"/>
        <sz val="10"/>
        <color theme="1"/>
        <name val="MS Sans Serif"/>
        <scheme val="none"/>
      </font>
      <numFmt numFmtId="164" formatCode="&quot;$&quot;#,##0.00"/>
      <fill>
        <patternFill patternType="solid">
          <fgColor indexed="64"/>
          <bgColor theme="0"/>
        </patternFill>
      </fill>
      <alignment horizontal="left"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i val="0"/>
        <strike val="0"/>
        <condense val="0"/>
        <extend val="0"/>
        <outline val="0"/>
        <shadow val="0"/>
        <u val="none"/>
        <vertAlign val="baseline"/>
        <sz val="10"/>
        <color theme="1"/>
        <name val="MS Sans Serif"/>
        <scheme val="none"/>
      </font>
      <numFmt numFmtId="164" formatCode="&quot;$&quot;#,##0.00"/>
      <fill>
        <patternFill patternType="solid">
          <fgColor indexed="64"/>
          <bgColor theme="0"/>
        </patternFill>
      </fill>
      <alignment horizontal="left"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i val="0"/>
        <strike val="0"/>
        <condense val="0"/>
        <extend val="0"/>
        <outline val="0"/>
        <shadow val="0"/>
        <u val="none"/>
        <vertAlign val="baseline"/>
        <sz val="10"/>
        <color theme="1"/>
        <name val="MS Sans Serif"/>
        <scheme val="none"/>
      </font>
      <fill>
        <patternFill patternType="solid">
          <fgColor indexed="64"/>
          <bgColor theme="0"/>
        </patternFill>
      </fill>
      <alignment horizontal="left"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i val="0"/>
        <strike val="0"/>
        <condense val="0"/>
        <extend val="0"/>
        <outline val="0"/>
        <shadow val="0"/>
        <u val="none"/>
        <vertAlign val="baseline"/>
        <sz val="10"/>
        <color theme="1"/>
        <name val="MS Sans Serif"/>
        <scheme val="none"/>
      </font>
      <fill>
        <patternFill patternType="solid">
          <fgColor indexed="64"/>
          <bgColor theme="0"/>
        </patternFill>
      </fill>
      <alignment horizontal="left"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i val="0"/>
        <strike val="0"/>
        <condense val="0"/>
        <extend val="0"/>
        <outline val="0"/>
        <shadow val="0"/>
        <u val="none"/>
        <vertAlign val="baseline"/>
        <sz val="10"/>
        <color theme="1"/>
        <name val="MS Sans Serif"/>
        <scheme val="none"/>
      </font>
      <numFmt numFmtId="164" formatCode="&quot;$&quot;#,##0.00"/>
      <fill>
        <patternFill patternType="solid">
          <fgColor indexed="64"/>
          <bgColor theme="0"/>
        </patternFill>
      </fill>
      <alignment horizontal="left"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i val="0"/>
        <strike val="0"/>
        <condense val="0"/>
        <extend val="0"/>
        <outline val="0"/>
        <shadow val="0"/>
        <u val="none"/>
        <vertAlign val="baseline"/>
        <sz val="10"/>
        <color theme="1"/>
        <name val="MS Sans Serif"/>
        <scheme val="none"/>
      </font>
      <fill>
        <patternFill patternType="solid">
          <fgColor indexed="64"/>
          <bgColor theme="0"/>
        </patternFill>
      </fill>
      <alignment horizontal="left"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i val="0"/>
        <strike val="0"/>
        <condense val="0"/>
        <extend val="0"/>
        <outline val="0"/>
        <shadow val="0"/>
        <u val="none"/>
        <vertAlign val="baseline"/>
        <sz val="10"/>
        <color theme="1"/>
        <name val="MS Sans Serif"/>
        <scheme val="none"/>
      </font>
      <fill>
        <patternFill patternType="solid">
          <fgColor indexed="64"/>
          <bgColor theme="0"/>
        </patternFill>
      </fill>
      <alignment horizontal="left"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i val="0"/>
        <strike val="0"/>
        <condense val="0"/>
        <extend val="0"/>
        <outline val="0"/>
        <shadow val="0"/>
        <u val="none"/>
        <vertAlign val="baseline"/>
        <sz val="10"/>
        <color theme="1"/>
        <name val="MS Sans Serif"/>
        <scheme val="none"/>
      </font>
      <fill>
        <patternFill patternType="solid">
          <fgColor indexed="64"/>
          <bgColor theme="0"/>
        </patternFill>
      </fill>
      <alignment horizontal="left"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i val="0"/>
        <strike val="0"/>
        <condense val="0"/>
        <extend val="0"/>
        <outline val="0"/>
        <shadow val="0"/>
        <u val="none"/>
        <vertAlign val="baseline"/>
        <sz val="10"/>
        <color theme="1"/>
        <name val="MS Sans Serif"/>
        <scheme val="none"/>
      </font>
      <fill>
        <patternFill patternType="solid">
          <fgColor indexed="64"/>
          <bgColor theme="0"/>
        </patternFill>
      </fill>
      <alignment horizontal="left"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i val="0"/>
        <strike val="0"/>
        <condense val="0"/>
        <extend val="0"/>
        <outline val="0"/>
        <shadow val="0"/>
        <u val="none"/>
        <vertAlign val="baseline"/>
        <sz val="10"/>
        <color theme="1"/>
        <name val="MS Sans Serif"/>
        <scheme val="none"/>
      </font>
      <fill>
        <patternFill patternType="solid">
          <fgColor indexed="64"/>
          <bgColor theme="0"/>
        </patternFill>
      </fill>
      <alignment horizontal="left"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i val="0"/>
        <strike val="0"/>
        <condense val="0"/>
        <extend val="0"/>
        <outline val="0"/>
        <shadow val="0"/>
        <u val="none"/>
        <vertAlign val="baseline"/>
        <sz val="10"/>
        <color theme="1"/>
        <name val="MS Sans Serif"/>
        <scheme val="none"/>
      </font>
      <fill>
        <patternFill patternType="solid">
          <fgColor indexed="64"/>
          <bgColor theme="0"/>
        </patternFill>
      </fill>
      <alignment horizontal="left"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i val="0"/>
        <strike val="0"/>
        <condense val="0"/>
        <extend val="0"/>
        <outline val="0"/>
        <shadow val="0"/>
        <u val="none"/>
        <vertAlign val="baseline"/>
        <sz val="10"/>
        <color theme="1"/>
        <name val="MS Sans Serif"/>
        <scheme val="none"/>
      </font>
      <fill>
        <patternFill patternType="solid">
          <fgColor indexed="64"/>
          <bgColor theme="0"/>
        </patternFill>
      </fill>
      <alignment horizontal="left"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i val="0"/>
        <strike val="0"/>
        <condense val="0"/>
        <extend val="0"/>
        <outline val="0"/>
        <shadow val="0"/>
        <u val="none"/>
        <vertAlign val="baseline"/>
        <sz val="10"/>
        <color theme="1"/>
        <name val="MS Sans Serif"/>
        <scheme val="none"/>
      </font>
      <fill>
        <patternFill patternType="solid">
          <fgColor indexed="64"/>
          <bgColor theme="0"/>
        </patternFill>
      </fill>
      <alignment horizontal="left"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i val="0"/>
        <strike val="0"/>
        <condense val="0"/>
        <extend val="0"/>
        <outline val="0"/>
        <shadow val="0"/>
        <u val="none"/>
        <vertAlign val="baseline"/>
        <sz val="10"/>
        <color theme="1"/>
        <name val="MS Sans Serif"/>
        <scheme val="none"/>
      </font>
      <numFmt numFmtId="19" formatCode="m/d/yyyy"/>
      <fill>
        <patternFill patternType="solid">
          <fgColor indexed="64"/>
          <bgColor theme="0"/>
        </patternFill>
      </fill>
      <alignment horizontal="left"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i val="0"/>
        <strike val="0"/>
        <condense val="0"/>
        <extend val="0"/>
        <outline val="0"/>
        <shadow val="0"/>
        <u val="none"/>
        <vertAlign val="baseline"/>
        <sz val="10"/>
        <color theme="1"/>
        <name val="MS Sans Serif"/>
        <scheme val="none"/>
      </font>
      <fill>
        <patternFill patternType="solid">
          <fgColor indexed="64"/>
          <bgColor theme="0"/>
        </patternFill>
      </fill>
      <alignment horizontal="left"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i val="0"/>
        <strike val="0"/>
        <condense val="0"/>
        <extend val="0"/>
        <outline val="0"/>
        <shadow val="0"/>
        <u val="none"/>
        <vertAlign val="baseline"/>
        <sz val="10"/>
        <color theme="1"/>
        <name val="MS Sans Serif"/>
        <scheme val="none"/>
      </font>
      <fill>
        <patternFill patternType="solid">
          <fgColor indexed="64"/>
          <bgColor theme="0"/>
        </patternFill>
      </fill>
      <alignment horizontal="left"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border outline="0">
        <top style="thin">
          <color theme="1"/>
        </top>
        <bottom style="thick">
          <color auto="1"/>
        </bottom>
      </border>
    </dxf>
    <dxf>
      <font>
        <b/>
        <i val="0"/>
        <strike val="0"/>
        <condense val="0"/>
        <extend val="0"/>
        <outline val="0"/>
        <shadow val="0"/>
        <u val="none"/>
        <vertAlign val="baseline"/>
        <sz val="10"/>
        <color theme="1"/>
        <name val="MS Sans Serif"/>
        <scheme val="none"/>
      </font>
      <fill>
        <patternFill patternType="solid">
          <fgColor indexed="64"/>
          <bgColor theme="0"/>
        </patternFill>
      </fill>
      <alignment horizontal="left" vertical="center" textRotation="0" wrapText="0" indent="0" justifyLastLine="0" shrinkToFit="0" readingOrder="0"/>
    </dxf>
    <dxf>
      <font>
        <b/>
        <i val="0"/>
        <strike val="0"/>
        <condense val="0"/>
        <extend val="0"/>
        <outline val="0"/>
        <shadow val="0"/>
        <u val="none"/>
        <vertAlign val="baseline"/>
        <sz val="10"/>
        <color theme="0"/>
        <name val="MS Sans Serif"/>
        <scheme val="none"/>
      </font>
      <fill>
        <patternFill patternType="solid">
          <fgColor theme="1"/>
          <bgColor rgb="FF002060"/>
        </patternFill>
      </fill>
    </dxf>
    <dxf>
      <font>
        <b/>
      </font>
    </dxf>
    <dxf>
      <font>
        <b/>
      </font>
    </dxf>
    <dxf>
      <font>
        <b/>
      </font>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i val="0"/>
        <strike val="0"/>
        <condense val="0"/>
        <extend val="0"/>
        <outline val="0"/>
        <shadow val="0"/>
        <u val="none"/>
        <vertAlign val="baseline"/>
        <sz val="11"/>
        <color theme="0"/>
        <name val="Calibri"/>
        <family val="2"/>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font>
    </dxf>
    <dxf>
      <font>
        <b/>
      </font>
    </dxf>
    <dxf>
      <font>
        <b/>
      </font>
    </dxf>
    <dxf>
      <font>
        <b/>
      </font>
    </dxf>
    <dxf>
      <font>
        <b/>
      </font>
    </dxf>
    <dxf>
      <font>
        <b/>
      </font>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i val="0"/>
        <strike val="0"/>
        <condense val="0"/>
        <extend val="0"/>
        <outline val="0"/>
        <shadow val="0"/>
        <u val="none"/>
        <vertAlign val="baseline"/>
        <sz val="11"/>
        <color theme="0"/>
        <name val="Calibri"/>
        <family val="2"/>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family val="2"/>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family val="2"/>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family val="2"/>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val="0"/>
        <i val="0"/>
        <strike val="0"/>
        <condense val="0"/>
        <extend val="0"/>
        <outline val="0"/>
        <shadow val="0"/>
        <u val="none"/>
        <vertAlign val="baseline"/>
        <sz val="11"/>
        <color rgb="FF3F3F76"/>
        <name val="Calibri"/>
        <family val="2"/>
        <scheme val="minor"/>
      </font>
      <fill>
        <patternFill patternType="solid">
          <fgColor indexed="65"/>
          <bgColor rgb="FFFFCC99"/>
        </patternFill>
      </fill>
      <border diagonalUp="0" diagonalDown="0" outline="0">
        <left style="thin">
          <color rgb="FF7F7F7F"/>
        </left>
        <right style="thin">
          <color rgb="FF7F7F7F"/>
        </right>
        <top style="thin">
          <color rgb="FF7F7F7F"/>
        </top>
        <bottom style="thin">
          <color rgb="FF7F7F7F"/>
        </bottom>
      </border>
    </dxf>
    <dxf>
      <font>
        <b/>
      </font>
    </dxf>
    <dxf>
      <font>
        <b/>
      </font>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font>
    </dxf>
    <dxf>
      <font>
        <b/>
      </font>
    </dxf>
    <dxf>
      <font>
        <b/>
      </font>
    </dxf>
    <dxf>
      <font>
        <b/>
      </font>
    </dxf>
    <dxf>
      <font>
        <b/>
      </font>
    </dxf>
    <dxf>
      <font>
        <b/>
      </font>
    </dxf>
    <dxf>
      <numFmt numFmtId="3" formatCode="#,##0"/>
    </dxf>
    <dxf>
      <numFmt numFmtId="3" formatCode="#,##0"/>
    </dxf>
    <dxf>
      <font>
        <b/>
      </font>
    </dxf>
    <dxf>
      <font>
        <b/>
      </font>
    </dxf>
    <dxf>
      <font>
        <b/>
      </font>
    </dxf>
    <dxf>
      <font>
        <b/>
      </font>
    </dxf>
    <dxf>
      <font>
        <b/>
      </font>
    </dxf>
    <dxf>
      <font>
        <b/>
      </font>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i val="0"/>
        <strike val="0"/>
        <condense val="0"/>
        <extend val="0"/>
        <outline val="0"/>
        <shadow val="0"/>
        <u val="none"/>
        <vertAlign val="baseline"/>
        <sz val="11"/>
        <color theme="0"/>
        <name val="Calibri"/>
        <family val="2"/>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family val="2"/>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val="0"/>
        <i val="0"/>
        <strike val="0"/>
        <condense val="0"/>
        <extend val="0"/>
        <outline val="0"/>
        <shadow val="0"/>
        <u val="none"/>
        <vertAlign val="baseline"/>
        <sz val="10"/>
        <color auto="1"/>
        <name val="MS Sans Serif"/>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MS Sans Serif"/>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0"/>
        <name val="Calibri"/>
        <family val="2"/>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family val="2"/>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numFmt numFmtId="164" formatCode="&quot;$&quot;#,##0.00"/>
    </dxf>
    <dxf>
      <numFmt numFmtId="4" formatCode="#,##0.00"/>
    </dxf>
    <dxf>
      <numFmt numFmtId="164" formatCode="&quot;$&quot;#,##0.00"/>
    </dxf>
    <dxf>
      <numFmt numFmtId="164" formatCode="&quot;$&quot;#,##0.00"/>
    </dxf>
    <dxf>
      <font>
        <b/>
      </font>
    </dxf>
    <dxf>
      <font>
        <b/>
      </font>
    </dxf>
    <dxf>
      <font>
        <b/>
      </font>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font>
    </dxf>
    <dxf>
      <font>
        <b/>
      </font>
    </dxf>
    <dxf>
      <font>
        <b/>
      </font>
    </dxf>
    <dxf>
      <font>
        <b/>
      </font>
    </dxf>
    <dxf>
      <font>
        <b/>
      </font>
    </dxf>
    <dxf>
      <font>
        <b/>
      </font>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i val="0"/>
        <strike val="0"/>
        <condense val="0"/>
        <extend val="0"/>
        <outline val="0"/>
        <shadow val="0"/>
        <u val="none"/>
        <vertAlign val="baseline"/>
        <sz val="11"/>
        <color theme="0"/>
        <name val="Calibri"/>
        <family val="2"/>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family val="2"/>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family val="2"/>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family val="2"/>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family val="2"/>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family val="2"/>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sz val="12"/>
        <color theme="0"/>
      </font>
      <fill>
        <patternFill patternType="solid">
          <fgColor indexed="64"/>
          <bgColor theme="3" tint="-0.499984740745262"/>
        </patternFill>
      </fill>
      <alignment horizontal="right" vertical="center"/>
    </dxf>
    <dxf>
      <font>
        <b/>
        <sz val="12"/>
        <color theme="0"/>
      </font>
      <fill>
        <patternFill patternType="solid">
          <fgColor indexed="64"/>
          <bgColor theme="2" tint="-0.749992370372631"/>
        </patternFill>
      </fill>
      <alignment vertical="center"/>
    </dxf>
    <dxf>
      <font>
        <b/>
        <sz val="12"/>
        <color theme="0"/>
      </font>
      <fill>
        <patternFill patternType="solid">
          <fgColor indexed="64"/>
          <bgColor theme="2" tint="-0.749992370372631"/>
        </patternFill>
      </fill>
      <alignment vertical="center"/>
    </dxf>
    <dxf>
      <font>
        <b/>
        <sz val="12"/>
        <color theme="0"/>
      </font>
      <fill>
        <patternFill patternType="solid">
          <fgColor indexed="64"/>
          <bgColor theme="3" tint="-0.499984740745262"/>
        </patternFill>
      </fill>
      <alignment horizontal="right" vertical="center"/>
    </dxf>
    <dxf>
      <font>
        <b/>
        <sz val="12"/>
        <color theme="0"/>
        <name val="Calibri"/>
        <family val="2"/>
        <scheme val="minor"/>
      </font>
      <fill>
        <patternFill patternType="solid">
          <fgColor indexed="64"/>
          <bgColor theme="2" tint="-0.749992370372631"/>
        </patternFill>
      </fill>
      <alignment vertical="center"/>
    </dxf>
    <dxf>
      <font>
        <b/>
        <sz val="12"/>
        <color theme="0"/>
      </font>
      <fill>
        <patternFill patternType="solid">
          <fgColor indexed="64"/>
          <bgColor theme="3" tint="-0.499984740745262"/>
        </patternFill>
      </fill>
      <alignment horizontal="right" vertical="center"/>
    </dxf>
    <dxf>
      <font>
        <b/>
        <sz val="12"/>
        <name val="Calibri"/>
        <family val="2"/>
        <scheme val="minor"/>
      </font>
      <fill>
        <patternFill patternType="solid">
          <fgColor indexed="64"/>
          <bgColor theme="2" tint="-0.749992370372631"/>
        </patternFill>
      </fill>
      <alignment vertical="center"/>
    </dxf>
    <dxf>
      <font>
        <color theme="0"/>
      </font>
    </dxf>
    <dxf>
      <fill>
        <patternFill>
          <bgColor theme="1" tint="0.249977111117893"/>
        </patternFill>
      </fill>
    </dxf>
    <dxf>
      <fill>
        <patternFill>
          <bgColor theme="1" tint="0.249977111117893"/>
        </patternFill>
      </fill>
    </dxf>
    <dxf>
      <fill>
        <patternFill>
          <bgColor theme="1" tint="0.249977111117893"/>
        </patternFill>
      </fill>
    </dxf>
    <dxf>
      <numFmt numFmtId="164" formatCode="&quot;$&quot;#,##0.00"/>
      <fill>
        <patternFill>
          <fgColor indexed="64"/>
          <bgColor theme="3" tint="-0.499984740745262"/>
        </patternFill>
      </fill>
      <alignment horizontal="right"/>
    </dxf>
    <dxf>
      <fill>
        <patternFill>
          <fgColor theme="1" tint="0.249977111117893"/>
        </patternFill>
      </fill>
    </dxf>
    <dxf>
      <fill>
        <patternFill>
          <fgColor theme="1" tint="0.249977111117893"/>
        </patternFill>
      </fill>
    </dxf>
    <dxf>
      <fill>
        <patternFill>
          <fgColor theme="1" tint="0.249977111117893"/>
        </patternFill>
      </fill>
    </dxf>
    <dxf>
      <font>
        <b/>
        <sz val="12"/>
        <color theme="0"/>
      </font>
      <fill>
        <patternFill patternType="solid">
          <fgColor indexed="64"/>
          <bgColor theme="3" tint="-0.499984740745262"/>
        </patternFill>
      </fill>
      <alignment horizontal="right" vertical="center"/>
    </dxf>
    <dxf>
      <font>
        <b/>
        <sz val="12"/>
        <color theme="0"/>
        <name val="Calibri"/>
        <family val="2"/>
        <scheme val="minor"/>
      </font>
      <fill>
        <patternFill patternType="solid">
          <fgColor theme="1" tint="0.249977111117893"/>
        </patternFill>
      </fill>
      <alignment horizontal="center" vertical="center"/>
    </dxf>
    <dxf>
      <fill>
        <patternFill>
          <fgColor indexed="64"/>
          <bgColor theme="2" tint="-0.749992370372631"/>
        </patternFill>
      </fill>
      <alignment horizontal="left"/>
    </dxf>
    <dxf>
      <fill>
        <patternFill>
          <fgColor indexed="64"/>
          <bgColor theme="2" tint="-0.749992370372631"/>
        </patternFill>
      </fill>
      <alignment horizontal="left"/>
    </dxf>
    <dxf>
      <font>
        <b/>
        <sz val="12"/>
        <color theme="0"/>
        <name val="Calibri"/>
        <family val="2"/>
        <scheme val="minor"/>
      </font>
      <fill>
        <patternFill patternType="solid">
          <fgColor theme="1" tint="0.249977111117893"/>
        </patternFill>
      </fill>
      <alignment horizontal="center" vertical="center"/>
    </dxf>
    <dxf>
      <font>
        <b/>
        <sz val="12"/>
        <color theme="0"/>
      </font>
      <fill>
        <patternFill patternType="solid">
          <fgColor indexed="64"/>
          <bgColor theme="3" tint="-0.499984740745262"/>
        </patternFill>
      </fill>
      <alignment horizontal="right" vertical="center"/>
    </dxf>
    <dxf>
      <font>
        <b/>
        <sz val="12"/>
        <color theme="0"/>
        <name val="Calibri"/>
        <family val="2"/>
        <scheme val="minor"/>
      </font>
      <fill>
        <patternFill patternType="solid">
          <fgColor theme="1" tint="0.249977111117893"/>
        </patternFill>
      </fill>
      <alignment horizontal="center" vertical="center"/>
    </dxf>
    <dxf>
      <font>
        <b/>
        <sz val="12"/>
        <color theme="0"/>
        <name val="Calibri"/>
        <family val="2"/>
        <scheme val="minor"/>
      </font>
      <fill>
        <patternFill patternType="solid">
          <fgColor theme="1" tint="0.249977111117893"/>
        </patternFill>
      </fill>
      <alignment horizontal="center" vertical="cent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fill>
        <patternFill>
          <bgColor theme="2" tint="-0.749992370372631"/>
        </patternFill>
      </fill>
    </dxf>
    <dxf>
      <fill>
        <patternFill>
          <bgColor theme="2" tint="-0.749992370372631"/>
        </patternFill>
      </fill>
    </dxf>
    <dxf>
      <fill>
        <patternFill>
          <bgColor theme="2" tint="-0.749992370372631"/>
        </patternFill>
      </fill>
    </dxf>
    <dxf>
      <alignment horizontal="right"/>
    </dxf>
    <dxf>
      <alignment horizontal="right"/>
    </dxf>
    <dxf>
      <alignment horizontal="left"/>
    </dxf>
    <dxf>
      <alignment horizontal="left"/>
    </dxf>
    <dxf>
      <alignment vertical="center"/>
    </dxf>
    <dxf>
      <alignment vertical="center"/>
    </dxf>
    <dxf>
      <alignment vertical="center"/>
    </dxf>
    <dxf>
      <alignment vertical="center"/>
    </dxf>
    <dxf>
      <alignment vertical="center"/>
    </dxf>
    <dxf>
      <alignment horizontal="cent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alignment vertical="center"/>
    </dxf>
    <dxf>
      <alignment horizontal="center"/>
    </dxf>
    <dxf>
      <alignment horizontal="center"/>
    </dxf>
    <dxf>
      <alignment vertical="center"/>
    </dxf>
    <dxf>
      <fill>
        <patternFill>
          <bgColor theme="3" tint="-0.499984740745262"/>
        </patternFill>
      </fill>
    </dxf>
    <dxf>
      <fill>
        <patternFill>
          <bgColor theme="3" tint="-0.499984740745262"/>
        </patternFill>
      </fill>
    </dxf>
    <dxf>
      <fill>
        <patternFill>
          <bgColor theme="2" tint="-0.89999084444715716"/>
        </patternFill>
      </fill>
    </dxf>
    <dxf>
      <fill>
        <patternFill>
          <bgColor theme="3" tint="-0.499984740745262"/>
        </patternFill>
      </fill>
    </dxf>
    <dxf>
      <numFmt numFmtId="164" formatCode="&quot;$&quot;#,##0.00"/>
    </dxf>
    <dxf>
      <font>
        <sz val="11"/>
      </font>
    </dxf>
    <dxf>
      <font>
        <sz val="11"/>
      </font>
    </dxf>
    <dxf>
      <font>
        <sz val="11"/>
      </font>
    </dxf>
    <dxf>
      <font>
        <sz val="11"/>
      </font>
    </dxf>
    <dxf>
      <font>
        <sz val="11"/>
      </font>
    </dxf>
    <dxf>
      <fill>
        <patternFill>
          <bgColor theme="2" tint="-0.749992370372631"/>
        </patternFill>
      </fill>
    </dxf>
    <dxf>
      <fill>
        <patternFill>
          <bgColor theme="2" tint="-0.749992370372631"/>
        </patternFill>
      </fill>
    </dxf>
    <dxf>
      <font>
        <color theme="0"/>
      </font>
    </dxf>
    <dxf>
      <font>
        <color theme="0"/>
      </font>
    </dxf>
    <dxf>
      <font>
        <color theme="0"/>
      </font>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ont>
        <b/>
      </font>
    </dxf>
    <dxf>
      <font>
        <b/>
      </font>
    </dxf>
    <dxf>
      <font>
        <b/>
      </font>
    </dxf>
    <dxf>
      <font>
        <b/>
      </font>
    </dxf>
    <dxf>
      <font>
        <b/>
      </font>
    </dxf>
    <dxf>
      <font>
        <b/>
      </font>
    </dxf>
    <dxf>
      <numFmt numFmtId="3" formatCode="#,##0"/>
    </dxf>
    <dxf>
      <numFmt numFmtId="3" formatCode="#,##0"/>
    </dxf>
    <dxf>
      <font>
        <sz val="12"/>
      </font>
    </dxf>
    <dxf>
      <font>
        <sz val="12"/>
      </font>
    </dxf>
    <dxf>
      <font>
        <sz val="12"/>
      </font>
    </dxf>
    <dxf>
      <font>
        <sz val="12"/>
      </font>
    </dxf>
    <dxf>
      <font>
        <sz val="12"/>
      </font>
    </dxf>
    <dxf>
      <font>
        <sz val="12"/>
      </font>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font>
        <sz val="12"/>
      </font>
    </dxf>
    <dxf>
      <font>
        <sz val="12"/>
      </font>
    </dxf>
    <dxf>
      <alignment horizontal="right"/>
    </dxf>
    <dxf>
      <fill>
        <patternFill>
          <bgColor theme="3" tint="-0.499984740745262"/>
        </patternFill>
      </fill>
    </dxf>
    <dxf>
      <alignment horizontal="left"/>
    </dxf>
    <dxf>
      <fill>
        <patternFill>
          <bgColor theme="2" tint="-0.749992370372631"/>
        </patternFill>
      </fill>
    </dxf>
    <dxf>
      <fill>
        <patternFill>
          <bgColor theme="3" tint="-0.499984740745262"/>
        </patternFill>
      </fill>
    </dxf>
    <dxf>
      <fill>
        <patternFill>
          <bgColor theme="3" tint="-0.499984740745262"/>
        </patternFill>
      </fill>
    </dxf>
    <dxf>
      <border>
        <left style="medium">
          <color theme="1" tint="0.34998626667073579"/>
        </left>
        <right style="medium">
          <color theme="1" tint="0.34998626667073579"/>
        </right>
        <top style="medium">
          <color theme="1" tint="0.34998626667073579"/>
        </top>
        <bottom style="medium">
          <color theme="1" tint="0.34998626667073579"/>
        </bottom>
        <vertical style="medium">
          <color theme="1" tint="0.34998626667073579"/>
        </vertical>
        <horizontal style="medium">
          <color theme="1" tint="0.34998626667073579"/>
        </horizontal>
      </border>
    </dxf>
    <dxf>
      <border>
        <left style="medium">
          <color theme="1" tint="0.34998626667073579"/>
        </left>
        <right style="medium">
          <color theme="1" tint="0.34998626667073579"/>
        </right>
        <top style="medium">
          <color theme="1" tint="0.34998626667073579"/>
        </top>
        <bottom style="medium">
          <color theme="1" tint="0.34998626667073579"/>
        </bottom>
        <vertical style="medium">
          <color theme="1" tint="0.34998626667073579"/>
        </vertical>
        <horizontal style="medium">
          <color theme="1" tint="0.34998626667073579"/>
        </horizontal>
      </border>
    </dxf>
    <dxf>
      <border>
        <left style="medium">
          <color theme="1" tint="0.34998626667073579"/>
        </left>
        <right style="medium">
          <color theme="1" tint="0.34998626667073579"/>
        </right>
        <top style="medium">
          <color theme="1" tint="0.34998626667073579"/>
        </top>
        <bottom style="medium">
          <color theme="1" tint="0.34998626667073579"/>
        </bottom>
        <vertical style="medium">
          <color theme="1" tint="0.34998626667073579"/>
        </vertical>
        <horizontal style="medium">
          <color theme="1" tint="0.34998626667073579"/>
        </horizontal>
      </border>
    </dxf>
    <dxf>
      <alignment horizontal="right"/>
    </dxf>
    <dxf>
      <alignment horizontal="left"/>
    </dxf>
    <dxf>
      <fill>
        <patternFill>
          <bgColor theme="2" tint="-0.749992370372631"/>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bgColor theme="1" tint="0.249977111117893"/>
        </patternFill>
      </fill>
    </dxf>
    <dxf>
      <fill>
        <patternFill>
          <bgColor theme="1" tint="0.249977111117893"/>
        </patternFill>
      </fill>
    </dxf>
    <dxf>
      <fill>
        <patternFill>
          <bgColor theme="1" tint="0.249977111117893"/>
        </patternFill>
      </fill>
    </dxf>
    <dxf>
      <font>
        <color theme="0"/>
      </font>
    </dxf>
    <dxf>
      <font>
        <color theme="0"/>
      </font>
    </dxf>
    <dxf>
      <font>
        <color theme="0"/>
      </font>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ont>
        <b/>
      </font>
    </dxf>
    <dxf>
      <font>
        <b/>
      </font>
    </dxf>
    <dxf>
      <font>
        <b/>
      </font>
    </dxf>
    <dxf>
      <font>
        <b/>
      </font>
    </dxf>
    <dxf>
      <font>
        <b/>
      </font>
    </dxf>
    <dxf>
      <font>
        <b/>
      </font>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i val="0"/>
        <strike val="0"/>
        <condense val="0"/>
        <extend val="0"/>
        <outline val="0"/>
        <shadow val="0"/>
        <u val="none"/>
        <vertAlign val="baseline"/>
        <sz val="11"/>
        <color theme="0"/>
        <name val="Calibri"/>
        <family val="2"/>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family val="2"/>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family val="2"/>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family val="2"/>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val="0"/>
        <i val="0"/>
        <strike val="0"/>
        <condense val="0"/>
        <extend val="0"/>
        <outline val="0"/>
        <shadow val="0"/>
        <u val="none"/>
        <vertAlign val="baseline"/>
        <sz val="11"/>
        <color rgb="FF3F3F76"/>
        <name val="Calibri"/>
        <family val="2"/>
        <scheme val="minor"/>
      </font>
      <fill>
        <patternFill patternType="solid">
          <fgColor indexed="65"/>
          <bgColor rgb="FFFFCC99"/>
        </patternFill>
      </fill>
      <border diagonalUp="0" diagonalDown="0" outline="0">
        <left style="thin">
          <color rgb="FF7F7F7F"/>
        </left>
        <right style="thin">
          <color rgb="FF7F7F7F"/>
        </right>
        <top style="thin">
          <color rgb="FF7F7F7F"/>
        </top>
        <bottom style="thin">
          <color rgb="FF7F7F7F"/>
        </bottom>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fill>
        <patternFill>
          <bgColor theme="3" tint="-0.499984740745262"/>
        </patternFill>
      </fill>
    </dxf>
    <dxf>
      <fill>
        <patternFill>
          <bgColor theme="3" tint="-0.499984740745262"/>
        </patternFill>
      </fill>
    </dxf>
    <dxf>
      <border>
        <left style="medium">
          <color rgb="FF3F3F3F"/>
        </left>
        <right style="medium">
          <color rgb="FF3F3F3F"/>
        </right>
        <top style="medium">
          <color rgb="FF3F3F3F"/>
        </top>
        <bottom style="medium">
          <color rgb="FF3F3F3F"/>
        </bottom>
        <vertical style="medium">
          <color rgb="FF3F3F3F"/>
        </vertical>
        <horizontal style="medium">
          <color rgb="FF3F3F3F"/>
        </horizontal>
      </border>
    </dxf>
    <dxf>
      <alignment horizontal="right"/>
    </dxf>
    <dxf>
      <alignment horizontal="left"/>
    </dxf>
    <dxf>
      <fill>
        <patternFill>
          <bgColor theme="2" tint="-0.749992370372631"/>
        </patternFill>
      </fill>
    </dxf>
    <dxf>
      <alignment horizontal="center"/>
    </dxf>
    <dxf>
      <alignment horizontal="center"/>
    </dxf>
    <dxf>
      <alignment horizontal="center"/>
    </dxf>
    <dxf>
      <alignment horizontal="center"/>
    </dxf>
    <dxf>
      <alignment horizontal="center"/>
    </dxf>
    <dxf>
      <alignment horizontal="center"/>
    </dxf>
    <dxf>
      <fill>
        <patternFill>
          <bgColor theme="1"/>
        </patternFill>
      </fill>
    </dxf>
    <dxf>
      <fill>
        <patternFill>
          <bgColor theme="1"/>
        </patternFill>
      </fill>
    </dxf>
    <dxf>
      <font>
        <sz val="12"/>
      </font>
    </dxf>
    <dxf>
      <font>
        <sz val="12"/>
      </font>
    </dxf>
    <dxf>
      <font>
        <sz val="12"/>
      </font>
    </dxf>
    <dxf>
      <font>
        <sz val="12"/>
      </font>
    </dxf>
    <dxf>
      <font>
        <sz val="12"/>
      </font>
    </dxf>
    <dxf>
      <font>
        <sz val="12"/>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color theme="0"/>
      </font>
    </dxf>
    <dxf>
      <font>
        <color theme="0"/>
      </font>
    </dxf>
    <dxf>
      <font>
        <color theme="0"/>
      </font>
    </dxf>
    <dxf>
      <font>
        <color theme="0"/>
      </font>
    </dxf>
    <dxf>
      <font>
        <color theme="0"/>
      </font>
    </dxf>
    <dxf>
      <font>
        <color theme="0"/>
      </font>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ill>
        <patternFill>
          <bgColor theme="1" tint="0.249977111117893"/>
        </patternFill>
      </fill>
    </dxf>
    <dxf>
      <font>
        <b/>
      </font>
    </dxf>
    <dxf>
      <font>
        <b/>
      </font>
    </dxf>
    <dxf>
      <font>
        <b/>
      </font>
    </dxf>
    <dxf>
      <font>
        <b/>
      </font>
    </dxf>
    <dxf>
      <font>
        <b/>
      </font>
    </dxf>
    <dxf>
      <font>
        <b/>
      </font>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i val="0"/>
        <strike val="0"/>
        <condense val="0"/>
        <extend val="0"/>
        <outline val="0"/>
        <shadow val="0"/>
        <u val="none"/>
        <vertAlign val="baseline"/>
        <sz val="11"/>
        <color theme="0"/>
        <name val="Calibri"/>
        <family val="2"/>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family val="2"/>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family val="2"/>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family val="2"/>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family val="2"/>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family val="2"/>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border>
        <left style="medium">
          <color theme="1"/>
        </left>
        <right style="medium">
          <color theme="1"/>
        </right>
        <top style="medium">
          <color theme="1"/>
        </top>
        <bottom style="medium">
          <color theme="1"/>
        </bottom>
        <vertical style="medium">
          <color theme="1"/>
        </vertical>
        <horizontal style="medium">
          <color theme="1"/>
        </horizontal>
      </border>
    </dxf>
    <dxf>
      <alignment horizontal="center"/>
    </dxf>
    <dxf>
      <fill>
        <patternFill>
          <bgColor theme="3" tint="-0.499984740745262"/>
        </patternFill>
      </fill>
    </dxf>
    <dxf>
      <fill>
        <patternFill>
          <bgColor theme="3" tint="-0.499984740745262"/>
        </patternFill>
      </fill>
    </dxf>
    <dxf>
      <border>
        <left style="medium">
          <color rgb="FF3F3F3F"/>
        </left>
        <right style="medium">
          <color rgb="FF3F3F3F"/>
        </right>
        <top style="medium">
          <color rgb="FF3F3F3F"/>
        </top>
        <bottom style="medium">
          <color rgb="FF3F3F3F"/>
        </bottom>
        <vertical style="medium">
          <color rgb="FF3F3F3F"/>
        </vertical>
        <horizontal style="medium">
          <color rgb="FF3F3F3F"/>
        </horizontal>
      </border>
    </dxf>
    <dxf>
      <border>
        <left style="medium">
          <color rgb="FF3F3F3F"/>
        </left>
        <right style="medium">
          <color rgb="FF3F3F3F"/>
        </right>
        <top style="medium">
          <color rgb="FF3F3F3F"/>
        </top>
        <bottom style="medium">
          <color rgb="FF3F3F3F"/>
        </bottom>
        <vertical style="medium">
          <color rgb="FF3F3F3F"/>
        </vertical>
        <horizontal style="medium">
          <color rgb="FF3F3F3F"/>
        </horizontal>
      </border>
    </dxf>
    <dxf>
      <alignment horizontal="right"/>
    </dxf>
    <dxf>
      <alignment horizontal="left"/>
    </dxf>
    <dxf>
      <fill>
        <patternFill>
          <bgColor theme="2" tint="-0.749992370372631"/>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ill>
        <patternFill>
          <bgColor theme="1" tint="0.249977111117893"/>
        </patternFill>
      </fill>
    </dxf>
    <dxf>
      <fill>
        <patternFill>
          <bgColor theme="1" tint="0.249977111117893"/>
        </patternFill>
      </fill>
    </dxf>
    <dxf>
      <fill>
        <patternFill>
          <bgColor theme="1" tint="0.249977111117893"/>
        </patternFill>
      </fill>
    </dxf>
    <dxf>
      <fill>
        <patternFill>
          <bgColor theme="1"/>
        </patternFill>
      </fill>
    </dxf>
    <dxf>
      <fill>
        <patternFill>
          <bgColor theme="1"/>
        </patternFill>
      </fill>
    </dxf>
    <dxf>
      <fill>
        <patternFill>
          <bgColor theme="1"/>
        </patternFill>
      </fill>
    </dxf>
    <dxf>
      <font>
        <color theme="0"/>
      </font>
    </dxf>
    <dxf>
      <font>
        <color theme="0"/>
      </font>
    </dxf>
    <dxf>
      <font>
        <color theme="0"/>
      </font>
    </dxf>
    <dxf>
      <font>
        <color theme="0"/>
      </font>
    </dxf>
    <dxf>
      <font>
        <color theme="0"/>
      </font>
    </dxf>
    <dxf>
      <font>
        <color theme="0"/>
      </font>
    </dxf>
    <dxf>
      <font>
        <b/>
      </font>
    </dxf>
    <dxf>
      <font>
        <b/>
      </font>
    </dxf>
    <dxf>
      <font>
        <b/>
      </font>
    </dxf>
    <dxf>
      <font>
        <b/>
      </font>
    </dxf>
    <dxf>
      <font>
        <b/>
      </font>
    </dxf>
    <dxf>
      <font>
        <b/>
      </font>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val="0"/>
        <i val="0"/>
        <strike val="0"/>
        <condense val="0"/>
        <extend val="0"/>
        <outline val="0"/>
        <shadow val="0"/>
        <u val="none"/>
        <vertAlign val="baseline"/>
        <sz val="11"/>
        <color theme="0"/>
        <name val="Calibri"/>
        <family val="2"/>
        <scheme val="minor"/>
      </font>
      <fill>
        <patternFill patternType="solid">
          <fgColor indexed="65"/>
          <bgColor theme="4"/>
        </patternFill>
      </fill>
    </dxf>
    <dxf>
      <font>
        <b/>
        <i val="0"/>
        <strike val="0"/>
        <condense val="0"/>
        <extend val="0"/>
        <outline val="0"/>
        <shadow val="0"/>
        <u val="none"/>
        <vertAlign val="baseline"/>
        <sz val="11"/>
        <color theme="0"/>
        <name val="Calibri"/>
        <family val="2"/>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family val="2"/>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val="0"/>
        <i val="0"/>
        <strike val="0"/>
        <condense val="0"/>
        <extend val="0"/>
        <outline val="0"/>
        <shadow val="0"/>
        <u val="none"/>
        <vertAlign val="baseline"/>
        <sz val="10"/>
        <color auto="1"/>
        <name val="MS Sans Serif"/>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auto="1"/>
        <name val="MS Sans Serif"/>
        <scheme val="none"/>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theme="0"/>
        <name val="Calibri"/>
        <family val="2"/>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family val="2"/>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numFmt numFmtId="164" formatCode="&quot;$&quot;#,##0.00"/>
    </dxf>
    <dxf>
      <numFmt numFmtId="4" formatCode="#,##0.00"/>
    </dxf>
    <dxf>
      <numFmt numFmtId="164" formatCode="&quot;$&quot;#,##0.00"/>
    </dxf>
    <dxf>
      <fill>
        <patternFill>
          <bgColor theme="4" tint="-0.499984740745262"/>
        </patternFill>
      </fill>
    </dxf>
    <dxf>
      <font>
        <b/>
        <i val="0"/>
        <color theme="0"/>
      </font>
      <fill>
        <patternFill>
          <bgColor theme="1"/>
        </patternFill>
      </fill>
    </dxf>
    <dxf>
      <font>
        <color theme="0"/>
      </font>
      <fill>
        <patternFill>
          <bgColor theme="4" tint="-0.499984740745262"/>
        </patternFill>
      </fill>
      <border diagonalUp="0" diagonalDown="0">
        <left/>
        <right/>
        <top/>
        <bottom/>
        <vertical/>
        <horizontal/>
      </border>
    </dxf>
    <dxf>
      <font>
        <color theme="0"/>
      </font>
      <fill>
        <patternFill>
          <bgColor theme="1"/>
        </patternFill>
      </fill>
    </dxf>
    <dxf>
      <font>
        <color theme="1"/>
        <name val="Bahnschrift SemiBold SemiConden"/>
        <family val="2"/>
        <scheme val="none"/>
      </font>
    </dxf>
  </dxfs>
  <tableStyles count="4" defaultTableStyle="TableStyleMedium2" defaultPivotStyle="PivotStyleLight16">
    <tableStyle name="Slicer Style 1" pivot="0" table="0" count="1" xr9:uid="{B2C0902A-EBB4-4DAE-BCE4-C8A2EEE43AD2}">
      <tableStyleElement type="wholeTable" dxfId="379"/>
    </tableStyle>
    <tableStyle name="Slicer Style 2" pivot="0" table="0" count="1" xr9:uid="{EB8A7DDA-3051-484C-9D86-1B67071D4103}">
      <tableStyleElement type="wholeTable" dxfId="378"/>
    </tableStyle>
    <tableStyle name="Slicer Style 3" pivot="0" table="0" count="1" xr9:uid="{9B387F49-0710-4F30-9222-5CFB85E33E67}">
      <tableStyleElement type="wholeTable" dxfId="377"/>
    </tableStyle>
    <tableStyle name="Slicer Style 4" pivot="0" table="0" count="10" xr9:uid="{DC481672-4586-400C-9400-A326DC0254E5}">
      <tableStyleElement type="wholeTable" dxfId="376"/>
      <tableStyleElement type="headerRow" dxfId="375"/>
    </tableStyle>
  </tableStyles>
  <extLst>
    <ext xmlns:x14="http://schemas.microsoft.com/office/spreadsheetml/2009/9/main" uri="{46F421CA-312F-682f-3DD2-61675219B42D}">
      <x14:dxfs count="8">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x14:dxfs>
    </ext>
    <ext xmlns:x14="http://schemas.microsoft.com/office/spreadsheetml/2009/9/main" uri="{EB79DEF2-80B8-43e5-95BD-54CBDDF9020C}">
      <x14:slicerStyles defaultSlicerStyle="Slicer Style 4">
        <x14:slicerStyle name="Slicer Style 1"/>
        <x14:slicerStyle name="Slicer Style 2"/>
        <x14:slicerStyle name="Slicer Style 3"/>
        <x14:slicerStyle name="Slicer Style 4">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[new_Dashbord.xlsx]Pivot Table!PivotTable1</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Sales By Region</a:t>
            </a:r>
          </a:p>
        </c:rich>
      </c:tx>
      <c:layout>
        <c:manualLayout>
          <c:xMode val="edge"/>
          <c:yMode val="edge"/>
          <c:x val="0.20883132978288527"/>
          <c:y val="3.252030854859046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01600">
              <a:schemeClr val="accent5">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01600">
              <a:schemeClr val="accent5">
                <a:satMod val="175000"/>
                <a:alpha val="40000"/>
              </a:schemeClr>
            </a:glo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01600">
              <a:schemeClr val="accent5">
                <a:satMod val="175000"/>
                <a:alpha val="40000"/>
              </a:schemeClr>
            </a:glo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01600">
              <a:schemeClr val="accent5">
                <a:satMod val="175000"/>
                <a:alpha val="40000"/>
              </a:schemeClr>
            </a:glo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01600">
              <a:schemeClr val="accent5">
                <a:satMod val="175000"/>
                <a:alpha val="40000"/>
              </a:schemeClr>
            </a:glow>
          </a:effectLst>
        </c:spPr>
      </c:pivotFmt>
    </c:pivotFmts>
    <c:plotArea>
      <c:layout/>
      <c:pieChart>
        <c:varyColors val="1"/>
        <c:ser>
          <c:idx val="0"/>
          <c:order val="0"/>
          <c:tx>
            <c:strRef>
              <c:f>'Pivot Table'!$B$3</c:f>
              <c:strCache>
                <c:ptCount val="1"/>
                <c:pt idx="0">
                  <c:v>Total</c:v>
                </c:pt>
              </c:strCache>
            </c:strRef>
          </c:tx>
          <c:spPr>
            <a:effectLst>
              <a:glow rad="101600">
                <a:schemeClr val="accent5">
                  <a:satMod val="175000"/>
                  <a:alpha val="40000"/>
                </a:schemeClr>
              </a:glow>
            </a:effectLst>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01600">
                  <a:schemeClr val="accent5">
                    <a:satMod val="175000"/>
                    <a:alpha val="40000"/>
                  </a:schemeClr>
                </a:glow>
              </a:effectLst>
            </c:spPr>
            <c:extLst>
              <c:ext xmlns:c16="http://schemas.microsoft.com/office/drawing/2014/chart" uri="{C3380CC4-5D6E-409C-BE32-E72D297353CC}">
                <c16:uniqueId val="{00000001-5EC8-4955-A797-6AD89FDFD508}"/>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glow rad="101600">
                  <a:schemeClr val="accent5">
                    <a:satMod val="175000"/>
                    <a:alpha val="40000"/>
                  </a:schemeClr>
                </a:glow>
              </a:effectLst>
            </c:spPr>
            <c:extLst>
              <c:ext xmlns:c16="http://schemas.microsoft.com/office/drawing/2014/chart" uri="{C3380CC4-5D6E-409C-BE32-E72D297353CC}">
                <c16:uniqueId val="{00000003-5EC8-4955-A797-6AD89FDFD508}"/>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glow rad="101600">
                  <a:schemeClr val="accent5">
                    <a:satMod val="175000"/>
                    <a:alpha val="40000"/>
                  </a:schemeClr>
                </a:glow>
              </a:effectLst>
            </c:spPr>
            <c:extLst>
              <c:ext xmlns:c16="http://schemas.microsoft.com/office/drawing/2014/chart" uri="{C3380CC4-5D6E-409C-BE32-E72D297353CC}">
                <c16:uniqueId val="{00000005-5EC8-4955-A797-6AD89FDFD508}"/>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glow rad="101600">
                  <a:schemeClr val="accent5">
                    <a:satMod val="175000"/>
                    <a:alpha val="40000"/>
                  </a:schemeClr>
                </a:glow>
              </a:effectLst>
            </c:spPr>
            <c:extLst>
              <c:ext xmlns:c16="http://schemas.microsoft.com/office/drawing/2014/chart" uri="{C3380CC4-5D6E-409C-BE32-E72D297353CC}">
                <c16:uniqueId val="{00000007-5EC8-4955-A797-6AD89FDFD50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Table'!$A$4:$A$8</c:f>
              <c:strCache>
                <c:ptCount val="4"/>
                <c:pt idx="0">
                  <c:v>Central</c:v>
                </c:pt>
                <c:pt idx="1">
                  <c:v>East</c:v>
                </c:pt>
                <c:pt idx="2">
                  <c:v>South</c:v>
                </c:pt>
                <c:pt idx="3">
                  <c:v>West</c:v>
                </c:pt>
              </c:strCache>
            </c:strRef>
          </c:cat>
          <c:val>
            <c:numRef>
              <c:f>'Pivot Table'!$B$4:$B$8</c:f>
              <c:numCache>
                <c:formatCode>"$"#,##0.00</c:formatCode>
                <c:ptCount val="4"/>
                <c:pt idx="0">
                  <c:v>282285.90861599991</c:v>
                </c:pt>
                <c:pt idx="1">
                  <c:v>225924.14290000018</c:v>
                </c:pt>
                <c:pt idx="2">
                  <c:v>157876.674225</c:v>
                </c:pt>
                <c:pt idx="3">
                  <c:v>311909.17709999997</c:v>
                </c:pt>
              </c:numCache>
            </c:numRef>
          </c:val>
          <c:extLst>
            <c:ext xmlns:c16="http://schemas.microsoft.com/office/drawing/2014/chart" uri="{C3380CC4-5D6E-409C-BE32-E72D297353CC}">
              <c16:uniqueId val="{00000008-5EC8-4955-A797-6AD89FDFD508}"/>
            </c:ext>
          </c:extLst>
        </c:ser>
        <c:dLbls>
          <c:dLblPos val="inEnd"/>
          <c:showLegendKey val="0"/>
          <c:showVal val="1"/>
          <c:showCatName val="0"/>
          <c:showSerName val="0"/>
          <c:showPercent val="0"/>
          <c:showBubbleSize val="0"/>
          <c:showLeaderLines val="1"/>
        </c:dLbls>
        <c:firstSliceAng val="0"/>
      </c:pieChart>
      <c:spPr>
        <a:noFill/>
        <a:ln>
          <a:noFill/>
        </a:ln>
        <a:effectLst>
          <a:glow rad="139700">
            <a:schemeClr val="accent5">
              <a:satMod val="175000"/>
              <a:alpha val="40000"/>
            </a:schemeClr>
          </a:glow>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a:noFill/>
    </a:ln>
    <a:effectLst>
      <a:glow rad="1397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[new_Dashbord.xlsx]Pivot Table!PivotTable2</c:name>
    <c:fmtId val="1"/>
  </c:pivotSource>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Sales By Ship Mode</a:t>
            </a:r>
          </a:p>
        </c:rich>
      </c:tx>
      <c:layout>
        <c:manualLayout>
          <c:xMode val="edge"/>
          <c:yMode val="edge"/>
          <c:x val="3.5167699133166522E-3"/>
          <c:y val="3.1620553359683792E-2"/>
        </c:manualLayout>
      </c:layout>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01600">
              <a:schemeClr val="accent5">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01600">
              <a:schemeClr val="accent5">
                <a:satMod val="175000"/>
                <a:alpha val="40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01600">
              <a:schemeClr val="accent5">
                <a:satMod val="175000"/>
                <a:alpha val="40000"/>
              </a:schemeClr>
            </a:glo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01600">
              <a:schemeClr val="accent5">
                <a:satMod val="175000"/>
                <a:alpha val="40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01600">
              <a:schemeClr val="accent5">
                <a:satMod val="175000"/>
                <a:alpha val="40000"/>
              </a:schemeClr>
            </a:glo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Table'!$E$3</c:f>
              <c:strCache>
                <c:ptCount val="1"/>
                <c:pt idx="0">
                  <c:v>Total</c:v>
                </c:pt>
              </c:strCache>
            </c:strRef>
          </c:tx>
          <c:spPr>
            <a:effectLst>
              <a:glow rad="101600">
                <a:schemeClr val="accent5">
                  <a:satMod val="175000"/>
                  <a:alpha val="40000"/>
                </a:schemeClr>
              </a:glow>
            </a:effectLst>
          </c:spPr>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01600">
                  <a:schemeClr val="accent5">
                    <a:satMod val="175000"/>
                    <a:alpha val="40000"/>
                  </a:schemeClr>
                </a:glow>
              </a:effectLst>
            </c:spPr>
            <c:extLst>
              <c:ext xmlns:c16="http://schemas.microsoft.com/office/drawing/2014/chart" uri="{C3380CC4-5D6E-409C-BE32-E72D297353CC}">
                <c16:uniqueId val="{00000001-A45F-4091-8875-D7195E657D1B}"/>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glow rad="101600">
                  <a:schemeClr val="accent5">
                    <a:satMod val="175000"/>
                    <a:alpha val="40000"/>
                  </a:schemeClr>
                </a:glow>
              </a:effectLst>
            </c:spPr>
            <c:extLst>
              <c:ext xmlns:c16="http://schemas.microsoft.com/office/drawing/2014/chart" uri="{C3380CC4-5D6E-409C-BE32-E72D297353CC}">
                <c16:uniqueId val="{00000003-A45F-4091-8875-D7195E657D1B}"/>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glow rad="101600">
                  <a:schemeClr val="accent5">
                    <a:satMod val="175000"/>
                    <a:alpha val="40000"/>
                  </a:schemeClr>
                </a:glow>
              </a:effectLst>
            </c:spPr>
            <c:extLst>
              <c:ext xmlns:c16="http://schemas.microsoft.com/office/drawing/2014/chart" uri="{C3380CC4-5D6E-409C-BE32-E72D297353CC}">
                <c16:uniqueId val="{00000005-A45F-4091-8875-D7195E657D1B}"/>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glow rad="101600">
                  <a:schemeClr val="accent5">
                    <a:satMod val="175000"/>
                    <a:alpha val="40000"/>
                  </a:schemeClr>
                </a:glow>
              </a:effectLst>
            </c:spPr>
            <c:extLst>
              <c:ext xmlns:c16="http://schemas.microsoft.com/office/drawing/2014/chart" uri="{C3380CC4-5D6E-409C-BE32-E72D297353CC}">
                <c16:uniqueId val="{00000007-A45F-4091-8875-D7195E657D1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Table'!$D$4:$D$8</c:f>
              <c:strCache>
                <c:ptCount val="4"/>
                <c:pt idx="0">
                  <c:v>First Class</c:v>
                </c:pt>
                <c:pt idx="1">
                  <c:v>Same Day</c:v>
                </c:pt>
                <c:pt idx="2">
                  <c:v>Second Class</c:v>
                </c:pt>
                <c:pt idx="3">
                  <c:v>Standard Class</c:v>
                </c:pt>
              </c:strCache>
            </c:strRef>
          </c:cat>
          <c:val>
            <c:numRef>
              <c:f>'Pivot Table'!$E$4:$E$8</c:f>
              <c:numCache>
                <c:formatCode>"$"#,##0.00</c:formatCode>
                <c:ptCount val="4"/>
                <c:pt idx="0">
                  <c:v>132970.29134999998</c:v>
                </c:pt>
                <c:pt idx="1">
                  <c:v>44029.37279999999</c:v>
                </c:pt>
                <c:pt idx="2">
                  <c:v>173132.41083200023</c:v>
                </c:pt>
                <c:pt idx="3">
                  <c:v>627863.82785900019</c:v>
                </c:pt>
              </c:numCache>
            </c:numRef>
          </c:val>
          <c:extLst>
            <c:ext xmlns:c16="http://schemas.microsoft.com/office/drawing/2014/chart" uri="{C3380CC4-5D6E-409C-BE32-E72D297353CC}">
              <c16:uniqueId val="{00000008-A45F-4091-8875-D7195E657D1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a:noFill/>
    </a:ln>
    <a:effectLst>
      <a:glow rad="1397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[new_Dashbord.xlsx]Pivot Table!PivotTable3</c:name>
    <c:fmtId val="1"/>
  </c:pivotSource>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Top 10 Customers</a:t>
            </a:r>
          </a:p>
        </c:rich>
      </c:tx>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5">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5">
                  <a:satMod val="175000"/>
                  <a:alpha val="40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Table'!$G$4:$G$14</c:f>
              <c:strCache>
                <c:ptCount val="10"/>
                <c:pt idx="0">
                  <c:v>Alan Dominguez</c:v>
                </c:pt>
                <c:pt idx="1">
                  <c:v>Becky Martin</c:v>
                </c:pt>
                <c:pt idx="2">
                  <c:v>Brosina Hoffman</c:v>
                </c:pt>
                <c:pt idx="3">
                  <c:v>Christopher Martinez</c:v>
                </c:pt>
                <c:pt idx="4">
                  <c:v>Dianna Wilson</c:v>
                </c:pt>
                <c:pt idx="5">
                  <c:v>Justin Ellison</c:v>
                </c:pt>
                <c:pt idx="6">
                  <c:v>Keith Herrera</c:v>
                </c:pt>
                <c:pt idx="7">
                  <c:v>Kelly Collister</c:v>
                </c:pt>
                <c:pt idx="8">
                  <c:v>Mitch Willingham</c:v>
                </c:pt>
                <c:pt idx="9">
                  <c:v>Ross Baird</c:v>
                </c:pt>
              </c:strCache>
            </c:strRef>
          </c:cat>
          <c:val>
            <c:numRef>
              <c:f>'Pivot Table'!$H$4:$H$14</c:f>
              <c:numCache>
                <c:formatCode>"$"#,##0.00</c:formatCode>
                <c:ptCount val="10"/>
                <c:pt idx="0">
                  <c:v>19817.251799999998</c:v>
                </c:pt>
                <c:pt idx="1">
                  <c:v>51493.650799999996</c:v>
                </c:pt>
                <c:pt idx="2">
                  <c:v>20545.460800000001</c:v>
                </c:pt>
                <c:pt idx="3">
                  <c:v>31942.73</c:v>
                </c:pt>
                <c:pt idx="4">
                  <c:v>22253.670000000002</c:v>
                </c:pt>
                <c:pt idx="5">
                  <c:v>21151.33</c:v>
                </c:pt>
                <c:pt idx="6">
                  <c:v>24812.456050000001</c:v>
                </c:pt>
                <c:pt idx="7">
                  <c:v>43770.754399999998</c:v>
                </c:pt>
                <c:pt idx="8">
                  <c:v>20865.420000000002</c:v>
                </c:pt>
                <c:pt idx="9">
                  <c:v>26334.514400000004</c:v>
                </c:pt>
              </c:numCache>
            </c:numRef>
          </c:val>
          <c:extLst>
            <c:ext xmlns:c16="http://schemas.microsoft.com/office/drawing/2014/chart" uri="{C3380CC4-5D6E-409C-BE32-E72D297353CC}">
              <c16:uniqueId val="{00000000-0C8C-4E68-BF07-73D7153F3328}"/>
            </c:ext>
          </c:extLst>
        </c:ser>
        <c:dLbls>
          <c:dLblPos val="outEnd"/>
          <c:showLegendKey val="0"/>
          <c:showVal val="1"/>
          <c:showCatName val="0"/>
          <c:showSerName val="0"/>
          <c:showPercent val="0"/>
          <c:showBubbleSize val="0"/>
        </c:dLbls>
        <c:gapWidth val="115"/>
        <c:overlap val="-20"/>
        <c:axId val="1832527856"/>
        <c:axId val="1948896784"/>
      </c:barChart>
      <c:catAx>
        <c:axId val="183252785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8896784"/>
        <c:crosses val="autoZero"/>
        <c:auto val="1"/>
        <c:lblAlgn val="ctr"/>
        <c:lblOffset val="100"/>
        <c:noMultiLvlLbl val="0"/>
      </c:catAx>
      <c:valAx>
        <c:axId val="1948896784"/>
        <c:scaling>
          <c:orientation val="minMax"/>
        </c:scaling>
        <c:delete val="1"/>
        <c:axPos val="b"/>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crossAx val="1832527856"/>
        <c:crosses val="autoZero"/>
        <c:crossBetween val="between"/>
      </c:valAx>
      <c:spPr>
        <a:noFill/>
        <a:ln>
          <a:noFill/>
        </a:ln>
        <a:effectLst>
          <a:glow rad="228600">
            <a:schemeClr val="accent6">
              <a:satMod val="175000"/>
              <a:alpha val="40000"/>
            </a:schemeClr>
          </a:glo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a:noFill/>
    </a:ln>
    <a:effectLst>
      <a:glow rad="1397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[new_Dashbord.xlsx]Pivot Table!PivotTable8</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Top 5 Products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5">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0508638465325828"/>
          <c:y val="0.31431847560849158"/>
          <c:w val="0.39541818908743598"/>
          <c:h val="0.6253248975190272"/>
        </c:manualLayout>
      </c:layout>
      <c:barChart>
        <c:barDir val="bar"/>
        <c:grouping val="clustered"/>
        <c:varyColors val="0"/>
        <c:ser>
          <c:idx val="0"/>
          <c:order val="0"/>
          <c:tx>
            <c:strRef>
              <c:f>'Pivot Table'!$O$13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5">
                  <a:satMod val="175000"/>
                  <a:alpha val="40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Table'!$N$14:$N$19</c:f>
              <c:strCache>
                <c:ptCount val="5"/>
                <c:pt idx="0">
                  <c:v>Fellowes PB300 Plastic Comb Binding Machine</c:v>
                </c:pt>
                <c:pt idx="1">
                  <c:v>Fellowes PB500 Electric Punch Plastic Comb Binding Machine with Manual Bind</c:v>
                </c:pt>
                <c:pt idx="2">
                  <c:v>Hon Deluxe Fabric Upholstered Stacking Chairs, Rounded Back</c:v>
                </c:pt>
                <c:pt idx="3">
                  <c:v>Lexmark MX611dhe Monochrome Laser Printer</c:v>
                </c:pt>
                <c:pt idx="4">
                  <c:v>Logitech P710e Mobile Speakerphone</c:v>
                </c:pt>
              </c:strCache>
            </c:strRef>
          </c:cat>
          <c:val>
            <c:numRef>
              <c:f>'Pivot Table'!$O$14:$O$19</c:f>
              <c:numCache>
                <c:formatCode>"$"#,##0.00</c:formatCode>
                <c:ptCount val="5"/>
                <c:pt idx="0">
                  <c:v>19011.510000000002</c:v>
                </c:pt>
                <c:pt idx="1">
                  <c:v>31774.75</c:v>
                </c:pt>
                <c:pt idx="2">
                  <c:v>17810.54</c:v>
                </c:pt>
                <c:pt idx="3">
                  <c:v>50183.704799999992</c:v>
                </c:pt>
                <c:pt idx="4">
                  <c:v>44998.952399999995</c:v>
                </c:pt>
              </c:numCache>
            </c:numRef>
          </c:val>
          <c:extLst>
            <c:ext xmlns:c16="http://schemas.microsoft.com/office/drawing/2014/chart" uri="{C3380CC4-5D6E-409C-BE32-E72D297353CC}">
              <c16:uniqueId val="{00000000-92BC-4B52-BA90-2C035E03CA84}"/>
            </c:ext>
          </c:extLst>
        </c:ser>
        <c:dLbls>
          <c:dLblPos val="outEnd"/>
          <c:showLegendKey val="0"/>
          <c:showVal val="1"/>
          <c:showCatName val="0"/>
          <c:showSerName val="0"/>
          <c:showPercent val="0"/>
          <c:showBubbleSize val="0"/>
        </c:dLbls>
        <c:gapWidth val="115"/>
        <c:overlap val="-20"/>
        <c:axId val="1721433407"/>
        <c:axId val="1965265439"/>
      </c:barChart>
      <c:catAx>
        <c:axId val="1721433407"/>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65265439"/>
        <c:crosses val="autoZero"/>
        <c:auto val="1"/>
        <c:lblAlgn val="ctr"/>
        <c:lblOffset val="100"/>
        <c:noMultiLvlLbl val="0"/>
      </c:catAx>
      <c:valAx>
        <c:axId val="1965265439"/>
        <c:scaling>
          <c:orientation val="minMax"/>
        </c:scaling>
        <c:delete val="1"/>
        <c:axPos val="b"/>
        <c:majorGridlines>
          <c:spPr>
            <a:ln w="9525" cap="flat" cmpd="sng" algn="ctr">
              <a:solidFill>
                <a:schemeClr val="lt1">
                  <a:lumMod val="95000"/>
                  <a:alpha val="10000"/>
                </a:schemeClr>
              </a:solidFill>
              <a:round/>
            </a:ln>
            <a:effectLst/>
          </c:spPr>
        </c:majorGridlines>
        <c:numFmt formatCode="&quot;$&quot;#,##0.00" sourceLinked="1"/>
        <c:majorTickMark val="out"/>
        <c:minorTickMark val="none"/>
        <c:tickLblPos val="nextTo"/>
        <c:crossAx val="1721433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a:noFill/>
    </a:ln>
    <a:effectLst>
      <a:glow rad="139700">
        <a:schemeClr val="accent5">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Map State By Amount</cx:v>
        </cx:txData>
      </cx:tx>
      <cx:txPr>
        <a:bodyPr spcFirstLastPara="1" vertOverflow="ellipsis" horzOverflow="overflow" wrap="square" lIns="0" tIns="0" rIns="0" bIns="0" anchor="ctr" anchorCtr="1"/>
        <a:lstStyle/>
        <a:p>
          <a:pPr algn="ctr" rtl="0">
            <a:defRPr sz="1800" b="1"/>
          </a:pPr>
          <a:r>
            <a:rPr lang="en-US" sz="1800" b="1" i="0" u="none" strike="noStrike" baseline="0">
              <a:solidFill>
                <a:sysClr val="window" lastClr="FFFFFF">
                  <a:lumMod val="95000"/>
                </a:sysClr>
              </a:solidFill>
              <a:latin typeface="Calibri" panose="020F0502020204030204"/>
            </a:rPr>
            <a:t>Map State By Amount</a:t>
          </a:r>
        </a:p>
      </cx:txPr>
    </cx:title>
    <cx:plotArea>
      <cx:plotAreaRegion>
        <cx:plotSurface>
          <cx:spPr>
            <a:effectLst>
              <a:glow rad="139700">
                <a:schemeClr val="accent4">
                  <a:satMod val="175000"/>
                  <a:alpha val="40000"/>
                </a:schemeClr>
              </a:glow>
            </a:effectLst>
          </cx:spPr>
        </cx:plotSurface>
        <cx:series layoutId="regionMap" uniqueId="{5BA2A884-01E6-431E-8FE5-B254BC6B511A}">
          <cx:spPr>
            <a:effectLst>
              <a:glow rad="139700">
                <a:schemeClr val="accent5">
                  <a:satMod val="175000"/>
                  <a:alpha val="40000"/>
                </a:schemeClr>
              </a:glow>
            </a:effectLst>
          </cx:spPr>
          <cx:dataLabels>
            <cx:visibility seriesName="0" categoryName="0" value="1"/>
          </cx:dataLabels>
          <cx:dataId val="0"/>
          <cx:layoutPr>
            <cx:geography cultureLanguage="en-US" cultureRegion="US" attribution="Powered by Bing">
              <cx:geoCache provider="{E9337A44-BEBE-4D9F-B70C-5C5E7DAFC167}">
                <cx:binary>1H1pc9u40u5fSeXzpQcgFhKnzpyqISXZjrfETjyTfGHJy3AnuG+//n1oyYnFaGKfen3rXrtSUSwK
QgNPd+PpRgP5923/r9vkfl2+69Mkq/512//+Pqjr/F+//VbdBvfpujpIw9tSV/rv+uBWp7/pv/8O
b+9/uyvXXZj5v5mE8t9ug3VZ3/fv//NvfJt/r0/17boOdfapuS+Hy/uqSerqF8/2Pnq3vkvDbBFW
dRne1vT3965OdLm+0+/f3Wd1WA+fh/z+9/c7n3r/7rf5d/3U77sEotXNHdoy+0ApWwjCTfLwQ9+/
S3Tmbx8blIgDwS2bSfbY6fk6RcOXiPIgyPrurryvKozl4fVpyx3B8eDi/btb3WT1NGE+5u7391+y
sL6/e3dVr+v76v27sNLu5gOunqT/cvUw3N92p/w//569gQmYvfMElflsPffoGRGfArMzmP8WGHUg
CBMWZ9YGGMz/U2CUOiB0gkVx9fDDd/GZzdw/i7UfpFnznZH8/wnLjjLBVv5I1jfrdP04K69gKuaB
JSU3TdPahcKWBzYnjJnE3EChHjvdmMoLJNkPwveGO2PD0E7fhKHsSA1E/lxXAfxlrbPH+fnfg8Kt
A04p7MS2NnM/w4aa5EAIyW3C6aN/29jCBpuXybQfnqdtd8aKof7xJhH6eJ9l1ZC06yx8RcPh5MBW
Uip748gIma0xlnVgM9tWlkU2GNqP+rHB6KVS7Udpt/UMp49vE6c/ynDU2StCxPiBqZhp2nS7mszN
iNID+D6hpJD7zOgFAu1H53vDGTB/fHuTBuTqLLu/rcPbpn7U4VfwcfRAWIIKxsTGgub2g4WJ2cDO
FI+dPnK0F0mzH5mdoczQcT+/SXSudFMH79x1qZPwVa2HHSgCImbSzRpDZlzNnhwgJzaldOPg5C5O
L5drP1Tz9jO0rtw3ida5Lv/voIWIhilmCbZdbma+zlIH1BbMlnLj6sgMrZfLtR+tefsZWudvE60/
ynidVevqUbP/924Pa5KN2JQwKr7Tgp0IyDzgTFEhxJZYzLzfSyTaj9CPljNs/rh8k5b0Z1jd6qwK
X5N38wOEnkowuTUixDxPwbEV1iRTCaHYZs2CS9zh3S8RaT86T0Yzg+fP4zcJz9m6qta3QVPd1/Ur
2g83D6hlMotbWwjmtAGUjiDHwGw4wKfYvFie/fjMms8wOnubjNtdJ+HfunzVuIhZB6bgCIyo2svr
wBYOJCC0KN/yhl2cXibTfpCetp0h5L5NhK7D0g9fGx9BTVsxuc0tIC596uMs+2AKaoUi2+czH/cS
ifaj86PlDJvrt4nNRRC+Ys4a+QSOZZ+qJ/mCp7jYiIcICB7jP1KnT/3bc9Lsx2TTaobHxdGbXHEW
98m6W5f3j/7kFcga0tHEtqTJtmRtxgcsccClLTmj4HTTz4ysvUSi/bj8aDnDZrF8k9issMUT3q1f
DxrTPhAgYpRvacA8/QZz4TaMxbT3U7UXCLQfme8NZ8Cs3mb6+vBeY4V5RWCYeYDEtGlztU0b0N31
xWYHnGP/B5mDvRz6BQLtB+Z7wxkwh29zdTm/b9evaTBMHTBsGfDvCYLZuk+pPJACGQLL3gAD3J6u
L8/Lsx+Wx3YzVM6v36QfO06QZNPhawY05ICafNr03CapZ2sMYk7KbcmE/WMNeorLSyTaj8yPljNs
jt+mK/tSr4NHnX2VtZ8hzsTiv81Pm7t+DGnPA2nZ2DiVs1Tac3LsR2PTaobEl7eZkj7O7sL1q+ai
1QHiScXtx6wYgpIdciwPsFOAgAXb1Q8/MyL2AoH2o/K94QyY4/M36b7O77t3X3UZv56ZIB+jmDL5
VCjw8DNDBhRZ4omQj3twM2N5iUT7ofnRcobN+dc3i83ROs1RTvCaMQxnB9LG9KvHfbY5QNM+HLyc
Itt8Dfzc0/VlmuYXifXPKD1pPofqbUaaZzqrX9W/oeADKcsp+Od7rYgSJM048jaSzSqiXiDKfmC+
N5xBcvZGlxzdvWIQA69GLC5RqLYfD8VQx0aIpGT7fObVjp+RZj8km1YzPI7fZvjyGUU3KJC8f81s
jEBFGorRyDZAITNGhoo1xpk5JZc3RjSLYF4k0n5knjSdwfP5bRKBE7j45jYeHn39K/Bl60CYlmlL
sa0XnMWXtgBFsyyL0W1CZkbRXiLRfnB+tJxhc/I2icBZWFXTnzwPXxEepI9N5DK/R5FqxqCxwAgw
NVSCboxn5tFeKNR+hHYaz0A6u3qTbO1UN2H1ykEOOVA2kmYSZG3zswuRoigdoIg47e3u9IwKvEik
/QA9aTqD5/RtLj8Ta/1wX1b3r+jhsENDGWiyYNvM5mz9sVA9APvCwYktfDN8XibTfoCetp0hdP7h
TRrQ2bocknV294ouDqc+sARhr2bXbiyJnTOKStDHQwWIgJ5GOC+RZD8qP1rOMDlbvE1Mwtsg9Nev
W1Fjo1ZDWfbWKH5mBSjkUMjcbJ//tOw8L9E/YPN9LHNsjt8kNp/v+1etQ6PYumQ2R/nmd7L8NKOG
kzgMOR2Ur/+gc0+N5llx9qOybTaD5PNfbxKSs3CKcXT9moHnFMMo7Go+nitADLMDCz+gCluaqGqf
ObGXyLIfkyfDmOFy9jaDm4lu6qYMH2foFYIb+wD1Mkg+b8/bzENPhd1mhDYWNbdubBbcvESifwLn
cSxzbN7GucIdqXFc6iJO1oF+1RNsqHy2GUe2ZuPI5pUACoEpmaoArG1BE+jBU0/2Eon2Y/Oj5c4o
MciTN+nPzu9vynUVv6Y7Q3IZlX7TNtoGnBllxiqDiGdaYvZXO79Eov3Y/Gg5w+Z8+Uax6d6d3ffh
7SuWnKEWHac74LX4Fp3Z1gAl8oDCdJBxwzL01GamcOR5af4JmR9t59icvUlsLsp7/1WPf+LkDU5q
YNNf7k0EbI5/wnBwhn0Xl+cl2Y/JY7sZHheXbxKPywDn6N8dV68bXnLs95s2qv+3tX5qFspY8HUU
qenpQOHDzyzMfKlU+xHabT3D6fL/UUjzz/cPfL+dYbGu18uHax2eXEHw66cPE4DLJmZNtw5oL5nb
+Kbju9/fI5rBvH+/LWL6jh3P9f30+bzJ/bqqf39v2NP5HJvDJVJqU8mnc1Ld/eaRDZJHUROCHBw2
GYD1+3fZdJwLF04IFIpawpoO9qD2HfHu+3egoA+PyIGJ7XHUhuLoFQ4mKPr9No2POhngOL7Pxvb3
d1mTftRhVle/v0cKKd98ahqc4PgWcB1IQUxsuON8MZ7fri9xAB0fpv8nornJK8aNI2UYPHLCaBiP
GsWrz0/mZE83oKs/dWOh2FihNzJlHHe7GWlVDu3YGkfVyOnnWKfDgjXEvki71kidX/eFCZ33pXDY
HaWaTFkwHsD3dEjAIqpUy7yjgWp1QWTZnklB2Qc+kv5jLtMweKZDHLX6qUuLKUkFrjixsf5NjPFp
l31ciYJapXcUDqXnO16h61NdNr52tJFq4dqqU9cE/tlckcZv2UIkSTQcSt2Z2WEh/MYVbcs7p+mz
8DCPwvJI6d4InUGV5Cbrw/K0UJU6LDxfHXZjGR6mcjDdzOuzD0NJ009JnKjDxCjrL7SW2QfVlvnK
8NLw3Bvq8Jz7kcgWzM+Cw6Eg6XHoV8OyqKv0k2nw8V5F4XgdxLy8tnL/jDRDuOysJHObPCFHo8ni
M85NabtBxJpPZtWkf49s1Bcj66IvJgkjJyNeshJFkLk0TFu30Vl3RLSnF8VYmId2S7RTFkO3pEGf
O0nNqhOL1vq8zO3OqZOYrUniG0eJ7IrFWBrdUTEklu/wXnnStQ1T31Z2mp7KMe0/KT0GjUOKzvad
0uYrUpnl1zA2VBcv+qC0qsKxhs7vqq/I7ImhOg2yPFpZmaUyt/Og5y4JNMkdwtLspimt/GvU+Paf
kYrNS+UTFbgdqdRdZFd55FBVWpmTmoOOHSMK+1XZ2sR3QHCCmzhIbOGGGU8uSNLauSu5r0+tpmtO
hibrru1hTNzYC8uFaSbQvWj0K4eHkbgIGb0M+pC4Xh8Nl0Gh5LKipPyaWrpd6Z7UK7uVhnB6LdO7
Mk2DwyALbocyyhc+s8WJr+wmd+gognRZYXKCzEvOiiQd/8RepvGJZeF4SkbPrpyqp/GxzFpiLOIw
8ohjaOOKy1Ace5zwo7bLqiUbwviURH5z51eyvonpECXL0R9ltjTqUH3AFFSLwJO3RZ24He3K8ywh
rdNbyR1hfefImJ94Rt07cex/UZURQknz5NDI7cAZjbR3q77LXG1y4iovlI6V1yeRUXLm9LU/uJLY
0RphsocPW9+Y17BFoOWw7C1ZXHpdYp7KoPoo+q6jjo3EIFQb1tMLsz1jMTeXEW3v+9QyVqI06rPY
zMabuteDC2TFTd7H8UWoMnMRj3V9WYjacLPaviwKFS4bMf5lNCU7N8fAXJrDWJ0b1jguOyW7qyxT
jetT1a6GlH/KuvRPi3naPApju2u5U/ttMNxmMoxNx2ubRi9kE/dR4gx2bkbOWEXtIvbTWCyl2Qyx
OySFHE/tLhn640QRf0jdwC8IcTzD8MfruOp46zu92VSdj4nQxaIZ2ir6zMvI9uvEoVFvt91na6iD
paKV5S/EEJSxa3hxKBxREOmo2s6yw64dpfVXb3DfXllDbIrj1O4qsggTY7BXVVSFBXf8tJYrP+5G
/7KNBT7J8rD1z2VRNoGj0zLrPvrS8G3m5LKoghPlGa0OncrrxFczD5oyckjmGcGyK3tlXkdNZ4hV
0Sth3Vl9AKCCOqiND/GQ+015FadelhaHVFXxV0Pk8ZVq0/CwJBncsE4tcdSSOrm2vMEoXY+Z3uB0
jWQfRN9q4nRj2zWOMAJ1KGrGPnSmV5zSvhdHZmoQy+njIRwW6ajoZzPQfuRUxfS25Unvahia7laa
mWc7Gc3yFY8ZO9ZJj34bng2LuEn4cV6R7EPYd2pZp82YuWnheTB2u9MnBedV4VqtRVdUVnqRlGG2
FLmq3awidu8YQ5ACAU9960v8q6iN7GqsiBc5IjOafNG2XfqpZzy/56hvP4Ugob+KTa5P8kGl46KR
fhIsy6HTxzZJ1EUiQrlO0gLysaSlK6+y0k9GF1uxG9spZDNkjmfCqNO/TbtMrhmp+49JHMlxYY+p
vvLTIMydKftD4Txi2cBuE+wrgNtsedd2Id/wh1udD2XoB9sLub7/+p/POsWfhzY/3pzu8/rx29nj
RWC//BQK7KcbGKr5hyZpvn8XhNlKN1GvnV9+ooH/QPQ294r9w8MdFnj79F6tx0hoIkomB3H6ZxI4
uwfqBxV8aLdlglIeKIsxFAGhNhsp2R9MEAUmoPqomMMpOoGzjk+IIIIAhqgMN1htb67YskCKvSlm
osBLUeRDFI4//jcskE2c6AcNnHoEAwSDYaYlESrO+VlCozKjXSzuberVjVqaOc+NxCV5C24gRJPH
a26UolplxVANfFGbvQh619AeufGzkmcGfHwfWx9UIIZmESsjK446lSbVWSLS3BgcHfcivxFxHfV6
YUiZRMz1LYvTewsOu7lMAqwpa9sWuXfLUlbIc1+GRc6clIYVROG5KNOLgJK6yxZ+Iso4d3QnQAyo
NRQQ2U9TOpyYKcuiv42q1WjzBNKt6j+lyqDcO3OEnVpz4st8uqUH0zVR6SdU2aJp2AQysO+9TmdR
cVSnPOFHCW+r0joaK78OO3cMc5yQTYgXmt7q191TpLZ2+58SwgzUHwkUFIqp6fmT/seI2ZUkMryL
aMzi0K01EyxwlDKNIlqVfeeX9aIMap8HjsGNMc8+dpwNlelSPsqOfahlkFWxo3XBSnqOuLTAs18L
ucu9cZIQezw4XIDDoCjPndRyV8Y+CA0zKJlxJ42yJebCHy3fKlaJzWtGnKyspfwWC+LVCEC/m9vz
2Ez9csUtE7X1JrYz5v3mzaAtbTD7DmtrUkmnJXlS/RVwz8x8p4vCJrzIPNxmWDtBoFGB/0wEMEH/
w3wEtxWhiKIm68YNJvh9d9jdMIKjjyI+sjKjjIVrpanFvskyDsps44E3d/PtGenPXeESNdsC4eYm
qp/kTAtTz0yHxpf+EczUqI9bEWvMbG8WKV5+PanIYz8Z1QSmhXAGZ68UF4jZrAnsJwrnizY0SB+w
O8NKrIK5oiNSrDf96jG0kvPQoJqCiRVDcxVXhIyBg2rk5FlJduMrSCJMrJG4wmIqKTIFm6lVLUMS
DXHm3XpqzER5qIs89YYlQpxKDYeDXfbQtf928KhtktgEQHHMdGsN2R18YGHxjAZS3nHZwXetBipH
GoNndk3Fl6HtcfmtbKBLhVNJ4PRNk6Et1bINEV90z6g3nflnTIAioO+T+2FYJOyZNL4aI6Hy2rhB
rbeVGkd9HUxmnvY6wGWQTRfxkbthWg1m7oCUMUglQhI0V2kuo8HNDFpmVyoNwO4WhdCleZm2YVbd
/HrOJjX/YQbIIqAUDwWuqCvGRUzwATPdbDrPLkkx9jd9WZdQAtLEBJNF+o4Jw+lL1hpXuRkXeJTV
3aS3WQiS+N9OFk6eodaWERw754zDYe9CZxdmVQ+V1DdZIgysTBF88tg57UDqQZwwDyx0XYGbxusU
gTHWiTJPSyqObCMy2tgpAqwh03o2BGiFcCppT3gf5zp9xlnSuYHh6gLsAprTqR8gLOXMbfSsy3KV
jeym8kxppMuorvKk+ViMdZgjXi2GAsIZVoocyVIPRaqHhR2Pg3HV5bl3XKkyiXw3HUcynKRBkdWe
kykivdptBDGSS5kqf0xdpEl6OHrTiAaafSCjSvCtceh1RfGMw6BTnuOpAiCNhTvslIQ3FBLHaWce
A5qZFW3W5t8soUUk3JygvKlwPK9RqnTpaBlYsLxhsyYkDcez5sGN5dRDVO30Xc1ksWo69rxB8/na
hFp3UCyB3JCJZPhPahEjS5N6gc6/5SWsqFiyKrb5mUkDNpywqhkwHcprk/E6DfphsJwmKLsicLGM
dfLSL0bPOCpTBPLXpdFU8twO5UR7et6mSL7EjZjg0RVTUKGhtUR7mZdRPF6PiYy72CFJMi3FIWYf
AOlMBXiTgYGP13ba98COiWjASzUSv7YXuahYtZJWM2EX934I2lQ8dK9s3xg6x9Z9hK/QoESQPDSy
ifHUuUjjdV/JrMhXSAPR9oozPdanZRl7pZMkaWkiavG9tD/yOSjD18zOPH7dkpZCySzbB3tqi0yD
eP3aN8xdOGbfwo4pziVyS6LibaYazBsyBNR58m2kaVVO0S6x8srpdKSTY9YUHRzFr3uceyNzKrY3
KdgIkq/qpx6rklRBl7LuKxubSRm7hk/uz6ysGJREtoWQ37yIjVDCzmzqyj+z4Figp78WY7pebsco
GO5DNS0sXKjkMzm4/647GlnbFIaS6XXKs7RmTq0bYdzrIijgjYK4yuiy9Cwdfmwr24fHyQOh/aVv
12arHVRAd0nr1KZfnCSeLa96Vib24FQdle1lbRskdAsx9voESkQCJyLcQxTIPaSjYewBgR7qNgBn
OvaiuJ4sv0XK9GK6vzUfHBaXrG8Pfz3iuV+zcVkOmY4xmg83IiPS2R1xLL0g64rK+tI2GQE1F2Vp
gpq346S3SJRzfhTQrofa9rFiePHrB76OCHdSadZECPSvvF5OKm0W4ZiWR2FusslFFoix6apI2rwK
D0cxxLA6r0unSIEOiJOvS4sWMKNfD8mceTYbDMjGsgmvBgRR4jRz1QXL0lFHmfnFrgMG26pzfxKg
Nlgzme6DHaMQeoBsXtBPJg5fObmUMi+w0BgBRXBCezG9pYsYm+aJiix+FHbJNA9Ij2p57hU9PhUG
bBri4KeyWsWGVbJVbpctq9wB6wWG+8zQZnENhqZAXk2UmuCWFmxUzIZW9zG1kkYPX5jfTp6qLguo
1piMob6tiY2kmjPUuhivLTOb1sfU0BSA9DJN/GE5ppLW/koxo+m+gHuXmI7Oihi0j7UjvEkWGgoq
xrskn7xbA7d5FJp5B7dWg5Ggw7D2kMd1ETlSTEXqc0xFXVuBUbsiaSKYRKDMCL9t5mdyhVPNwa/i
h5mN2qALYFeWKWwE0+Qnqku7kctBFsbnFmlYeIcNvTUDu29jF/Fy4GfPuYXZcjR1yXGEziRYlrDH
Nw8nSaRBIfPe+lw1FBpSD7j2CtnTscb88CjnWiy9ztB95ciEDZjwpPUyUBY4PcwScm9J/dGSle1F
K6/mNpwBDLK9LFH9hRUgNWD4dZ9hodrC5hddhqnsEzuDrcCKJjj8uJ+AQHab4kUNkWoviU41JBFx
jLUplvUUff96trliuz4Rg58WATgJilubfo4TQQcrwyf98DkIBpl4Tt3ELHe9Dumzc2mOvMQGRVDK
3HaUaaoocMqyCIsPJGlYL5wcbMc4Kf3U4GdeGljMLTrd+7ckxI5F5zVcLmIr08kdj5KxvEyRSccl
9SNNugveUtIjYRZlSuRuAf5YNauuE3Z7XhaB12tHpiSlp4yUVC2yrFTUjfq6KT1H93YxRk6QtSXv
Xb+PWxhDO5bdkDi9ISIerZRJG34lk3rgvkt6iu2Aw1x1AfXA3zy/Pq4DC8zMtcakG0cE61DF/BhZ
TK9xCmw5yFWrLB/bQ6nRj587qc3wuuGJ7y0Yr03qDoi69eBIv67UQoVmF7u+SPwjXHBWLwpNuvHE
Uxkhh7SjgbnyjcoOyDLHfhv/MojWj40vSpO+/9zXPavPjKrOjEusGFZzJ0opyy+j1fqZdnKtaVB9
Uv2YxIdeiJzNatTcTrWjEG6agWuVY1XYNzSN7OwuMHPd9guoylDcq6buOuLGSVfR6Kj2skLYC8QB
IpGHXmrE8lxRy4jjw1bmZpUE94GdsRqz3FNml/xsZLqFSo+0rPLgE5OklmSZZTzPreMGWwhBcpqJ
Pi78ZdT6ddeedsLzw3Dl8bRrxKWXmaw4lhEPpsR2j3AqdvJ2JFjWk8oOO+X4BpdFjdxoOUbDcedX
RhAedmGK1caNVcfhYNs8bMRf2mikqI6hHJ3huR0DbaHnTQ7WpZx6YHYvLxKE6HipN28aYZjgGS5d
4uhu1BUvbsamUGb7IZJl7ptHtDcMy3KHSMSNddhnEU0TR/B2WheJMEIMx2fYpmDr3htwp6AbiUAJ
/2Lo8i63PkaeEXXJyoqZYebHcTMou72QEROhcgqlpkyLVdYiiK8t3/OM8YTzpMJMGUMBl30Gr10E
4sRgXmklpzQsQpp8jKIusr1lF8ER+Esd4sRC6cJlTSINrZEQc0n8YAiLBcnjqLQXWU0Mkf1l+maG
/tIoUeoL9tCKwi0RB2NmTbsJsYK4VAbTl0B+UBYHmy4Tp+dBhdG7eUAzJldR0E0zxpI6xouusG9w
laXW5PJ5W/u25aqu1lCAMQPfOKxVmeJz+WaoQS1GTF8RIU1iYS2pPPSWBBRBZkbDCR6a88AUf9Kk
n+Y54ypChsxojBJQGFlsB/y+KBDQFKsyDMG03M6mg1W4oR2IxgCCvCma6zrKmjDDfBnBqA+DBjvY
/ZkdWZPIIZDOxysJzUIPDI+KG8/oJwWTpTEhLwYD7yUqnaambSk+iiXWLjrI0OI2SoxxO56yZKy4
QRoxwHuiz7W8igX3FHN5p5DWcnIroJiLrfZ4Y6XwlVZkTIPz6uFhMhpoTeluOa4So5h+Y5WIzxgJ
S+NqO9XG5uOPk7z5HDIFZnxmmXkKAWhmBO1NHGLToTwMMzZg0IU54v8GcXyT+SG5QgDua+WIDVB6
bGuoGiLvpvSPM6oGTzg0DtpBXqi00Zil1kwTfMTMkTkssSfOvFY5MRkm0uunOAYIG7V8UtyozQzq
HBYEv7YZU2CGiNHcXGeyo0dDY0/ROdlAu1EP6cUJ5kfyEC2WwkqmwfdyCKCnPi2nbgIeSLw56IJY
wZfRCHlTf8BI2TS9G0Uam6GBlBjk9C00LCu0w9X6DNpV1cEk+mZCjbEb8YtOmObW0iAii6Pj0RRW
nx/6U0aLLLuw0bBpFflT5qPqgG/YWmZxQ6WfQX0qAcaKwZctyO5FhQz99IVmO71gS9DGS5KRyRzS
UUzyZ9g1CrovTeInfrjKfBvfGxSM+uworgZsq5+wja6EUaVq63A75SpqS4jThyzGl2AF0Og8ysMY
63xLi1GSL2Bukd0u8sKos9Alle+hcxEFuO1xUSc5MrYJEgZI2QCmoDm2tD+Zc4P1Fe/FQyMjexWD
LPbDB6aqpNdHNdckTd1E8SRtHa/yka6kijb4fFAXFV5AGkVynhYN/h7SDkk0QTqKVFGBHYrkvI1r
D0mBrozQOw183V5L1DwgCvCGcdL9TsGVR6ueFSY8jF0GSWMvkxRLbLrsjcxT1bFQWKr6r0T2EfyN
n2gdx0fbJHlUJ0EZrZogQbx7O/AKl1Ic5VGA6ThkDzZTaDvBhGHrM/bGaxbYuqu/FKwLOnlUb4be
K7/CFLG8H2OMKEbtAbZ9R0Lh5eqST9NH+3zSGuSrJhXf5E/tKu4wA7Qxp/HWYWjipYSC4/NFiFSo
4YTJiGw57tOOM+UgZTHI9IzltMQn5ECnGLYVTQW92iRZRiqS0ls1WVF65rHvFSO+Y9yk3jyE5cga
FoLHyJd6NEbom6aInTK3TpCYECdpLCd7qnkXYmvBj+0arpJJD+Ul59UATxOtENlOk9eggAHzazZ2
jB2GKMl8NMfRLIzyawd65hkfOq8qy/BcsWhKUuoGy92ZFXtM1p840liDt+y9CPunK9nlIqkWSF2g
csqxkASS37jPKEJyLIYK4I+oUMGoZJZOy0YqvEndSrOkUL7NTEa1RiaahSRk7YduFKlnfYpHbEpf
lSDTyCqMOWosvsHfQr+MLh8xAxEn0xi8PDPg/BFeTlmqJARfBbNWqe7yb1INQUFveJ/I5FzKIh+8
FTd1VRt/dyE25L0lVjSWCKdKkP82XDtBAdA1MpJdXH8mfhH5vuuJgQX9ZWeB2xR3qg3bwvxaoTSj
JIdl3LSpcg1zrOLrkTfYGHYarA49gn1KNTilZQnV0AZankbKdFu8aVitY3XYb+sX25FssCzyCAli
F7dxDdOwHtxNkrST/1ODP3kTsP/JeMMqnT6RPWTvvcic3hOUGPjE4A/TBz2G7ES6ROQ+7diEiZfD
lH2wRe98rAeaLyMY6mSVKp2ebFUWnBKeCCUA06NNPnxyp4bvlv1QMsuhZknsj01g+Z12OpIhe86H
0VPmcVdkk5X7xjilAyvsfuGFg5bVx8VIoN+cYP/hHHnLSXIUPKDptiNRKixpBVTFuNpEbFkYjVbs
RFne8E/xxmHFm0RjgfpXaIORFFMSsiplyfki9dNCe05QyMa4akKRY8x1h73J9kNo+hONC3iPPqw2
mcRqHgzO0DHWEccTzWTkuTltni6yrp900vJGMw4dEVRZmi6DKIE1rjYTgjzw5PRilIHhe3lFjegk
MFli2c8kvmYBPXI58A/QYBPOTdKf0spBjT0E5KvNq0BrCakt3+9hDZ2Gmy0MPllQ0iLxEjhtWEyy
PxPd7cZ2U/f4TzBQmjhdp4j+Z+n3sum10VUWUlUb1xghBwwpEAfAkn7d1SyBDmsiuLwUfSFlhb/l
FNY/2aHq7LiwPVDJRx0hca+1W+Qe5xeoqZy0W8lgArUJIyCseckB2dY5/lqW3RQCzopAf2z89xO2
xDYg9NzclcVrmYn0beRf4U4WuLFQ0ImPVxUulVyOGtT5uXn+uUMcc5gKSm1lIrmoZnlF7C0SmvwP
e2e2JLetdeknYgfn4ZZDZo1ZpSqVLOkGockEQYIEMYNP3yst9zkeOuz+79sRtsNhVSUzCQJ7r/Wt
nTwmL7tfcVCMM078W1A/2OZ+f7L/+Q0mV9nuv+r+9R1eZ8UWgEXrFINK/ipk+oXl46qX8uX3HcPR
4yrahzILRXHyuartiQlyyHfGZYH13KzX/TyT2BoigJ84j/7liv680nFFaKWuEXaApQUmEf7VFgtN
HLkqZPvL8vOhcqjr8Ix7MxPs61NtJ9wCmpuAJ7PJcDigtIjo9UKYyHZzdHZHZ38qeLYVMFGxtQBJ
28WOP47ngySXKWToJzv3088SP7fZf34Tf72NuHFwdOMCjglGwGE47J/XDc7dXac+sheq5uvOdPxW
CAlVrOZdiGqTY7je/7vUVcAAARMb40Ze/7p+e8OfX6/yqEYwEcBcfj/2/Eh3EF0bdlZwmgpx3v/Z
60Hyv1LseDAQmcr/th1kjkCJthO7/DyWUCRf70Y1L3guVrVfD4x/fsG/uFBo9kBoYLRbep0Lgq/i
+avVsMaaEuZF8y1mEHR/X4BpOV+LKpnxa+PlarvyLua5TIGLyQWeQLugaFOdzlZfvTEXY7v4l+v6
iYj84QmC2gfn/rehcldrHYmMP3/2cQxnpZqoOssjjakaUmBu+DAMpmiY7Vd1rLCku02NUEeblpMD
/V6ri1En/B7nLdCgsdtmAe3mIc2hHsTPnBTjuN0EnO7FdiF+mhMfOpLCNPqk9p2jkZEszdd94Is5
Ut3FW1wq3teygFj2kPlky8rn5qcjN5doJ7In8HrJ7h/nkdoGKI+x5ZRA1WBASG7QKlQT75eICexn
v5cYVYQfo+38szBAjV1juy9/24h+Ngvzb5+mozzF5ovm7nqQO5tGKEm3tEalv6YGHzeKpNJUl0wt
13Is+lmdCNibuG+xqJNjameleXK0q5LNOvWlqBZm2v8jWuw4+Gj7eynyWw0Eb8zh8z32+noMV7uF
NoTuYC7TQdQbXpID28RZH8NvmMZu8RxjVM5Q5Be2vGUoXJvsUgbd5OKWlXF0beeVlVBKw89OqnFB
ZXtPZ8MhnEJDqeATtIzqeiNdZLbRxbzdQd0X6XOzN6Jyw7jj8dzfF6Gxx/YejsHVk0IVF6flZdMK
NsD7SUAvHnuscwABJyr3JGEdT1A2/hrQPKr6rii9Sz8nhQ+6vkD4IuLd2jRsBhC7qihGL4tH3+sO
WQO44cO6Bdzb3vn0kKGNI2gLtkNxlRR1F/JA3MPcKK2OFoaym9APN7WEsznRWJ3zeNHuaxnzOdCe
5CiZgURXK5cfV2gnkWkReriaZr/vJjsc7bF8qDl2XnZa6QICFnXwb5USpOtrpRfA4OJfP5fG8ls9
t1bLjKZLAkUH22xlXPIEe9G4VbiMdAZm6+bINu+xDW/1q1ibaDnxqRiLlo6jey3CVLA+TI6cp9xm
N1OcHbdcensDLWJ7qWSZduBT6aWa9BJD9bXyPcGivsnHYlMtnj76lUmxfBzjaet9kxB0k0umz2hX
IQqla3Ffi/jzNuNxXJ0oH0o3ib7KKcXdjSN5YpXPB7ZN5ulgi44H1NV6qEOcLVixJf9GhXlNk1zc
yzwa77lVeigURGSgJOON3UzT08bV7ypBdzjzYvo+qZ30CxVjG/J17QvS7Hf1kfJTICt83FUUOX51
HdYuZ2t1cviVtzU6qq/Sb+YMcoF835t5Oc8+WQ7ECFhxoizeXkUOdb1dILKoNsq28c35o/6yRGuB
Ztzw965OpyFOdXyXA4afEF+IsoccQttJaoXsOqvIO8h/EzgqnTXfE5g16EgSkbzYlNHpJMIaDYni
+kXZHJIBtoJeBW/uMgRA5rbgru5I1RBaf5xs2oRbMATmm0pzlgybERqNysRpaC3G1/6odVHxPiKR
vOMNgII+TzR75202o9Ph232hdLJ3pKbbl5gp8eAxDO9elcl1hZLi6oKO1t15FKSPcTXbW+jX0d00
ZzTta+x+3xPnsrU9jjqhaHxF9MmJ3f3Yo8h36ZQcX5RiWwomQABrPA6FlUsXsbRgnqTpxeFmf1ea
cUciIBHTJSQVNmI0RZ112RX5B9Ur7qTf5SkVJr0vFu5baLUfChe+xYaQS57g8bHK6B7iYDy1o+e2
Atq9ZUNe6fUiaC4/BeFRVcUwqBEgMDMohrmrprEQbWSy/Au85a3N0mU9b2j12zTm+p1P1vmdokGD
HNZ6fNtp2D9KL3ja7t74jiQS6QaG64NnWkM1w4Pn6dHlvnbPTaro0q2HZV8YF0cLm4Z/wATjvRXC
Jghg5PWtSGXdGRmTuxwJiC+qLv0Dg2JvYRzkBi9KdEtMtKOnNONDWUfAx5dkbr7ICGVJX6PCAiXN
1P5cunI+YaMvy66ZjupGJxt9BmkDOsNR+ZZuqzhb45MzE7b8IjPy5tDpvh07P+rzLvLQsp2PPwI+
kDPVlTEDCrnwqmVTkFbmOzzXedRtTK29LZtZnHdUkkk7Vqp5a1bdfM28yN4zSbaviCcdPwwWeG+r
LX3MgQacY5wU/e53/YoKMWoLt9qHSKr58xFv6zlbEgK2CoLwhQYEKkDAYkeK2VRD0Snm8qaCtdIJ
tbLzXBj5Bjorw/Xb9C6J1+zEykx9grK2PzcrlTdJWJpXzuVxPyq2IwGBLReNLEI8ax7rO2ly97wq
It/Lus6/ZbPF5pDuwV7ywPHwQJV6SjJt7r2s3O3kfIbwkanXMyl53qPBBfkJ4aK5PSJJHgih8t2R
1vSthvjxaT9q/R4H/niDh616PJJIg0Iqp9PSkOIBHnWSdZo3C0DzsGZY73I9HWO0Pc8Q0Z9Hv4m9
A9sRn6Rj+yehTY4QVHEcD7LJzT1Qoxn9Pd/ej9nRcOzZ3A9ZNdc3CVy7zoojf6rtmEFbl9H3iIBu
jx9CkR9T0wXuUa32lYEoXT/MRWYrPcSYSLvodmkEeXCRGJ+hkyyXKA/rh0XLL/iZEVLtlHxQHBUM
MxW7+IYBCy1EMt01m0g/m4gY1y3UxY+AdczblFq7nymyOnnX0KS6z8km61MT87W547QWPZzY/Ggt
HOu+bg5etezQjW15RtbLFsGxvw/RXuGzLmOnr4EtC6sm8TJxt2u+86fM59G7am0mZIWQGNgG2gj5
wsbJ8gGmbaD3fJq3qY/kWoBpJCSJzpVV6ngJ9YpoxvlaesR9s3t8/fWMT21z43w3o6uWS5dUqFy6
ghtiH6F3MNVlJhnfu+pAGGaLl/IBwB1JepegRLzXaKX1h2JC/yaxj0ihixKF07gCDLqxuqzuitTH
K3t/ZIGktg1+jxtzl2Kzi2/rHJr+eV/CKntqVWFem2icGRiacWlkKyMyLoim5I1/nTJwL21K8+Xd
FpLoODu0iqyLqz2NH1zD/NqlEkr8Y7VgO+2BuB39Bm3qjqV66hCZnO90FLxiT0uIyubI8PGvsec9
lBY+XzkrkRb8Seuc1boPJSuXFBK52vA81DAoO5OElA95Yhb6MFP4qy1fIdR2h/b72mY8wLqpDJtv
1ikvtmGE1fc4TxA6e+Ynf5ONmLPel3VMK4haTCa38ygFDEVTVKFNHfzrUqf6EhWNrzrOSK7aCjkT
iGlQ3T4kIpLfbYPSJJMipOdtI0k2IDuUmrRDCUejrYO7DpjMtRUtX0KUbxUKM1OHaemwk2r8gS2O
JqT4sQntdTlQsYi2GPfEN8PMq6Sig0j9VhSPSWRL8wY7lpMbttf5l9Haz8dBx7eRis9jIwrWok3g
rw50xkBqIs8xDo8Ym0QpYWBVx/0S0uUis8mcLJVNJ3ZxiLYCaClazgv+Ktel7KUsQ2vqKcf+ajX/
pkdynKptgRE3evIIj7COu8Sra5gPh03+3CiavVZAgGQ/Wag1WA9YMC2INvc92cT8TuyrqgdVVeOD
2tbt1exKj4PxoyVIr/GxapEja275xvY+XfflNO+keF3nOBkaTbf7mRTRYzr7/D4VsB23UcF+btAW
IXpH8CW+pjLnwyOG1yJxu/A+buyuBpGU2wUEoNO3QjrSNsrFvtvnkXV5qaxom4QTUKBAGs2tKvHm
hgCZ+vUg+F4SAud6PzM4ZL3EQ+naI8zyglMeh/9Uzks/MdQXuATyglNnOhkEYzuzCvqBTWPyGdqZ
PwG7ac5b3PBTJSr2HLFYdpaX9GO88reFgeUa0bidqpSwT8iJ6q0tsm37lMVE3pk0I74l0rO6myBv
3hGR4k2PMTTqydsO7Hj2xNCW3FmXTN9mmlWfZzImH+ckcw8W3mtfiH27zSD6foB8ns7XPQ3pzIzF
+2NJSIa6FZvjdRHm3/L5ypYHxLhwavtUfd1sHU3DUk6wMiEHb+XtWqzT1ik5eQ236Ngg91WOJV22
YB9py2hixeMiVPqVUqrnNkXAaW3ZUtG6m/F7OwhYWBM0CCTWSpNWPVp4u0jUWvN4x8WmfxHo2mg3
iyyLP+PgdbJtENOyN5Gey14LFt1Me5G+XZ3/U3LY2bRTiMRTUXj21SCgieMBnedpMwQ800aK7AHm
m0QWC1hIK0eUNA9eGfF1TrWfOgWh0LaTXfw3rQOeFTyU6NOMgA753cJ3si08NTuszCKVtu8joKfJ
HyjmAX7+QHrbkhOvqL7PEdRDL4tyRPcL2aNiiHYOajc+bPFBq2X5VAnru1llql/iaI8vxlXJK/yx
ugHXgxquLbWjy9mhqLrD7re6we+UMpRyDUpPcBjRdskQu4s6Q64sXeBxIQYpLJIPYEqwiLqccsry
2Z5GW8IM4XPHZhRpcri2sbYjYZ9S1NTZSo6PqzLr/JRuiVM9ugoyY0tryu0QnUzMuIRzFKdszZ9K
kyFZNyf7lH1ZAH5Ga2ej2jNyguU1+/hxRpBzazp02z4XrTkoV6arcOAWoadwoOqlNeCx89CvNhA+
34eaQNLplEEDJp4Xi7AFUqIAtRtzkkbs08dxnPNt7B0eFRghSAllq2yt37dSn0bUauutoSbiv6pd
eVsMFAQTR2Zvh1v2SuIU7slZAHXSay9DHsXsmRkx4z7kEYAnw8AiQ8VHuFXi7f/gUVPF+BwVQ1iw
EdQXHwtZpPT1p9waiatloJfmKm6mCfHiHkMcruY7HP+rk4Hn8Ki+jzmJfXkGGX3gedsT1UyfjHA0
ou1aIzcSobMlzJU4IrAd6w+GQlCoHzQKSn+JWROHvDOjMvt8PuBP4W7hyGMb+5rVZrUcQXJtwnqP
MH0aHe20gZNQHbCVjJPXTBdiKocSqOmU3cXG7GEDSTRp1DjoHcb9JETNsB9HeutncESPKXAslO6i
wY4ZGmQ+dZ2fJ13xEAR0VAstdOoARZnF5cO4+nxaBuHAzDTQDtatfjhQ+tUDiZaSwMeypBGmTfK9
yYcqHFl+hnPHP4jaLG8R+BjdphtCcW1u8OwM4EX493idUWWBX0e+ddhK1dDeSpAmvj3SHfbhUZrw
Gyd/10yjfYbcaW+g5E4PW0yybk5L88iSEPggMg7cyjawckW0vLLGu+p2RwlXtdkqQt761c3rWeoY
HKKvhVsRGrLzd3HESIASmXPSljhHTa+zI7yoKXIeBUK0DKhA0SESJoriLMtc857w2n+NDuIDgtmj
25OXep7moneYsfZNYlqhbBEJRmuwHpFFNyJZQgeUE1LdGFrM9vsY+avigoo6XbtjpuMJ+TFLohM3
SQ28Jt2RXydxvm1DHmJ1k6it+rTYJYdgWZF03DoIilOBDrUK6sLrMjZ9GhdGfwS8APChlQKcXAcq
Y7cokJIUZBDErcuIzpu3+Y46/NHDMvOty+ZqqOZyuYtGtQFGNwXiEaDjBAd8kQaj+notGphKkaZn
JA9wYyo/Rm0GOu5mF8vOOgPB7OsB5ABrgzTvTBRveJ+HOJWJ8M8BN7vPG1I3AwMd8SMCfgTxkInx
IcI2rD6juXT0XcW4vFZdWTrdoIIp72ReFdNXbJFZOGc2Zy+by8gjQMfx+ygTfPK1OzyAM2KgjBzH
5Fsxxe6t9oV5dnKheAuI18HfrfiG3bTiiBvMRfOSQD6s+oZt7jaBaDH1DnTLLy7LkW8sZpXfrDlj
AAxl8Yr5C9tJp2v8sZQqaZsKJCGVywHGXh2hRYIpXJD1TKceUW6LsNmyAnFvJtvY27GU4MvUegDo
HInzuNxmucIN6IY7sVYhPcHjgVOKb/qdVD/azGLrjZBYmFotKgCC2ah2FAVrUI+ZEeZhTBNb93Ex
iuoElEG8d77S4Ib1incJP7/6nEuKOQkcBfjTHl0rXoX5jWuLmjpMSO6TBkDJjMBxjwOdgZ2CXPJ8
cCgA7VEKUQ6zBSLXZzGfhmP3+JmxABAH8IMj3pyJX52i65AS5Tuni/Cpwm5h771epeiX3dYvqpDa
4OWKYkdDMEEF4un2mC0kva/pMlcAfUjgrUxIcx9FNP0almm+85FQz6DtGMZJ1OkX5FrMCqegakI3
FYrJrnI5Ut/GBabaRdaaDIZO9YL9V2bLPUvSUJx06YoPEaHCX6BczRnEAAwdaRfBk08YCTCGlgOl
uGxgROKhckVAU9CkyCXsJC74wBNG38+Fl67DuYmqDvV5TzO519fPrXxymYMMnaUbudQLzz7u4CTG
1prlU6b49lHqbWspvvjppQITCdRptFjyi/w0Rg4TJGbloy5C5fEoDQI6CrrL53U00a1keKh7Oc3V
kzZ6u9PFjrSGrOYH6ALVTUTi+gMU46nCMhjLryI9ssHnsXqxMqS3M0ZLph2ztbtWaxj0UTQrJJ5K
qfpGZXQt+6OJUDjxqfHnFTMUlhekeKdeQtzqJZZ63u1ZYQaUL8n9GjYKus8lHykJ/mNDdNIKZWJE
Oot54PVCfgUYHPd5keu3GuX+OclJ8nUDQ/4xxo8UbeTxwQHa/4jUTP3oYdOfhdV46mrzBYixfhYm
DqSt9RYneA6O52aMZlQ0Sc7POA/kijZDZX1dAS/BTz+4PZW/MIgdfe3RqOyYeHO0nibbh6he8ldG
s5x3OVT9WyHWBGYWWElk/r8FA/VfDrOAHiS/4oCaue3hYiOH9BEd7cbFi8zVlhdPmtEdu7yq6ytd
JHfksmHz+8D4Dq8BluH2lAfAMOHsUqQt0j7bYq/pbWwoZ8ctUOyg3wjGCRTfijXf5hu21VznHcll
rKO+tkXuJDavGTwKIqIgHFiTTGXcA51LDpSNdRymTs6ljP2tCR4qZlumvjjl+erqz+W6amwqu5gX
v2AfK2hc9KjzQBr0USjHEUgKppBYAMUo48FFBWS08dAARM8LwJxUbD/iPQqY6AFLEqjdoIQLM4Xn
OI0zeB8xkisGjjW4wwYZ2XjE+zub1RotzJT5UsoPW+2IZT2s1Bp9H0I/k2cXxjaFIRjKYQRZMsQi
M2r/aubDJqHFbxFT6NyWoyRrD0GxM9wQBB1Zg+Eu4fpO8nKMm+VMR2+r/ReDkRhp0U6knvH/QLNX
pb+PtELDfM+CIkvZ+bipK3v6Z3vuz14yXEOwEviOjqs7D0MZOcY/e3OQymodg/P/wTdxNTTsTxok
K1YJS1lVNDeAt2zsI0QVJgaL7l8u4M9G8PUCYKkj5op54HAJ/zaKaSoCUkTjVH2ff14A/8lo8LlZ
sOKiDb7YT6f0/09z+JeZXvi+dZAk/zHN/zbT649f+/zfWQ4/f+r3YQ5JgsG5GbIz8TWQfP0uvf+M
9cK37/2vHF8Zfg11/BY+Q5bo97Fe16+BSeDhXue+IpcPX/y/Y70wAiLDL6zquAbPAKrhfzLQ4S8e
+G8uPwI9eN4wDRvhnvy62P5Axmhg9GI3xl9WlyGU7HAStlsGaLmbK2ffYcBQuGPervMQx7P+pLfc
vs258iCwmnX/5Q+f3vNPg/uPkxOSPz9bP5kDDCy4LvEYxnx5TVf94WowbkXMDTX2ku5rchnnYyWt
qTY09N5qMMTW5eZTZQVGXkle670DloSjAIhzleP0rNbvjdbxE34HRWG7LMkbUI46OYeyID8SENb+
X57F9Pq0/8Gp/42SQEYFaA1YsrhO/0JJ5BOkCSCA+oIMwTj2JZIQbzbHqXHSVdgKhIl9wvqpQg98
VCVKozDH2ZnjHE4gCW36O/VKJd0UiaKHFL2hG+IUg5MqWcyAizdGn2cDZRkNjuphijQfFN3vkZoo
/IB5F+XjJKnl53++D3+/Ddhi4go3osTaQODpz7ehChEaGLGoC6LCzYdtrJO0zecUS0Osxj87L5tX
QZLl4z+/7J83tiKGDAkIBBPS0L5f/3G9rD/cfYhdYy7UuF7W+kguYMLNBQY+KHtCP/zzK135iT/e
tesrNYhUXQkrpIquU0b/+EpiBVO4Q1u/wK7NvyAUJJcz0XVI21nQId6BK3dZHOqtgxHn+L8tmr8C
UniXiHgWGNGBmX3YHf7y8oDCJhwgcGyqfS4QLjfFlxnfY7ycEVRQAxqArQ0xbv3ZLbuDGTdv1Q8o
CMiYNCF/8CU0gC5zDOo+g8P+BtU4xTysOoQfIrKijyPYDl0BC07eFFl5mH8DZ/5+o4AfYdvAFAuE
4XAW/vnji0tTrEVBosfEEP5lQuE8tkk06zVvs4D87p2j0/wVWDq81mMHvotDferQhlS/aszO2rpA
xwolGLM/JkCf320haIVvm/jPTvx/2UtAdf31JiM3h0V0HWWKuFNRXbNlf1hOpaynGAR39shykH5N
3euGHudroqk5aUzjAnK6x+8sD4XBtA9aQbhazyqV4rzkAlnqZecvAlNpfFstbvzFMb7dBoXCShS7
eINPVvcETGpnNsYmhBMztEaEqfXiRKTQSKHmHsekYS06fkBEqaX8Bn7K8pKy8XmEP+bbxVT7RZP9
vcacqqwvbYoPcgop9obcHEcbu5o9LLSoP5EY6i0t6+ThQPnTYPwcRRWLNT/dRrVEc+RCffSJK6L+
YP6bUPAiDYBYdI5cVxgStZtbTDlJ3+8U83vOpIqSqT3oTL42iLBBwlz36LPh8NEF5NdbEN/iNtmb
5ftkRYnnPuPz69QQX7UWteOdJNJ0AZ8Dqvm0eYJf4AfUrPspSXxihwVwIAw7h7hPZ1NKBq4yCVW0
eaIERnEPcFnf4KhJXYfYQonavlo+eh7T+1Q24rWAInU2DYtSILH8+FKXmxxU7NlxsnM9niIU1V8g
rbtfgUCJogOwFJt2HVM7nrxmGx4O54YwWlOf5EZoj2GC/GbFHwXmmUuMYbNw0FumGIugizigXVvh
jzbXC+kyDOjiEGzmYbwCge9cluT9pCRoGYaVpE+Zdo06+6zyDyUEhIUAY9w15y3cGJhd3ymhaXp8
Ui7yV/GgkdjKt29p4ExnElqmMSK+6FmDKYI4tR9n4FOagEOZgCKwdNleY8w/uGUhy0xncA8IDJm4
gYBC4W32KyE4DzEP0e0DJgaMcScXnZAnivFuIAvmUDnaB780+qFUOsOKcmRLlOsMzsJTGVFGniwe
nXLs9lqg708yDDw4rcskmxZFNySXwcOdwMyyJmnQDxBQ2IDNCDIatMHsjpNbqgUzBQmqglOxjvzo
6qPAjrmmM1x9TmW0AFcIo3qGGga6eRun+tfI2GqK+3hLNeCb2tSXAg4guVuzSlcF61av9iPcqBi7
G8yqkVYA1JU99lMj1TqdwlLycBMrxUVXpBAAusoXYTlLxNOiDrc1/SUS/Eh6yMEz7/F3HD3BHolA
Q+h1/YVx3vDbTDZ6GWagzy+H0RnMdUhpyT11VGGEY0VTqs9EWrG+4jDO7tDZpPPJCFzBsOllPIY6
8QcaEhaEe+Q1+JkhwqMiQWYl5k5iatfSjyQbTV+BZRTtVCnUJytmMh0/0GQ2JfwTDW8JQV263ybx
lN+gkp/LDvDSnvXTNpH+MGRGV+ykaJDkcyzvMuDXB4QIdkT3mKGZnxJBQBBUtKnEkGD8yHZLp8SN
w9zkFIMB8OfapIF8geUzAkv1boLoC78i+izRrwdkRvAcpZfkwNSSqa1tHmXvw+JScylFE7Z+RV/7
WJgVR9II5BE/0EBEz06IVSbrJzghK73bETXzJ+WKY7pHslu/z1lafCk8gSBaJ1i8iJiAcxtUeUy4
eJBd4AEzRNo7tIbDhFjhp8U5VBZsZPYVbZv7KiTN4Iy4kQw1pj/Bo60Jfk+xbAiWrtImF3hPWf5O
6SJ5n2g4DK0rkV3tNOJ4fkCIiU03EhYerPQKmuXTFFXNhzXer4uTsV2dq0VhTqQPua67eHe4N9St
uLANzEVyjxOs+YDmGqubY5eUPb5cxm+3WjUkfWYSVM1LWq9Nfutz5syj9vpafNLgn4s5Kv2wOY6X
3rbjgDmQcn0ADKmub/566Q77E64LwtIlL1a8C7Mjg9LSeZuPrpktHh2xjPP0bkXqEqapQVUw4v9h
T031Sp/2JA/QOjJBY9xu5LrNI48odMMpNjtsQhDw2RDsDo4O/w1TG+8IGwhMkmudrFf+AbZJcwfW
eapbBBdnrAu4z1/cCg8AXgYLL5n2sbofUeay+02AwH2tcVqc1Ronl70Z90+Yo1Hu13DclN5t9diY
ewxKgWYVZLXD3ARifRYpPtardR++zctcPHujIOvuGHo0/+JKPqob2KX8VwSzrnvItC+0Rx9QZ8ME
Gk2dBIbR/BLFhJ+4EyPk4xzbXJCOvkygHu/hSbGiL1KZIjGyFDmOI5o2HyQG8ozDkq54TI6IZM1t
vm7J/oNjQw53+AJnPBsgXbBGWAGD5QTLxQ44ZNx+n0iTlh1pFm1x0mY2Rum9s8+yAUYYBZTpd0ej
ZfIdWFtQGDKXVBbUTIpf5XlyhaEchmzdCtwW10UQbBCAtlY/+lDBTLCYM1tX6ibnEDVuDneFHOFH
q+MslnnbHtfS5w+RhmA/0H3l9n5Egpd2daE4fY9KRH2Pwa+CdKwmZduZKgeZ2Nl6xykQ9tcFBv/0
MdmOrLYtYJw5vAkNlgK/DADQQJGfHu8iItxXOsaRRWpSlfPthCFl77yKyHGW8NCnYToMFumUapY9
+3k5igsvxdWoFzYuH/OEgkAMqG7U4MAVAMmt1+nqKFYce4dSy5D4zMveLgByzgfC77jU3I9VHwhM
iI4I2OK/QDpN3jMqsdZw0jUfsNa5el6bFcOyTCoa5MY4BeDgzScEg12dYFKsrd4KOPmud2Cbc6BW
C8YX7AQDjXC4Y0UPYspwN9E4BP8w/W/2zms5biRLw6+yL4AO2ASwd1soz2LRiKQo3SBISoRJmIQ3
T78fKGlaZkY9fd8R3YqQyKpCAenOf35jtRJn3VrF1jWslEwcUOnTb0rGUYsuZa2pYZ03tPdWnMa6
9jLLMD5e1Sjxtk3syRjaq64fpspm3k9YbSeYo8QuwQGcSv9BUv4CSTHJ5/wtlPJnbMafQMrXF31F
UnznD05aIJCLuRkGJMv7fTVIR2TyB3oTkBSPEDbLpV75BqRY+KNTBYBvLFlgzsLxh/6++KPjNvPN
6vNrOfE7P3SkLD+VFwum4xhg3KyrAlXJT0VyZtGvmsK4P1n4yvbx5SxrtOe40thVOhUnpqw9KUy0
+xDvgk7zqhW9vuHO8WpxaOY2fJflQKOYYlvmZW2k4sqsG3EakfBhHJxpCnE2zaiVadXaFq5T92g3
eX6uPfjSayix3RYr3+Rsjh7tTKeGvIh9AXR1/BjoLDvWuUUqDYdWr7Z67+Uw8PTiGsuF7tYvBObD
yRTJB1xlh6Ot1V7HBiCKR7bE8KHTY42i0yt9zDa9/LY22weBn9ih4fCzo7SOrgVWQreoiurbMbLC
reVz+XPYjhttsNqjVP7MmQP6bS8M6oLYdtmlZJXdoa4an1w3r/ZJU2KATpt2vK4q+jhgLPH7Kpfd
hPQAC2s8ZsytH0NxcHEMv3VGkW56fbE/1vRiPNXRYJ68qrnPs6TlCIv5aY0VgGUGuqXmO1pB7EHG
+CzHsW5WS4tszwKYnKqkSOVCi24+0hUYYmjZU3iPOW5+hiQSb2lWzkf6EBxL4smK1lh2u0GKBYC3
wlQhuTb9Jt1rWXQ1yBS/8HSU6znm9NpQhe71oRxOY1x0J3z0knNs5MIDzhmmd1NbdVs5+jJohTSv
8CFs9hMY1yV83uFks7XsocdbTykmXEew/hailZmNQS41uSlMBbujjk3vkCu7u5yNSt9WhquxCWTF
DduH9Q4jkfYDmEr2OpmNfmf2HaoHORZXeeNoiF7dbeTo7SP3Sk0BxAT/GuJI/mjVSb81PIUssTWR
oRcS7h0yio1m1eOnamiaK6NV5QlnkzHwLWSAq5SBE8Gp8f0Xy0qBuqvaoN1ItVtkwZjFcmOLIr4p
ml6HksI5cgNpgyOQjmu518TzyvNhI5u9d1F0fbKzLUedbZpi0J50eljm3AVxE3GeMbAD2vSan57U
jBFUFilvr/ci+5wWUXqtK79gTEXzlXRSRd0EHPHilZaXr8KoQYdSDSKjeeo63UWRCJf1K44hdaP/
5riTrlMtcx4TI9ffQ46ikPOlvonxeLlMXOWMK0DR/qamw/ChyiBSrLRMjRfKSaI735bOlYc9du2p
aNf3bnGd6E17S3lvbuCdtrDe+lnmjMnCXTkl6jE48KOzphhDPNQMhTasEtjUBytNw4PpG/XBoUOJ
koAT3kwbCe71StRh/sAyoq6nIpv3BYRKpLa5swEo1C/xdyiGXdcrFbiIwDc1xO0rJKrRVR3b5lpU
wvqYJZkvV8zt8X3DPgaRzuumd0JIK6KNnGmbGXIBeESYH7uZ3hB2Te4Qws2pnH4L8UG/SkMMrgI8
PGR+1ii7H1wDtziIfmWoAruqQlaSRM1rPKU/ZYYOP6MT+XhpcS6YeDROItcpziAPEeRUeviG44dB
pkUjzBKDGn1Oi8rcjmM15yvlqfHGzHTjfd2EBZbq0KwUdrAClvZ4ifzEGxMeXJR3o7mlPItQREfD
JLxoM+ocMN+FnN8ncR+5uWpvWwsIeV+iakqK46zMRpuD1kvzUa2hpsjhXZ2OkfdiRxL/sSB2M31w
7vM+HSp34ylHk1ut69r00+QqZcgdEHxdP/1zDngLW/mLc4CBRex3ON4vHZX/w8ewLLiZf54Cvrzk
WztF9//QaZrgjOMup4EltOPbIYBOCy60HA0W4akPTvCvU4DlcgrgVV8aJnRiuIavpwAL32ykY3Br
gGExOPP+1qHAXJDP74Fl3wNnJCgRfJfOzy/S17yiiT5KMeACo5CHgWwNbZ4VK88RpU5N1XvYKqaV
287dTmJzwvqDyIlmqKQwbO7M3G7nGrGFhZ1OVqM1GtLA7Zl23rtEQBIReHamRWJQKw4jrE8ba9Ac
ppU/7VNtGDS4O4io8/4A9SpveggakCJadVlkU1pgK5MQ9+Cz3p8clI/HUst7/ZAmYrqc7DC8S61K
oeoSj1pT9ruh7N3FnQoHKZbYU5rT683TEdd4x5HmXSwSzOaTGAcF0IGllMZ8zt/gXcKBPatnQk1E
JsbbGebck65M2FIkz/SX2M1SmwC04Nhfs0/NKIoiPdsVY5/txh7XwjXQdXKgVqzcs++3PdvrpGN5
pmkA40JN7a6tZd+xKGORFee23KuwHrbpXLszfKOCN4aLE7J99mF/ZTph8aEdJuN2wNe635VtiqtT
03CUYDOEidtE07xqZF6vU6fqHzHjmB7CuXRFUEeVGg9jiUoeppfDF4Wl15mPOP5W+EkZGXCxqOGN
y34jIlUZq8aoTwOmWIvqCxEfg5SmCcc+5yDCxn3wUwoV8w0/TN6wxPgNV+wXiBGHQNDGCtzRfEMg
rQWMZAEEl+zT1sWSYUErnTfkEkNiUEwgYTzOwDL3eBPEa4jQ4J3mAn0OCwiKgBU8dDIXbBTiKjip
sUCmbpjoTzOq8y3HxmTeLuEjGyC+6SlfepHAbTngazmqd0ZRxxe4dWWP5QLShnpvDIHSohaLOQrK
tVm7V7iDAOwuEC/tFCyR6Nuzl3P0AgWOoqzaTn00UonW/tW4wMXVAhx3C4Qcv6HJ5QIsY1yHTsmJ
O8JCAOQOyOPNQ7uA0Zjkhx+ZDSDUmGD5z2Heg1uDwvdyF7WVeRdmSXcY6tzdwhUG7faLsHkHveiF
NV1b9wsojtkw+DgzIDmULkB2ML0h6NECpucis49yAdg9+mC7volFuHKa2TDWzgLGN2+4fANCj5Cu
PleePj9nbR6uAdamhy5R+T58Q/c1TQfpVwvo3y/w/1SOxblycM1atW/9AbNPwsBZmgZGHJb3Iqra
1aD5xQGlR/S+rRbVFxSl7FYuzYdmRoMEbX7Xlih9aze0ibewpX7jxBXA+1sPoyxsE3tXJzTCizeC
Zue06ooC2wc117PPVNbTofLxfR4X5XY/Tv6qCNuXFNQRAHIYAgd6/n4x5oK/bT6Nw/QeaxgnKGTk
j2u/50wt1zB9eI6AilWsOnE9gBuAY61whumm+h+ewZd97C93RYcW4L+6W/9mV5RPRfPU/LgtLq/5
ui16/h8CA2ucgXAyetv8/rUt+oTDG1gtCzp1b/wD6tRv4WGCgFJaeDTwdBPEf6mbv22L1M2GAVsB
dy3CxZagh79RLOMC/+O+iBEq/2Fe4BoGliO/eCrjyWgyrDv74GQekkAHG4O6aPvdjAnqERgLcEwr
MSAvh2H6hNbWPTnShrbuGcZwW5YdxhyN0p5oPEAYByE4wwyw7gSNt4gdQZD00NjuOc765nZK++SO
sgdRKwXGIY+E8bFUIYZPqZseIR1sMP2unsnNSfcjvTNadykdbRxH1fyCd50WJGGEEDgcpfkOnwN5
hB1XXISule06i2IS4uJl6ZhJQGcGQlWax0ejb4B2k5wWSa4Ja21qkXvErwoVaJiNV6XyMhA/zz9N
TdSnHKFH82bUOh+hsdQvjSlBXYYlT7/qS6vami47i1Ga0eMC4p/B9a6NEcJyaBp3MGnLtSGgeRYV
QoWVXinrlabr0uebiMEy+sIM6rxuEesb9spIQeDxPodMWrNS7pxMV58G9uitVeN4WCUg/EVXyvvK
TkF2x8xOdyof071Po3M92AMyGHcyANjN7n3pJSF8w3i4actkfvGnYXqE423dRCiM9yi26rOw0vHG
EdwcHXrrFgFOdwGvvXrOrW5cIzVwt6rPelAEydeIxhFeQZHt++KtzW13nzTfWiW1MwWWry4IZaBp
qY2bDsNOHODKYt044WUuwVU0TztADZVrmHlEWvV1tauq3nmNYOjCom4T1Gv2sMPmjiILQ/trXMVn
djctlccYepi2sea0u1D2lD5EU+J/cCuBbTA+dohkiHZS/VDd+aGdXM660C8H2o/9qkP19B4X1eaU
dnr2zi5ttYO0aPqrAVfNvTNmbrqSmWXdzJObXEaRPW8n1wVL1ZTn3lIuGWxkbeXRULT6RR6uX/s1
Y6WMWhEG6WxnLx3GG+eQ4JM9emjrQrQq2+VKIAfw3OSxwhHxXETKuYFaOe9Hmg9nkA3rwhycxWWp
jK7wU2vu0tnyA2wKskOudQdVhIt0qXA8mDXK/FD4hrisIhsw2MjUPk0z6N05Up7tYMfOVaaGCzMe
bIZjVe81vYU4G7VPcQfvEJGfNDamCt0npKSfnWrMD9GkEDhOuXMoq9DeurQV15NbmA+WLV+mwVJR
oEW2+cH1iruyt+aHplETpPBCvyljIQrYmbiB4fWKmMmn/3KOe8MxggHTrSeA7PTajUCPVrZl+S/w
/eJd0fOiaE6ye3r8edBbGkeYXuYXacRDHCyL42OHCM3DUu6dazUtMghczletNO7asjiwg4ljCRe1
wHkmmIWbAyZkqbyh4s1unTDbi2lojyKciwM0UCiLqpPQTH0LBpSfHFw6N1tEMdXabcg0C4sxvVWN
bn+eEZkElkzjYI7RscP9l48YSYz3bqG0G2XmZcADdbEmiyWKYYju11TodFRFdVHVsKsD3986bZrv
wgbJKQTTDAnlTR+G/aNGngzmqZZxk+r4+BXYNDdBNuj9udD7+gXkgSux9TX6NHeHLgf0JDM6jcOX
5T3CRqJ2V/qcJTBCpxJrrym6mptS7rSxpQk4TQ4MiH4UC90S762I3IyumBtKiLLrvLXv9/fRPJH9
mEkf3jZnY5a5hrIceap+welXXU5FiBOioT2mpqy9VRRxGgKGcFesAOS61YUAAEjeI6bTD5kOoZpz
ZbUyU1k+Z9jKXYRl7N84yBIOTeOM+QrpcHuTtJrE46IIHOqfJ5G64y6l1LvWoQa0gUJydu69Ug88
YKZshR+g2CDC9h98do3zjPfCewIAk1M+9x99TJP37IhzAODSn5vIThhKQ3pqUoHD3aT5p7yz6+s2
DavLVB8qmOFJhvovVxta6NHW8JEVzRChNk5TWe8l/b69gEO3qUOv3MZjan4myKa7HAjheLKtatlc
kH0/xsCU9xjz9tmKMDh/a6V+tEPqhHRliugbGWF8bRikdqEYgzMWVeM7YI1mVcTOvJ6mVm2a0fQu
vIUOux6zMr6y3HRgoHEg9zXbQXSvd/NuiqxuV6CtO0h/VvdZh8+FodINvsHztaTpv1E9iTfYdOsz
8gsNvo4D1Caqsj8bfWQefSOSH+FPy/Vggl32BtttwhS/IHhC7aE14Xssq9r/IIVI1nkx6I9ZSJwl
K1N8CFtzPZnCuZ67VHtRtqsfFcbzW5SZwIhJkR0cW8OiD8+2m2wavPto8MKtoVf6u7hPgI96FyHl
hIJ3a1EwnOupei7QS7zoc8fy39XtDI9/tCO4F4OxpumFj0GjXTiFbqKWKRAV4ry2ZD3R/S46jBJy
meg3S/XA3p+m0V3ncBBZpR2i5KCw/PamiqpsX8ZM6dWoXClXc1Mj8IGtV71i2CoPfRZDfRsH7ZQg
EEZgnV/30B72rdN9QOUFgl0uYgsaVt2zbMUHtNJPeti9utn8geCF28KAt48BqOLzqvxQo9/Y1FVy
Z1aROkJ6cu96Jc0HmQ7FC+yA8X0d8sK+oKv9JJKJOveo6Anr3VFVTdW3OypqBPeYtEK8ECvYCTqY
oFm2NvKtJD6NpuOieBg777pqq0k8NiJ87XCn8qjZBh4c3h8mmZ/0P4Ow1Hd4mKp5l8P4vkxUpZUf
FAsoZy+/x40ylNtKYi9/9DR6Ys2QmgiqLXlhQF46dnXifqDRUH3U3RBANhzj7MKNHaO+Q8MTh7ts
ppVYBCh8UXDh3O+knzzIjtq9U4WjQ8gnNuX4hqBlP1RuYq0L2im72i+LbS+a94QXDqt6jLI1Xvko
WyL7PYTqYS8ShS9y3nZnfnPc+rjiBai2j0ltnzrfhM6ia9AuJQ4CD+j4tD1nkftijrNNLEz3yA6C
EaqWRJiAZEYQFcZ0ppatzjVP8zi3VGtxMjwt9pfH2hfaqrG1bmcU44QcajluEQPRYVVs1RdJcpDh
Fhc1fKDLsN1jBGMHsvKSXYNuN5hC+yafIW2mlRYdZhtTb7w8QpoLZnJsdewujIzgNNdQJ2IzUaVH
bvWxs0QWoESadknVJ6h1AE7hS1FcJ1m5GUJbAU3Hko2Mpirev52374BW6BeZ+Y64LP3V7hAXBEoq
xOAgPZbxSXiF8N43ele4zUtnL5TD+7BCH9kGdN8TDG3/gTb/G2gTgTvNxf9cxEHGK+unT+X3RdyX
1/wL24T1jXaDxGYQP1BJ6rtv2OYCe1I1YVIG7585DNfxW4fToFIzaXtCZDXsH7FNggQJoPNpfuLo
6Rq6/3eKuLc0ju+xTXKuPBcyJSlERA36P+c/6KwSOmbh2gUwRZX6bIa+N3WPde/bRX1M9dxlcZUU
k3G641hEfuzJguSBlVXOrua2NEMmW0XHRdMnrctCMy0djwBabpGeIssjOLPZdTJtx3AnvcRJkpMT
DT3L68y/ht0eq1o+6153OJrPoHcd7YD4ZPQ5qixMSzxXW8WcXQIcDlioj1irwX+R1pAlE3KtsNc/
mEW9hOqIFp+Fd0SEEFS18exocG9YmrrYv0qSFvDMh2mwyj2MxwJIUHj/ZF09a9MKYnS4OOmXEOf+
mTX/FfRBpAjs6P88ayiE2jp5af+nfP0fZlCXPyc/dAe+vP7rDHIZ8Iv3NepE0DpY6QAaX2eQ6/4B
NQcJgA7/722i/GsGWURk+jaD1bcQWtiu+JMjwI9oDVhY8XkgjbTvxd+ZQcZPKAgwC3IPm1hwdBaI
0pdv/j0jmVgtaVCw6XvsR4FnX4mzvhqn8JAutM6h2OeJfmxY7f2wezQk5pOI/b+7ef+GFe3/RIp+
uwTUQ8Se851pLi4//44UXTqCsAwv0vdlPenn0H6cIGk3PV3mnKxfUuF0WtXI2KNiZWfYdKiIyYy/
xGYwP9A8o6xZU8kQ/w3FMCm9bUuTUbnQwxbg1Hb6FefNNWQsbGLUi80ZPinJ0S1oEMuPaWNSUiA+
tm0irqf7Bpt8suhWjbaZHEzWynbRrUpxqvS+mFazTgISrjONZa11CeppFQ+TRyecMUGqjIelDucv
07qIOhi8GPre2G2zrCMe/VXt0nFSb2W1VrNp5Ild/CajM78ZcTswNY5+wv9gWNqmidwnihxtk6cI
dQUe+gKHlgofwzjedGW27sc8gPl3S1bPXYq6dwNZdtO36iOnDX2HqcY1DEnEpMXzTDx7m8qgEkO2
EzOXMbSEMltou3PElzscT6ie9eGlwLQvEl1zKmBPrkBkAiUaPmzeYjp2FS22D/9syf/Vlgx0+d38
+AVXJT6t+PzSJi9d+8Ou/Payb2uK8QfLho45ocmUZVH5s+PoWn+47MUQjFzPNnC3oBv4bVdmK3cA
fmjEfMNPv0Grtv4HSw15kZCB3zqVf0vA9YVn9N22bCOYgdihkxhGmqKOqOXHGQ0XGvS3TGh4E5y2
NonV3MRz4QdO2z5OQj57OoijItttg3bHD8iBblbjOElokVIFeuvdeb0njxrZGpdjl516b3En0gRI
UW0xOjXqoRTFwbTI/jGTmGk65vqaAsZiu638rfI1sFDR+QGKohvFPrumxYdti+3JjVFhyRAZfCbn
2D5gnvCZlHzrVDaPfeZTkyUlTMPSxI0ifRbQG9YZgVY4hlCi0IGsD6qvHw0vVsHs9BZuWtBT8G5/
QCF9S3zUc1/z8cJRj1mZvHKqxQsE79TAFeaNEdPuNAu+DwFK2IHV1aMwUlJZasjeg8bXK2AJA5MV
SGs191DX3gHn4hbiObemhwgftTkZSKl8NaU2roTgVpZe3az1ijfNem6BTZ49X4HboMPPSZpmDX+c
bovONfTKBn7BBIiMQLPcp3attiWRDAtDg59K+2bwunazvDK1UYglPuYis7lgWxO3QGEtuXFaY76J
yuzGnzKEFQ0fCQ/duXDsissfLJbUiguylJBrfY7ucXcGBnIXxKYsXqeignxr1fhIhRNVvZxoavlZ
9BJmmsF98O/Ys9oN3B0VNDr+BYtAeQs72iP9geW+Tv3mDhMoiU8ZACUOGfMW54t5P3jcPQs6KdxM
9+AZ2t3bIEmqCejPrpq1chkH0MBv8t5Dq6z7eEYaPTx3/sB55qZPuKgolfYB8I7DZIpjRInh29H1
W5Me2jKKWn6Xzv05aQwaUSXbh9vHaSBCgRgCCu6KJrcKcsc5M55foVcBCNDsX2VD8oxFNc9+fiNu
QeghtrBYD62HD0Zf8pqcu9QY4JQEK82X2Fz6Qd3Uj2/PO48wP+hBqgIs3udtFDNkUPry6Cs2qE54
2VE3olcmOaOaoyZsakan5zJUymUu0Nqb7jPSQVfCw4DF4EKYeeAbSibnjttFb/huQn+wGSrmCcl9
4XEg4OMyBiUMfLd5dDEhC4TLE/Y6BpPHbHy7GYViUgwav6pk/kz+gLkJoVofM5MwCTtk0GayCY8T
+O4txghwCCEQoJmf+sBqlSLBwDQ3tSz1dV7b3FK95xqiuLnwGm3c0fUwTlYVkhTYQiWU2BsSJWfh
65cWlL8lo4xweph9hbz0TCYqjg+4NPYU18AE2UZnnuhZn9z0sXN+m15WOs973ehM3Afo63d00vER
A6DXcx63HfvyGMV6sRuBFTZYPTENJaK7t2er5Xx9LSxOgtATlhCGQIEpEdoe7s3bKMfBf96WqvZ3
IHlygx7B39Jwz9YDdK3gbQAsI5wpfpPYMz6ME8uYj9/Gxp79ef/2mNsON8y2ZhjR7mk3fWqETypx
tL0T81Vnjc/CB0XbE6/D6oWxCFgKj8CQr0DSFmg1s0fXmM054VSBWRjhUa+74oTWZTw7o7PzhvRZ
i6hAoFcVp1CacgNmkaDG0bV95DBPS5rxpwkxx9YVDLKCVNmThv9PMBcsX/ib0BtkcUCsAZfZ3vlx
hhWtNvJmxtAHdmOJwIUDiOOa06wqs6kPg2iwQixw/RiTXN/rpWORZxCxKEYGi9vAo9Nc6e/CzryJ
Ld/bzUYx7aCOwx+1+z6AcUnIWs8lDJ3BLHJVuacc4g8Xn4i3tcn0R3PzNmmRCvXA+9od7x1fOzVD
onbsG3NKp50INW/lAJmz7QwMpmpU9KZxNpQllhAolgrUjPZ47lz5So3IrYHyBhmfWyx8R65lzlt2
Bs/VLiBG2GPbrDXPYQlcME+XiNRrE4RtjXVRtvPC6rVy+ee8SzdpCKMAj9gRemuWbI26fvF0XLVg
ZuKNXbkPeQnpXmrxtTZ0ZxdSyMoavOg4JWOEYi9rMmNNhxuLXjmU5A+PmujWZB1+xP+IlBrBiUBs
fM9oyE6Z6/TZTMtxzdnXdwLsl+6cCHO3xhtUeokOqjsmJNZxGtVRPMFPNOxuszgvrOIyaa9JaBZw
YcGD6I7VOFKlwSQxB6ZfXzcbEGxlYDZfaUcVdk9YMJWfGr9/sROd03FkjfLVqyxthmqk4c8RsPwP
e6xVyi1aidFXGC0Sya1SLCHz1O61dcRWtEZyHl76Qzlr28wqhuaMutdz4SJAMt6309xqj1Nk90Hc
RX12CmPfald1nRkiqCacYM5OL8yJ7KMi1G4LEl6OsSvuvjuK/ZtS5edKhXONLcBwodrD66YI+/Fc
k/lwQYnF6fZuMgEMzvFrItlcrMK76+rSYlgx6+yEkf77z6XaUz+dp2yBXyNSFk938Yb/8XNR2JqT
36pubwxvix1z0Erkp2LQJCCxfP39p1GR/vppiGlpzxMo6Xs/fdo8EDMHj6rbZxMDZDkJ+JLeJIl8
+pfv9Y/04K/IFTD/vnsmvxQB/5c9kaL6/fkfOQGv+IbKmf4fvstBHqsQ3D7EYsXwBVPAoekPQjSB
1UzHRP//3fHfhVVI/qtuIzAnsMFYAq6/MiscfuTooGcW6R/opSz770AKFpjgd+NnuRx02I5tIJHi
qpktP45W7E2mPCcX4HOszyp9zfI5tGgBDqaGM03bpub0kLLyt9tmsjIshBoiOF7GMFME1ZUAWeZW
aTaaHIBr4mrIBQ91XLa8TMbjfa3nZIEHta0Ey0sSQjDT6LUiAOY4kXUYteFf2SGzQ22v4N9HutKG
+7jt4PdlaReRTm3jDofH3dzRsdtZTYT34mrE5BHflGyAfRFuix5L7iSYGkoG7Uvd+zL+b/S5vP4y
aX/wk1hmz59z2RbMKGtxt+B/ZxGD/3R3ykYgNG5m5zOZar0Pphe5+EmtajrJ8tKPHH8J5qY1lb9W
ok6mO5JflwByE4Nhvk+BpHK8/25s/ZtLeivHfrgkhCiG4yJXJ1MS6vBPl+Sm5khsah19ordG3JWy
sdQ5zgQIwq6MOUhggQyQGhvwCGIM8DA8Y9FBq6wrwmzxFl6CgV0INOkx03sa5ps5jOZlaxp5FJu2
neP5gUTUhTUhZlmJ8zxLg18Dg23YM3V2I9f/Al7+x/ts/3ibwdSWMQhIhiDGF8yFHwdhGEukpTIr
PusD/kLv8PjUyts8C8v5+vd370d6LR1DJg1SG6pnKLDeL6vllIHMIBkJPy3Sf7BblYXSJmpOZ4Yj
70vtq6HhsAPEJJyMIGBFtk5/S2IJ+cK/v5If1+23K4HlZC3RB4vFwM/hRYYVTUiyU/GpbxD0nB01
pTgD1Kj4XesYoXl1xN+9yUCGHkvJAuS73IVlrH+H3HFu0bDPda2XjIKP8NFqUkvKcu/NS57l77/d
Mgi/G6TcZxYuNiTOyKaHwumnB2rSrKWD5JifRiNqEvszems3psOrOsZdVFbLLc4m0ZHZ/fsP/mUk
OYwhKNxCNz2HRfcneJIA0IZwB9m8YN3UefMqdRfJX2hqCXf39x9l/PoIAQpNrHeAY1m8f97oU2i6
ckAz/KnhNJm7e+wNivsMR+mKRD6CUSN1NfpzqOenMoG6QFJkH8v5IW2QBVgrOvrhGOLiHub+TZri
r2MHMeSr7CT7qIYP1Q02OfL731/0Lw/GWVjqmP/wdMCkfl7QDB/Z9mjqxUtBb5irIDtUpq891jbk
0Ja5KC1MJrGV+atcc+PXB+PzVJYjEbZFpvHzshVqhj6q2tGegV8ME8EyJosdxbSniJcKDIsKNNsz
TaT7RPoBTu/rqq7xcoAPN5r9XUJ8JeJlcrLn9pmuK+0jCxnadOHkk/3XRzjv52fLBQKGLdPEB4RD
fPLjZKFvpOqcY+Jz7CVk+xBiMLXzdYOhOoNqnvRo6nd+o0i9JuU2YTY1Bd5pGv7C08Ri6Us7ml4Y
gHn6KhpQ/WX7s5dMzN7AtuT1ywJMyAmrC13YiD575GN9hzGzKxmpfQYSDTxTt4JtuLCMnicSozti
idaaOOYDTSwavBs8MNrxwzwtR4hVNc4h98JM4eFXK31OltBK064c5ncVD8l4rYSd5p8FVVligG2H
zXzN9PedxyJBuvVQEz3PNS5lSIGfKoXrI15/Ki02nRiz+WFuLbe/gyon+tsm5V8IOsWZmFsSx6Lk
mZnxiEkxwDr+LRPeN2rJ6yGHsOTLwNVJMRyd4kKQArKwAfhNYSRLVAsCqyYXO6cf4/amHdxFKkCx
t2SxN7WdEv+eRj4f/S2s0SKGu1xr8MbE2cL4uvpA3xyH1tDuq+QyswsP6zyjGYuLGB+67tjhEM5Y
GnEj59YlfWJMFx5kbTZLPWyXPZN8N5PZpryqBdEr7UIRQfn1Czgpqj4sLF16R+lap4nJDXX0guHX
jNGyiH3NAkU1LYgcQgKGWUfQLDnG396jgh1Rb6yEvBD02SYBn+PKimeHe9BZyRK7PqqYxXGySr5T
9OWu2lIO3DnHUx2/MAxtLI9FVnfIFozYX9JHLc3l1DapENxipSa34uux0C/DpfRbdi0LJxYGTRqK
NL8tWqd0MfG0aDGJFU7tJnOqL3yfURMRbcozs0adN8Q4zgjdLa4M0rOOmj0m00uFBp17WFJf8vkO
C6MRvvMyor/S9QxemA2HUBT9kuo5F8vZLTVGi59NgtMiXyL1lSDalzDegvxnwiG4YhdWO1dXz1bP
lynNcBm/tVXZ/C3yrMrqjz5eqbxLOZV4p6y7FKkuDaKoddm78E9uuaSJb88/Dl26XIvtY9AoQL9c
puDkVfTK1hYJp/aetq7F5aV54i3nNoBm8LRmMcp7TDqbvyBRnBYrxtT2l3tckQKQvnbjgL3Kavbc
ZcxlHAHhvLcjYeZ4QYtliC5H6/5OeQV/VoaXMYFdqBfizNFx5pRhDwnzHC+AeVk8FsOGpxRMdZnS
xKzzpjU2bjwJp+HciG2qMqz+DmYv/eMNogjVTPseY4U0v1yceHlDAFs8UoKZs9gyqq0EC6U1zmez
4exHL8NOdJ3qd35MXjc8HFqWy8oUZzHQrNC1LfQcwPdtC+gG3Y+xjYdCBK9rvnamaWT4ew00Z3uD
Kgc8hYMCzutn4Tg9xJFYbzO4eILUkuSK8PYkBMdOu+UJF0k/6QZejW7Ta4ek0Ze++VhXbdkg7KRH
NmCh37hcY6ihmXmpbC8pHcApIqBJgoF3EpXv/BwGKEEXTemPXiCQGgzZhoWY5WbTWlGKy2mkutL3
Vx3ndii1oSnaeB8iJUVnsPIky6x4mRFvkJzJYjvxnQmAkDPkuDoe4zg6yTLuDPfcjn6zDJ6E8C1G
IgqfSm1hui3jUu8I4cDVAeMUGV2UcznzswpVLCm1s0O48UNTAa5561zyPOCf6prRVWeMKU2WXISJ
HU+pwNqIvaAkcZj38it9WQW7hRvFqpOQdNxv9VYN/CYlDDRsYMRwWZek3ufjjd+my4kQN8iI5Un9
P3vnsR43kqbrezl7zAMTcIuzyUQ6GtFTEjd4KFGE9wF79fMGqeoRkxpyetazaHWxxIIJhPnNZ8Tk
MH4yRg78y8AoshYMU3ZMqIE2y1wpxF6DQa6HJIcASwQBJDqNwYhza2FAJQO0FbErPQ9z7XLKI/lZ
s/IAuKpDVsq+YTpODp0IFI0gvLA/zF6siYtJn7GUh+5d2GJfowPCK3lVW7UYCJoqxMIaMZt/Fl5D
NvI7D2HXV4ODSyJAyl3Wsqv6G8rgo6Udekq6mIFAtYuCJhzLcCMwKWpuwmbi5en25uz2wzy6PDEY
RY1RqgqqQ1BuKXkyebykVyP4e1oXyaj+bhbIVtJdRs+VJ3cqTW33HXqty72hMSsBsbut344rItFI
Z31SUmXlCi+kx7YaY8Otv5gJ227Q+SiUait3MWZsfMsxb2/0YspvfdP0U+YQ6LvmBCrdkCFLNvT1
zxolHu20jQpNnIc8qUXXsE6ah4Q9F3aUW1b5k0gxcb4uKqdoH0fkb8YLFHLBJFJoltVpjUZcTRcg
LX27XjfCgke8HUfbg+TQxCGYSafQC0rrOccqlhpyMNYN36hlk5+Qy6AOWA4tIhvRlA0qpF/aEV9f
4c45yPK61Wb5HZHIXkCUkrOIIBCKbIJ1l5tzWK1qn/cPmachGDMZAzfO1+6Sj8sS+HhD6+02NJex
Op1YHDCLafONum7U28F3I/wdCNCW2yg1cZpJXEe6J92MEu7KEuBV1zPKatW8ciLZ+QFSSa5yZXFN
7LeQgd/TMsV2vdJHoLt+qes7YzRic4sVsFHKFZpeS7KOQ8vWLuusKsRd3zVtWu302p3rZuMjijvd
Kj02ea51stSuhSa65V6WzOqV3TpOe7e4Q1RWq1w6CHvsQMZFy7TSB7d2Ah+pRYTMEok20ILbVFHh
ql1ZZrx2MTtovB9GgcvJE3DHapjATSOw/MtPbQvht56CtouyQmdLfSfDsrHpTYCkzJ1dWOAf8QU7
Ny3LdoMDeThHvsErqe4b68rLeoqnhk2FFL18wAVa9KU1eZn08nf0rc956EA1jIqq6lYjfVmOJUDK
RW3fjbNd1yKow7FF9b7S9YgYBVchm2gsBG1cbzFBVrFmqbUpEVRrQYfkWPHZSFjcjafCx5YDnOUQ
Yz7C1lBA8GErSbQZFtg2RcMpAgNtdfXonS5NpBGSwhgbOHpsOnucMrK0IxOksOtyzW1vVyr6Q8tO
ZQ5uaiw87SwGOim7vikS55tddiWPgkWNahiAx6bWUKNcxDZpdx2RvYfyUW3uhGkTBY86sRtqXKjY
sJelHgqV42mojQq5jlK3DYndKJ3F2oNNyQmJSpOMXzsUfaHzosQlCGspz7ZWbYhFbnJGj5jNEpqM
1GQZIATQ1cnpNePEk7aohHHv3l3carkZ6Anwd0h1T1xMT6uQtdTZFRyeXeenap/MBD2DfG1CJeSJ
SkCURvvot1hmJjsfI5Hl3pR96/wYMZuutshkuOUZGpwDxyLtMxVLlbWrQpbYh9brw84rHWk891o3
Z36A/RXK3rQVS+oGK7cOJ8bW11ub4WcPV26W1Uu5x+kKdUr9PsEEVJ/hlqacqlg4PlykcmVYocZA
1pFI/Wo3J5jaPOe9xsCyzaTqCfpOw7di/89ILA1LaNXX6OFQHypjrlgV0sFmKqO3ozw0NLycE5oT
xAHXdjGF9rcc2YXs5PUzcmAaBjIfei9vPQC6vLGVlgbfCIV6FwX0MsqGMb5cxlQP/e9DhmZbtkdv
PyrGgyAcHW4XF5nnmD5VrYpPbQv7Kj7UeqmCCl2mCSH4aM4qkfechslSUK8zpjWtkdaVAfqiRCkR
/pocl7Ro6Wbt9TrqBu9ykbQskjMnxOqs3c+LUOvAslqdVx3owg23eSfUEoHxrwpeZdrwC+GAsvZj
auSkxkljqAlmhT1EtF1juvhoBdHr6YrlW8ShCXCcQHVtWXTAbtGgU/GmpH+LSyrgcSJrnRFIn8PF
LfmBf69+m6gEPfIx91yOSyPmudB8BrvOs2RY/qlg3qrV074uj0zafJe8Hys+Kp0eSxZYq1pD9IAW
e5Sg1omVFbzjomEu5OtkJiZIt6IVau7mpemX58VoRIMMorzzEJzjAnAdgnzEuJOWojbQVoXZ0fIK
ej0kqlhhqNDaHypSvsj1k/ZxaPvEKiA897Vkc5lHYZ2J0ZBZiRWbyTwrdFMlgXBXyNhg8qoP0gmf
8JLEk++MGcsyn1qjSf7koLY/DbvJRNjtcYiNiUEJXyOfDrwHsUYHXoK3TejOExj8zog9ACoEBlMU
6WRfqFtY/BSRsyDspOGr+NMa+ma5hNiko3Qa1zHpCF5TmL3vPQfZ8FvgVVaPNv5oMP4afWQVsztY
JFASmQyV5NOwV4F8VFfMj7ALI74aWiyqMjHRKfPXSTvAKNni81ct94y62nGRViHnBY9e0xNT+QPT
CWhJzIUA5qutsmZPdva1a6PnvsFuhKm/NzCGJFXJPOKo16VXDrkKrXKt8PF5nZsq75pADkOnJgbO
oDwmKmWzmpKICo/lhS6mqUSXLFpUxm37mmQgR2y7WOKLNUb1OcodguB1HtNoh2zF1F85k7t0B6/H
unPvdSY5BQebJogPoCgObJ0OGmNcxheyZa9Km1JFomZpsouvx9esccpgF8SHJh2Q5zsn4O8djHVG
ducNXgQqC3xNLPJwUQ9dLZCE0Y1sUDKuV9JbyHgFrCUmOkmSzuwf4xKgPPJ+vXp0FAA5CTdT3Id0
3elZi+zcrSmO8IvLzIyaTQTumpXkM6JdMGVdkrzYQHULnYHYKrNHq5pUhj6/7hz+hLApCmJGpmbl
x7W1v9SMPHSHadlDiQVofVQzgtuCMKGfjz+mUKo8c4i1PLYD7AKb3Ice2vK+n9zyuKpGmQoKl43F
s0CzgsDpbZlqxiTX06Ujf9gOreLn/HVq5J6mKrsfv937WynVYRP6HA0jWlNHlVUzjsCOUJ34kYhQ
7U8VyLWBoJDNmr3r43u9VAP/rB8blI5dw7KhFlvO+65UpyulAfQuf0xW0ZPI4HtgMhNtKWKWISJw
BmfhQtc+e+xLAZdq1eMl4OXrWprk3VQhVGcDpIOq8HSvO/Pv3keJTY0KkVy740xwnWbkp48f/91Q
WZSFCWwN3SIdN3X1939U2ie0dySYcPsRa8iJ5+CAUmkhhysp1Me3ejfnLArDiIbQ4Kau6h3Xuwmj
EhPBjfrRjz30H/bhjMHKPVRVtURABYyfTrnjForBhwH7hhY93QQTONTbl2ubzvIi6vePtYDP+aIK
ShWxT9jZryPTV2dW6BPvE0zM/PwrN129vWC3g9358bsfDzNdU9tWvQzapLZhHM/IsZTTMPqR9UBN
gtRxjmOqVF7pqnT+4zsdj7JpwySgEYsEJmBJ67h4nREYwoRJjYceW/XsHEatSs1R4LA45GNTRY0f
3/CtgDpNE+gYlJ1p8iIpQ9B0NINk6i1sJnOL3Cp9oniDIa3a5tgUZ75r2Db5ZOD7Es0xoMnMjjkZ
P36AF/W5P1cgoRawdd2yXRfehm0d7ywiQoijdsuHJtbnqNzQy1qyDVWP2E9xCFNhy9DGKjR2hFD7
9++iuGZLVfIqHFlyLoyvg1OktirxUPqfWcWV8C2yBQDOJUdCBz7Gw+wJ2WQPYSsjk+zWGOWow3KY
+2qogjjUWfi44NBDTwPp9hSPDARMx4TwjRLdBn0V1CcPCa1l9DoqLLy5TQdDn81Ca02XLEYphfLN
nDohtnFRk+bydd3WPJb7WqDvCO3ZNTEBV0ETRp8vEZ9pqGA5THGooWrTRSPj70VpS2XSHKZBFVnK
jLLsx8P/bsK5WCnoUAYg60AZPp7aPZlFrOnL/L2KG4uYNaqlSoHgn6oI4HfJ+uNbqnX75oOz1eIb
R48GSXtkzY76yjTKEJkDcfTdR/CAL9gnvpOd254LcvWL3uk8AYh+vyeJmoxQBYUaCkH8y48f4/jN
YVcInZ0TjgV/eC/t7z/2ztJpypFvGX/PKsqfJwlKBMUdGCqzPTM7+eXjmx3vIECrldwSUCsMMdBj
PJrkjqFHCQq43cPQoHl8b6eumhZpWqvI6uNbmUdLmqujeY8Xt+PSeYO6cRQdRKiD5nk5mHdlJ3WU
3ylfymgbUUYl00VBgtNhRcO74P9cCjbMy8m2/HuSNRsqdE1ZlxIMKY/q39cYfxOHGujaEWEnERlK
7LIJ/IwR/VdlrUlTZQBPKk7nYfDAVpO7FnRHbgfNsHg5LbM5i6JIU50iGFBqvyYhyKbmoGnso/m2
rPRIvKqX/k/7/IyBz76CcgMdSFg0x2Ng25H0sd2c7voiVSdzWNGqyJCqrsicPx5v62g+q2/K5gXq
3sechH30aD6PVU1N1RDhrSeql3v1NqXTbGhUqN+z1bMFvfbec0A6jEI5lapK+vsnlKVUhUAbAf19
s4Wr6pnkgjU7nYkKLBUFLUt7bTnrWKqYGqPkk427GUci1k6GxjpJ48KmNmx/N/7oFqkmkpanJmtn
QQiIvxuqQn3wxU65i/bSHXdfSxNIJakar6a8l2g/GkQtmPcObPxVAOFJFZZ/t9BYkczdVIHh6LWF
VDms1WygGll9ct56b5eLMlWhk6+bAJagAyrjmbdHf8MbDJ5ehz/zwXK/pfhH4yVHe3TvZF4tlHgj
9phi8k9nL8nDoBYhlCQzy++HKNHRrQD8T9M0AvWqzaDinFg2dyH5a3eZT90Qr2NvMPeJn14VtNp+
An6HjeO0Wjyv6eU4F4MdVqexnnTnnEjxQrYeD1mgdan1daGPPJwg4pUiaJX7ugioGmb3kA0lyUE+
oa2M6O+l4FTKtiLXrHN3bgfsXOdmQ088v4/p4Z/kuUmXIK0l5bwKbn6KbEn+AGrCPp2xHkwwF210
BOLr1r01OZ8f67gybJS9nJgSRtR1OxxLy9vRtfr7xLLwuwIyKko8s+z6Oy4s3ROyrO2NI7qOsAhC
ImJo6ZY2wQxImH7RBDTaT7RVL4rhJC+rDUJfAwWbOE2/9h7Eq5UX9lkgx7a6RXuEkpgwlL+npok1
GiNXQs76D3OW3YPhLuIu7m20MCenOM1cVJphTCWnHy+yt5s1E4K2MpsZfkL09AkUjiZERfnHbeyo
fOJ7TZe+GWLz4+QKC+u0unP38c3eLujXm7kA5dQxTwx3HJGEiyC0a/3yydHdAozQpN9CBjHR1C6y
80FYPflfVBVXtAhxH/r43u9m/strgtWhZcMmfgyb6O3OrzLRFk9NqeS0rbzOpm1h4dz8yTHxcqX/
OoZf3lKYJsADZTpi+cdJ5GQWmYkOWfxkABvGe9bkuFhVJDxJAEEeCRizCK8T5Gdg2uU2QhrWUCf5
DhMxB2EHCewLsJ5z0Tqtf1LiE3/HedsRJ/W5vC8Kghe04It6ZUpDXEHsKZ+L3vLOoOS5V4M5m1/9
lDx1ZVQGrLIoiy6sAi8ksOeFQ/UmoxdnjD6Ftdafn1JFAU+bvt0aka0/6pO0QN771iexkKFm0Zsh
UWEAYRDjgtKQeRwSGJrbTcKblyfRq8HHYzbeWVWa76dlesRqFC9EpF6D3oxoejSt5uzxgbLL4OMp
YL97DFeBNRUeBH1GjvGjA8XIwoL2QYzVbk/jgHJaC54XOUc/QMRkkcGASPveLSTqqwlOEnR7qmJf
Ubc6H2oHfQl88LSLxYjE3lpmCmdt6D8UeATje5pp58lcumdoOO1Q07duqYHmF5XGR1s5NMbm9SIn
2i7Y34Vrt/bda8LGoUJsJ3menTT5Yrl1ssuoFO+TqKovClvmMqjCrv8x53EP49nMrrTS44BwJmPc
WqZE4xDx3uh2zH0YMSDpeYF4Qvd2kMi10b9u0KBxORNvBA5YZ0k8i68GVe0QgiV+lZ9MezV2bz4x
YwvbjXTfIZuFD/r2ZOkpCfPd3fCpSYT9BcB5eo80+zwHWVPqX4yRXOKTOxpvga8sNEgyCnULHgmQ
OHC1t7c0dDNvC47OX2mdihPKZhrKv/2snVKoTLc0IiQ7vR21T7Wl5/dJNMmzBOX7K23wre3HU8t5
P7UINdk+EQl3QeIegwHbsbA7L4JrGE00GMjbq/ChArE+BA3uQmhMmxkVjqKCVY5zRTwHaezYe2SO
k4A6ie8j86gVcdBWjotEM7aKlH4poZdaF59nTtLtG8uavjiIMB0i243EqoJpN6662TAhzNaQaVat
AW8GDpFd7yDO1Ns0k9o5mgEDvzC6GlYw8Xw5TyPHGSyWehuNnN7rykiys4I2LxGlVaCImTc5UsBI
4tDDpel5bw+kpsQi3Y00p/IQFzkWNq1boGDkTLSL1g5Vv0vLT0pariDqoPdM9JWkk+fRGvPh+nys
/a5bVUntgKuFQ2IcAKfgbqk7kflVtlXyDTNt+SwSE5P4bkiRCf3467zff5gpPqA5oGtIfLyr61km
ndBsGrNf6CToLv4JfvoDlMdM15BPRk7lPi1dHx6cUvsxowJcgh4d6uKzx/jLhPUUBJmjD4lragNv
JyxIqa7oFjf/FRbO3AcvHwRvrjg/S3J8yXW0DW6btuy3s4OaZo065vfYa4eaebIYt5+MyV8WrAcz
VQdtaYK1PEbsLkU/DhX2n78iV3du0KHqrs1c0wLUTJJTzsX+S5838qQWZXHIJ8s4l6iHUGLP5XSp
LO8AJJfjcJZovfUMcr6xUa9OsptPnvJdyAAxAvg8SxzMNEnl0ZANBa6/fiP6X1S9m+iOyMLu1lQS
kdjukL0ynSGjp9Qtjhd4rV09x4vuouGDVtG4s9yqu7ehOp7p7pjdmRhq0SHhFNgiq5sz3FGKBVlD
u/f1Q/8fz+J2rn/9///3+FQk5T+qDH+yJkB8MOU/UHL4lT+Oj+2v9//NP0xrG/kTX1CaFuyir3Tq
f9QbbEjYLpzpV+kGpevwj4al/x+Ec7CwwSpDxbYUPfsfDUsPegZ6kyDYgBJT0rX+HaYFFew3hxxI
UjI1g2KDboA8R1/6KFrOUrinxuI3+9mZ42+oCJd1QDOKk3hCAn09uW0ht3UzX+YVeIs15g1rHZNF
kFE6+/GA88BqsRbjW5j02IKVJa5PHEjjr0k6yvOXYxy3owx2r7ws6QCskHB+UN4MgYXO7LaMMB2b
LT3atJOPbAqDmOxDuK83qYRYOCHi9iVPbRSMvB5+rguWEUNhzNFPOLsyqJeQKDUXJ3EZt80Kran2
dAKNATTFQp1wstPdyMOZRBVOfXCXJDyA8ZPXpR+JE8qED6nbaN+SvIDn15TOSmAigEWbGWHVRcJa
e119sUwk2cXUXQ1e9ISMOi8JoGYFJOQKTlW29X1cVmbbQtgClvUO+MNzjaDiuNJ9STeejHpj1ygS
m40ErbVw93gwrxwgjavEleeSc2rVm5A5De82HPpz7MCBFBPiIAdjnE10UNCmK7HM8Eb1B7jtuTgT
Xv2Nej7YIkNOJ0DmHiAyH5Tk2UrpNGZz9oDiPZqcVXUDYHX5Do9BD2qyv4CsuN/2OBet6UqtmYK3
kxVuQjd1Vnh7q0cAAGtzab+ZrB0gBP3CyjRtizhxdRN1fn5fQZq/B0YJ91QxrBuswbZU76YVJHN8
lPTiuVvqSwxiF6Cv2omk1fRYgSW8rWmPEinj2LS26nwzQre9xPNzH3qLt/Js2Vxg09x+E5l363RJ
taumFpAGnmt0yTN3s7Cf7v3G8TbIad/lS601K6TC7yIRor8D/8SFCtoVVyZKIz81nWNn7Ta6dSXN
3PpSJHgEBiNYYEjgcbNsEM64sTScPKg8tdg1VdZ1l0tUhr2wxG4tpuXLysEZYkiCmCIsKOip8Xct
vdTsENWGQU4zY7NNfkbPcHCqL6Yx9adUryQ4qVaz71y6h6eicPQHwYsH3Swh1CapmaDCjE/S1vAw
HFxZoGNOgfnZ8lAhAYgMeSrnZ620F23nYZoZPs++O57nZkugHNFrhGmbEK9ArASCkxqvx9P/bfSf
bPQUdlXy/t/v9FuErpKnxz83+t//ze+d3tP/g0tAFoJ8AfLB/UPpynP/w7EQCVTCVRSqXjSJ/9nq
UbrScQNApkenCAmh4l9bPU7KtgqtEPInsTPhBv87W/3bsION3qGRR+2FKhn/SPTxNlJTpd7Fq6t+
b5qQ2KDU+wWG8Wbsn4ne8qFk2215Br6Dc9KnovZZovr2mLGVkge9I8ZHVfHfNeiaJsJOaJnkbuzN
YePOhbMxEjNHUDUp9n98lsvXBO1Pftzb+o/9eiu6jxxDpG+U69++aGvR9jdINndsOckuN41xZXWI
W9JDbv4Xb8VQ+vQ7DT76cQVmMaasRvcHAcNpShBwXJqglRI/nMntP6lzvu1wvr4VQSN0SBrQFqYP
b99qGjD/AUMtd34Skg/PJo56vfMMbiOIQCmvqRxrSg8sW2P+W60/HlLm4B+Z8D83hzelZjH2mEdV
BomSbWjVUuLDLhzklydQIoZozj6+y/sPBz6fqBjcgEP6e1zL6MDWd0MT9rvWF+RV4qXKZE+NO2zS
usAR4uPbve19qJeywQyQ31qgFDiN1Ev/0dTBFcG0YkP2O6j/QJqz9pdrmc8e1Tr21uIUMPlvObT/
Yafh9Y7UCU2gEQb9luNYC0ZhCvCv6pXUK4L0wDL4WH61+fi93mZBv++CChYlCxi5ZBpv3wutRBS5
mqzfWUDfV5amncG7viCrRhNGL+xPMsC/jSJ11n/d7Whq0DeLGmCz/c4bRoPeSbKKhgLbrjTDch2f
i1WbZT8+fkHzbdL5+ob0fx0bWgW9m+OtbI4zxxtHlp0RO+ICver8HsgV8U+1IB1ZRQSGzbWLTcK6
yUX35NDaOqlta99HbbUbAGpvcNxBiHN065/TBFRzdoS/MulS3CztTE0sjtZG1iyfbExHdLOX51aw
ADJ21aF8N+O8Di2SSrKMkrEXysZozFARnuxho2kW4WBnYDUBCSewGL0NVlniQV/cCa0Ir/6Cu4oF
yyDyLwDC/NbS+m9npv1+hdM8YX9WK9zmf0eLIfVzXH/tXOIkHW/MEIRQAjEBQLcj6a9H3d2UWKCk
R8fPA/pi5clUpi1tpoJmRwEwazXoJf6IXbpq5lJfWXi5BiEwoBXArBktM7MlsV20w0JjPUDyFRl2
V8HKkTK57zFyvZeDF8J0SZp1KzR3S6Wd+jANcRTEphOZtcCOtRwpstD2EXS3T2OR3fWjh8aDmGkt
gQPYtqQUqKTIi8p3l32T4JsyC6Q9IIaHZ3o861+1thl2GJ9pxHbzczZb19LDhQzIOOK3dH4uuHK5
/Xi2vl8gHl9eZfGK4vsODTV1kd3bo/roXYzjFA2BxNMPRjLd9ktYb/q+MP7tJckd6f4hyKrk/Y7L
IH47DZ6/ZHLXhuHB6MQG85KffinOWgvPY9w8v338hu/3bVVQhnxFOcMn9DlKISEJDgAperkDqU0R
fxDjIapGNCjNdg4+vtX7aepBUHZMOvHAQOgSvN3bop6khhoPp6A32KeV1hiHauzdTwbwr3dBhYAw
RVGzjwFsBVy6Qo4MoEbHqF01rq/tsUbxLj9+maNqr9oPeBuP7JtoEd2F405/hn+x4VBJ3E2TUQVo
cadbZyoiqmiwAwR8GkIKJj7wH7zJva/Yw+4qkSWfbUtHJYCXxyCEUY0kG1zHcXenaSqxJIPb7QRK
/5sRb+4tBs1yK0aZeCgOLeKAVrC/afXqV16N7nUm03FHd2U4L5bFOsEI/LOOk/nXZ3JdRYe3UBY4
jjgiAWA2jK1uV0Z9eaCHsPH1HjNebAa+hOjWY3DW199zHIrXOWTKi75OZlW2NQPfKytkgvJfuTEN
XzJvCpZlfEC821w3iaxv5rJPVrVM7D19k/GknPMveAF8Flz8/QWAi6CHQQ2HEs7bmRoa4O9nb2RQ
4/k6at16CwA1uovZxdZ146ZB2Bn6unAdyYnVFif04R+9xL3tWsc/9HUYwgtthw22yP5VBRMAxMDy
a8H16cTyEFXCRnhG+CzVOCtkvsUvvP4kPDqqML/OThKWf72B+fYNRpnzwNVMfUZLo5Nw8csTaU9U
2jXoeUnLJt9TsUlT/WBVVBO6GreFjxeI9ddZQF+LGhUNLpAqbx/BA44OvaTvdqkWyxphNM/+QVh1
6WIuuaKj/lTlw/TVNY34Jzhh2Q+wiCqTGocVU++Puq2pdxAZHeGuxsQYC6idPTQHbrijNpSuIfEa
v+bSMNgqXSwVso0NwyJwNP9r7UGTNQZbP9NsoMhLVT26g37jzNwoEi9WZX5nfzLm70M3zyEbpMDn
2A78r6Mhp+DnZiHidLsmzb+W4c4d0jzQFgwkkNOyPokT/7JtUyQnMXzRQ6Bq/nZwuzxzEFQyuh2y
qM9+4oWc2pSMBFbwn9xJXem/GmkvM0lJH9DXEgiN6seBfRNGfe2GNjOpjW4zVCa+wjxTYsQA78Dq
ZziJ6I7mncAx+qyj9pfT19Fpj4OQ5GAi8H77khJtFjNMdSSY3fl7KL3LyW2udRE+5678QcrrBB9P
2ZfY8927AggAkEzCTY327Q39QeumBPrwjjS8vO4t4p45tIK5pHBqDcsvTMBvqySfgmiuCW5gm66H
LmoxpPkMhv3XyWQj+gRhTWnyHB3LSS8HOx5Yv6NXyQB6GvXNGBkcLaki+FOfaYf85dDEqgktUeR3
ESk43rEdBC6UkyUfeW5R3auNcL30XvxJjvjX8QWDTWdWDS/4uLfjm3ZGVBmi7nbkyO3ag5uPAU9K
szHEOmcEQrmOBtGDbmkoMIYRvoT4PWymQTtdFuezPfJ9Ug4skayQpByw1Ts86jj3NmL4GQ8zIG0W
Ry6u2+1yPg/QCSLg4Ou6K8pd7EpzVWW9/smyOtL6eF1XREMMNnE7OLajuSajgVJqqbc7CI3xD8SK
NHs1Ypp80SWGXaxGp3IAtvZcYKXNaDiuBqfJ7QBd8sxc4eoYZ8guzuP5EFsouJnwbY21Hdnd08dr
4i8bjYdVl0M+6hLnHAOVY80DTQiGcofGTbvtBS71ooN7SyyffDIkf7kVvXM6o1gM6N475HmSGl3d
tG6zk0tYPAuI81dLGRctipb6/+K1FBRZIWJZy+92tRrZSll7otnhmtVe+bbhbKvZDU8hJFJF/Feh
8S8Vrb9sYtyJsgghIgiB40qFiRhSWvXcKaFTEoS0aG6wkTQ3nG4wnacC4ekqnj85fP86lOTXgta/
AUbyKLGHxFRKyPrNbjaVuKk9gYNOCzNoddBNH78fVgDvTwgFrUWGHyF+tEOPZrKXiaqP4CntHAEB
boteiWxx4RTjApU3xIPZaTssgInJEUCwhlHbkjn202aZXKu4KjybxZVY1BgPeObm9yZ2XCAPcLiG
15nnDlYbYRM/4qKinWeWZ3fIn+YoInalsqcpeSULad0KwXJ/sEdjO1q6hYoLFKxdMuO/ualEGwNi
ymLj1unNxQhyMYEzTI1icjaYesXmN380ElRMUool0aomg4lPpxiIfNDizxzfdXllzIccZJC9ixOj
EBtNr42TYpkmbdf12dB9sQtEB8+F7OfwyumMvNzyszZui7HtMmRhhZ9haZ0NIjr33FJZotggjqC7
NvkNltIONhylVu2NFqTnao5as135cXJfdI4lVlOPxMsB/5EIUde+qrIt5Lo52hT1XLZn6UA6ieCw
X6Py3XWjnwXTYM9TUA1zqJ8WGlRe6g5FbQZ1YavgKsFe79HFxwoDgRAf7QVEa3uDmbSGTZPs0vly
DN3hpkxEK6G/NcCD9KrA2rjHO7MHLhFP28ab/AQRzAgQIR4Ky7LuutTflWgfV5s8VCAzXTPRYm86
27tL40Z5cReVte5EPNCaqWsbBc/+ijrvth/s+mtYm/m3XPP0a1k64yrE2HWvzWm+sRr/ogccUTbd
dkKQ9jpELmwQcbTJljLZmSIbg8zPUIvvhxMLov/axJYpzRy8hHoTY8x0soDWWU/C0sYNOu5IUorW
3Tn4WW18kTg74S8wuke8riHMR6cdpiY/XIlprOhn5E/d4XFpgMcM1gSDYJpXdpLf6zp8a+zALm2/
aDeGXiaXGDssa1x+jFOvyONza+R7kC0kqy4J76fFsncoFV0lAMSxcp/CQ+iLbD2lWU9QQf8r55QI
us5drrJ8OjRSQAhBh4c/souM6hJQmfYE+3gzWPSs2Uxw6FZpHA7rzMVnbLRiJUPjXYaeuC60eAJX
58VbpBHwlqKtFYSA8XYQlfTrMMrrB8Qm9LMydhFHlg1IP122z47WlGv0EerAo2C9owFpHyDqQV0s
w+lg6Yl56GaXFt4EV8GYtoldG3i2zt8KvW9Q/An3ri1ukn7+Zk8hAv26T6GuD78VjhYhxpcV3mHo
Xex0tCYM4G7c4s0RnnSIYgROVHkbPRUa36FZVpCMlyAmb7hOWm24bKLWu+56xPtHqzuTc+hiu6Qs
wrTyV9eM9R5cdLIHzlLsy8IbnkUn+9WcjAsVrmxI5DLDpm3KxSI1N/U2Qpsg8SUMZw/Ur8nk+VrQ
rJ8CtyGP4DBlk0ijfvxO7zf70gAWozyCLrKXGQcdrshGqyRkbGPxTvmHajOxIDZQVe25O/PmMRq7
73Pcul2zms1QjFmwQIb8Dk5+q6cRhkCayTPvXM2sfsKYzOq9leVmHxRe6w6rucI14kzTHECvGcIZ
QKDmwdZOKM/qHUXaJtm3LSOFdVyZA/suhlu0+aZLExz4bViUWXIYUzyAbT9pALqZ3hbK/7jA1qcY
FyOi8sPRQ+JJ6rv1xl30/LTmkP0pwYs5qN1G1Tod7cSif985N2LIwmef4n6P2ZlTkHwrMfVl9qY7
+kzFc1u3aIPPRWc8lMANAlI0+8Ivzfp74pdj0MXdvJNELLcePm3fh47rzFo+bSppNidLRT6dQME8
mMLqvlKFU434Ll7oV/fMhNjym29x5DU/m1pkWwQmmm9uYyb7FM+U/ACnNNsms959RTUSP10Xq87A
Ce0CUZ+lY3HkpmavMx1Z6chx7HVKwHVAKADvNkrIG7JSv91m5E3Fvqgrfl8m0XCPgki0bDyblv7K
j5TgaqULRJ4LWoO4Fsa5moPaeIKrY4yOR5wDfWt7c9sxnNo9crW8ootyTnyKqgGP6mTD/WBO/Xge
hWF0kXhYLVYo45xXSJqfiVhwVQuspdAT52aQpr2siEQQBKnj+CIdu/qB0p25oXBmX0QtS3VTVsWy
XSATbNGsEsUOYGJ0kef14K5rG69EFlHDouLrUoRvTjJ0Fi/A/9Y/WmTgrsTSGrddwngnkJl2AEfn
nRczqBou06caU/Oqttv6h60yTNTHlnoAM5nCyiLi2+OBx2W1fro0WtGc1MimnS1DV/+Qc91+A+9p
0ul3m58AucF0gCVjWJuyCE8iqhGgM2T35I+dfSFQB0C6rPKjiwlfnZp4F9/mpwXSAViE2hyRWED+
2AjnM+M/2TuT7baxdEu/Sr0AYqFvpgB7SaRIdZYmZ9mWjL45aA6ap68PzoiqzMiqm+vO78STCIsy
CQL/+ffe3+ax3GywyFHZCN1foqMnNIf7wwAoCNSH8dwYs3NJnVq8NG4SE48e6g83BgTfr71flGss
wgjJGXSfzgBQOu59eZpbXWxibVB3a/3VgZzC9OJrGffFWKQHa2XXN7oWXwY8C8DIfIcJvMIndLEt
WRxbrLsi7AOWOBu6tMUpKXv+BwDVPh2DI1bZbGmAIS98z1ljVd0bZYbzL9io3SduSScSYi6ORtuv
V/lAjTGai+k8peQPXikdGbyICBsQdUfPb37fNt8t/JlPGuH7IiQInlxmt6zo9qbm6Fshl+nRd7vh
VW+m/JauH7dJ+9+9Azn8Jm3FC+XavAs8Tzex9lPVZ3e8a36G/1KPtfmXvtQpnYu2Q/i79cXNBMt8
lHoC6Nwa+Yn1kt8Y2acXYhDd5zIqjCEL1UjJFo/o/MtrWPNFYqBEOmTf0oEphSxURa5WU2pgZ0tJ
ga3mihvxTq7uZujkfCyVIuOSDFxJiyZbbr2uzZXGPSu5FHlWG1FpLPWjZmUscRUIE1apnZ+oo2vV
fhVRBvurxpJENaFOqkKWo/xFXa/xasfNuFFjZ3zRjABYha+evHK3WH7VZta0kWtWc06JgDN8mf6w
kLVQuJa0puFtcXmSd3t9zI02XNNkzwsOxFvQ69zNPFd9TY0vr8BZWPxLszn3am7eJ4oZr0bvxxfh
ynTfw4jEquZbR+5jAewAPI/HCrjYm8Sxo19bze+4x9f52kw617x5OIkfOBOLXQOklpsYhlH2pr01
IAhb/sfS+f1ZlE28V0WhDjb8jKPksXlvgcungduL00f8+CuHxO5e2kaJcAVT95i2d03XNM1GqMb6
4YCW3dlNsUSNTV2vaU3Yh5Tl7g3erxBFEyoHISAS9FY534BsTI8MIRDqaK1/NYvYpiazfqKG6oFK
RID7up5ylmnbzTgE2Vmy/9GHRJ2ysml52dy96GNpnBOv5L5hLcjreqo9AJxqLhjpxZMrzPoYTOkQ
c9MtF8CAiI0S49zRSfuTmucCgMygHvR4bO+p6K2A8tO/w6jPCLgajVmhfg/gyByhIU23nArXT0hm
J5nqBrc0nz+sTm4r1wBm1tt305TZb8zbOm03U/0jGFedqe53CZvloxS1h1qWMJAqcqdvPoSAm14l
486bmoNbF3ITjBT0hSnNFf64fGf/V77nJfYqnjm8SaZmx9zoOeFE3jzbSZTleXfMNd0KldD0S17a
QOaHAeHLGBoq4MfxkSYSfW9lWfc0SM3lVhfEt6HjRQZHeI+Djo+MxTTtPBStfw9ITr66XV8c0tR7
nSg227MuTZgDGeXCcrUy1emYPKQA9HBQm0eBce5Hootxp3wNoBBI+g2UK2szKr6MHfiIcMxZFcbz
7N4xXNhvme3sK2eqd3yduAHXGafT2MUzFVDG/ktBGXqbGnAPQQnudhOX9nNDuSjIu8DeQf1z7krR
Fa+G43nXWfEpOaqb5M5jLgzbvo23FCs3XwtSkwlCpk/PMuMyAOoap1j9Klqpm2ZOQrvMILuBho8Q
EELCqSYACZeB3o6z7xk9v6eYUqqe6t0sdGwNOx3lzouObTvVyh1fxV1KhzKDmuMwkHnDubQd8QJ0
gjHDVqCzPJ3mGb9Pb77eLpu8tPy7bsZKJ0i/JQ4g5txqnQtopLqOkjEwEC2K5TjPtXpwIRxXzGh0
X7u2W9GCOWWXIrMSymKypeB7R7Qav5+W8TVCQ1MP4DezbytmYA+kuOKRMwFgkkvDSmNINeJNwpL3
M8vstapDYTYfWqqgA7AVN3DNpzbzpoNQIDz9Ll9JGPVdV9Er1dl1gTg6UjA6dj1tcxk4rC47GJMW
fAvQTDnnfG+BNEYlZa2RJCsSgQ1KqPtQvfFtmu32CDfrh7G4X9Ar5QcTa/FRdGXNTYs2TK9wtB24
k3hLMLq8zi4TSzG3BqJ30C8gwUCEMg5NB0i1Kj1pVj3aG+XpnXfwgNfxjLHd+qKNhH3CavbqC+sb
CgtMP4trZICCmxAht+yjLLPqakq/vNIrmhcA4biBkuLsP4vO1H9UXZZ8SgFEPDI1fqDEBXByoHU9
zTZ+ym8tEw+fW8ohp0zcgqeE5lrHovF5ogRT887Tkt3ZUtATztKf/1SL1HxmPuZkmpeJfYrzqfss
87r/7KDkcDCdh/JXbq/JkG7pxQd8RONHDhoCNIU9T4+dnMQHNcIcwm2RakHUAEf91JyGnIe5wC7b
LrlTPRVAU/mQ4JbWOy/uCdXYwchGY5gSLo8Ewh2RhKqonxJ3yB1mTKIZpOL4O0EzFS3MqyB3NnYF
0C+srLnPN6rjt9xm2IopZcOl5XGImXjRLLWr7i5dnJ5zo14pI4nGZkzjHcMrP3nRAIgcbWh2/iax
g1nba/M6AvQopIL+lzK4zxKd+IXb0oUeQQnjU9IWHnVRMQ3iQ7WKoFZMbJv6ntgpf5nDwKsO0pox
YxI1+/jHm+koLSb7gzxJQUin40zzjAXEHOeJem8FDvQXCc8rYhfEW08qq3py8I9V+yIlz7E6C1IO
mPmUH4BjL8HFlM4E3cpZCEm2ff3kjDgq+AjRW6NRSP59oJ7Yh7SNnmd3HS4GtS9XHPQDTSrql3LZ
jeLKBZLz4GpG8pzPyqRSvqreSiPwrrkXSHqDGl9/HpOVhDmxhhcXe+AffTCVzu/IVM5vnVaCD8+d
p0pD/6sdiJI66fGQ3T+BGfYyvItKIz/PTcLsPlNOL2nILxvcz53qvtKsy4p9MMC3YPDFO7qHB2pO
UQHOnnmXj3M5VOz/TiNMMrrk656JzknsJjvqoN9rWnGKgmIamTrk5yqbAzcPYZ5fUUm6CTA+4dcy
Mhegc5dEWXok1xGyoOScZBjewBcj082tLGr9hCYN7JVc3pWGmYnyjDx9XZZkfBlNwPm/94H/40H9
Dx5UyOsBu9//sxr+t1aH89f4vw7fy6ZL0n+NHPz5N//KHOh/uLgKiGzphAj+anbQaHZwVkOIz2bc
AuKgs9L9q9nN+QOYCBDuAPKAjWkMufrPwIFt/oHzlP8dJRuLwH8zcPA3lYhetzUli1iBxrr6Wv+m
x9maO8XSx56TV04SWQv9iqYbv/7Tm/L/2Jf/bXX9jxeh3HJNhGMT+7sBpq+V1mBYWw5Dbspw8jr2
QN56tM3tfvtfv9TfFKDfL2XztrCUgsPybwpQXYpJZtQyHyZWRGFapPmdaVqCrCpZq7Wi4lAarbYH
AGpTXExD/X/98v/2diIzImoGnkEkZOUj/6saZhaL74yuKQ8El57N0nvz0/9Urrn+iH8SNKE48RIg
EtBU+NxQm/71JVpAndwrDAnGbXyeHOu1C4w6GpDrgXnLr//634PL899fjvWZ79BWQ9sQYs6/vpwV
S9uFgdsd7JHFA/s+xm/6x8pT7ojyVCj7xRajLEObPjI9XBfgZQjJamnpRW9LCr15RCPzx4RGk8zP
j8PoBWWkahWw/SS/V4cd2MQqNKXBqaVMgpA2OPNoZqVF3RG2FnBmvyrb5z7c9rr5Oq84XtSzodzk
WmWdEzkEGyvJrQ0Ziul1zkR7n7qs1UlFe+QI2POUz/Q0xG8pc0vIcdC6ipjFi0PK/7YOgOydOaTh
wY7Pg+J+HZeB2NQ+Uy5+LrlTw7Iccz9+wLKidlaJjOUVtzq1f7qLfyVbWEYjXNBTo08fSJ0jL5G5
W83hZ5Y0k23yZpH7XDqAJCtj43TZ+NUmgTx6WXJpZkI5aVC3oPvKYTvWo3vGAJlHAWfrkxlbr55G
11eWpH0kO68JU6W+LOwQzxO8zM1sZNmZrFD83Lt2EdGQRJGdijdejXw4jUIdFhALlEBNyUOFOYLj
PFgYtpl3TqzTdEUqop+jGNhacOzhfrL9JfP5jMGX6cJ3DKKUqXffgGTX7yoEZGNXTW3rvpCx196S
XLWXqjb4OT4L7Gd6DtQd7crDAZGuC9O27ZmhpJPciVK2D1RxOVuzkjnyScAlUkIzlXUN/32sjC0M
H3On0kJnVZKzvlZyYjOUmsP7kOqSMi19Nu61xYuf0zUrUqU13taVO5msY8hqJgmOC7TweyGS9tos
VfvIuf9eBLP1Lhe/f8ZTnx+klhgPBGXcA+wInsKLi07RV9OeNrR3DMfOHOacX3eZZ00Hu0uDK/nR
bK/BcnhYYq1+RLLYmN0wPwD4a2QUNIW+Aych32t35UqnLgxkY3KAqgb2cJeKlV6yJC5hxm6HYxsn
s+g9GmCN+CMb8uTIX3ub1BqWEXIzNeO1mfMXNFPWyfDT93ZZqTuQD3mYJqojnh+PV02Mxt60Uv1A
+L44UFJvH52mk3dzrWPh0GOnvhAH9k2uaIoWIADG+tUScv7eabVOzECr7lWcaXc95te9NQXJxgVe
iY2IyW+XC+ltpC55tTi3ar4vOGGj2pwEvN1kPq1lOu9+3nO68mNIrUKMd1OGc8erhxG5Skv2ndJB
5+WlFiLTU50rBqYbeNYhrfPjaTETQlTw43Yic4PXuq6zqMzJODDhfbeE9RYYC5Vffa/fUoI4DG/W
h8fnCqQ5foJeaoeGxzttpQs5pppdkAA3vthavxEjwoAEkhi5SwbqVzbXTIpiU8nlM439zicJlZNo
E7E6CqbbraHp12kedv1Uc9TXKMWskdv2S86Pjdn8vLRABUBYdqO2QcSud1B5re+d4kRZJ4277RDM
mth6dpyG+J2Rt9URWal7HLTG+s592z+m5WjtdSNBJgMAtk0AFIIctpvlLIocD4IlmvmlJiUM/tVZ
jsaEttKYzntbj/ThBb4Wjr6oo6IRJoeB5J7GyH3CAyAslQ4rII6ZVovSqM4dKkyhzBfOQBzK8JtH
sd+e7NbXMNtpOH9zzWdXnX+JKciiRXZbbzDt7zQ6NT+ywVKXhka2IOSw7G+4JbiXlEP4PcHu4uiW
Znuw/DTf1OMyfmM3QiFruh6g9CCb54hUcUXmr5qyX0GmFWv8X38WkEWunNrdjVVANMa+n5HOdgry
a+BfthQAdHxP3OmTBbF2Ib4Pz7arorz1slfW3dWBQqcaZbnFYWzYkx1lNnePwqd/b1g8+74gz0e8
ENbgpex8DTamTmec9H6CC4wpxgj43KVwsqOf+R7c1slgEZKW29a0wcSoOT2YuU2zoBskhyGt6zvw
j/gPe8e5uJyzDokWxx++sy2JlO2LOeHtZw/+AtWi3FDz4u94k4pnEHf4M4BcE23sc/PJZpHvjmX5
1s+5/UESJDm7rbu8dZUFKSYFRMa2sj0PRtPv8jLjypu97GDnnHMLl4uMh+cvjrJmKGQLNzwW3ZHn
43hUmcU9Q1I46971RjkT0zGLbtj8ftT/z5D/H4Z8w9R1xrj//5C//6rb+F/74P/8O/83aLbmdcFV
gT3CAbVSpv6MFPvOHy6hD87vGPnXUBL/6a+gGVPynyO9pdPWBtWC+RjXNvfm/1auTP/7DIxpg66o
gN0BRwfSA7zQPwdpArOuuG34BV/b+H2kYy3sO5YNOAG/QYF8apV2qFZx1y+Nb+wtjd3gzbsO/Zfr
0d+yujeP1ljOx26Viaknc47BKh23s95svFVO7lXQ/poFUac6QWyGzIcrcxWg8Y3qN+23KL3K0xZ4
eAIUabqDMz1th9i7kVD2H8clJfbal3dQ3EZ+Gjhra5Ry22mmuQEV3J5Qrlcw7gWQIaymVTbP0M/b
VUh3OuFsam/0ImMeh2czDfIoXqX3ZBXhbdT4cZXluz5+c+0yDc1VsvdW8b5fZfxsFfT1Vdo33A5F
dZX7OZ1t7bR4HfABDKshYF6tASUegXqAlaMwuGza1UCQrlaCfDUVWKu9oCkke8DVcgA82duPqw1h
tJFCyfx+Qoy3dvZqVkhX2wKby+8ma+JViz+xDip3JGBHNCWE6KWn7IRPlYoBrBAlnoj+NzhCu4jV
LDFocjo0Fg+HyauNW7CaKvrVXoH5flcG45XQcXnLsbYDefDbIeSml+eoN8VD21jxuDV9xSqB2evb
gCx0xY1LH3IHAs6yQOeGTazaJ2lp4on6SOfOzmcWV1rpQBTsXclqoUnPbV2M3+CvoPU5PLen0oLk
XPPQpxUVaTtRQbntRnqWJabgqzcy+VSFxbawMJVz6C2/effSjDVU5qniteK0eecU2Hl0szDOdvV7
rWcUuGBivWnvUYT9DWwXgzcvMAcolgMiYWc2FSlxIYi413p1ktrCkC6BeUpOevmoccorUzqMuaHP
uJp25uhlH57JEnEzCfCUGMPEa2ayp/MtATC4TOsnI6+Ns+VO9Z29rnnYaWcfDbjalCnNYy+V5oux
KzNAKT1ugsfZUbQr93lcMV/Z07ZLV6DzCH3R6sf16U7Ga9NK3/5O0rl4ndGyf7SDZx01yxqyKO56
3tW1XqhN1ATOH7w07pN0Jbij3yEIk+Tp+ZEYo8F3QAOfH82YS9MZaNY+OJ3iHy/neL55dKanYUm7
wY2QKGvk2nHzyJr5HBq/4AcSRE/kloG82s6qnDdTXzbvCd+/fQp0b805IWuJKe3c0Ev64rUxqvQ8
S9TAVC5qbwxW8+VMiEZiABb0+zfLiOD5HIgMfnwBp+caLwk6oNM6IM1F4l/tadW/tb6kIpJtbOVU
w3OX2WNUuzPWx3T9h/9WozBq9i/exGGqKERmHh31D7xnPW/1oCMTNNrZx+8rLXN6Xm0h00LX1Iwo
kYI/o5EkqC9js1Kn2MBiZEBFfWUna76N1WpW6kvbu7ZObB/rXEw3g8XthgMJYKt4oJmnUXyow2BX
J1qu+dRMMcL0G8v+s/eS9FzptXthnTPfSWGYN6Fn/m2Ua88OVyToj8ARH4GJGD46ZYKGLCZ+kPJ5
RW9miC7iRHuiDEbtF5fVtoyRXGqi7Nvfn1Y5lvUTUNbOj7pcVBQDEbWK6ox3bqbQ8d6QnS1C6r8B
+7gxP35YYdgezYt0APMHRq93H10/MmWdRl22nLsqOSuIEBQEPCvJiVo59UeVIlvDgIkC/8HsB8S7
+DGhyygsKMKhpOGXMwZ3IFaxSLD2rkzvNnUWEkGy793lNW47d+Pok3/v4uLBIeJs846Jvpnh/5hV
feMY4wyhaRGepCXMvbHifOmA355dxT08N/yYib6xIsMj4pSW8xnE1WacaE4R9cmqPPFo9Np0MSYz
2/l1jCVr9N1k79Y5ReSBsrcz3eOhx9x9UAqoQe/nMtlorfFZxVOkpPklK8DSMkmbu2xZefRmCfTH
dH62Rn+ofOeK/F9EuRosls+xeNdi8xtVLz+BxZYsd7tyBwGpx/JekfYrLWhJHcCu0GxNFTWuWz8N
lm1D586Wz1I57GQx2a3m4l3TT09VNjSnwMtR+/qEKomFDzh1jd0kBxFm45wT3DZe3JnNPJvpYz7N
5VEHjnsYuQlvdH9otlOVryP0gOa00LpT1+9SH7AFQtS8n3PdO7Vc+FiUXH3jKPGuG6WMYC6FgzH/
subm1qS+95WaCN02E/eHhzK/MfL8uSe19H2eNco7Mqbs1JJ+pA8VLiPcLCc7EDZ1BsvC/cBSxSHO
FmZLx9ftaEFCDsSTLLvPZO7FVqce7YxjciSpHbNMAz5o6nMI93/YLsqs7jn6nwvu+Vcuq3aru8J4
hFlmb0cTADILbS1jqZg3G7vTFHUVZvPVQRjbUgh0nEtaYK2m+T5AMeHQRu1LZqhvOvT7SK952gcs
Dkh7DT/JX7/LhFPULMXLaDQEaK1csWdCmK2Bjj20tvMiiDhGLl9D5JMq/kZtQhdVnbXp8STfjz6q
F0OC/wkgWt08hJSXHLwDMwSrUWyD7nwaAediOzCFTz2Oyl4yb0AZ6+zyqwPE8YUoXpyCtvTCKu7Y
DSkWQTzTx13e8Xfj0trSZa2fPZHVVzpDyRIkksnKWu3fTeufG9WMHxWlLR+jaVhnl5Nr5DBhha2b
LpuCbxF38j7FIpJUjowEprpgJV/F9wo/lHHqONJNIYQm92wGctj5sSx1vhLxa+9O2sWliiDKLVwR
fIic8UUba1sFePSeQIXNFVNR/E2dZmOG9jLyGJyG+lz7hneyMfNuhXTKreikeA0IZN0QkdNsS7cN
iK4+qLRzH/vOkUkh3xt6LbfpVIgISkhtb5N2+lWVpnkxQMO+jG06HprEk28ubV6kdmkFQ/tBwPJG
CtVt+ncJVRzzkikMq4h20mtuYI3BtrQmjBI1bZ9h6JoF5jbD59cq8DrbxQ+vK/ywa8V4yV1Nf2hF
1VInXrd7aZLhGMZcRMwMDxPWW1Jq+9iMEbv85T1r27rZZLQkYLOULWiW3GCR0hW70tb7qG5ze09n
18MEtm7f4lsLzQFyilN06nHJmfFyRSdZ7Sr/Mo9YemXWjZgSc+3d6oMzVMnua/RSBhB37ndB48a7
oRANiDMZoxun6WZoF77iJGdXo9KNJ2h9ocsBX1AwzGGnj86r1Uz7aZziTWctT7NreecpNQ3wJX62
Jwa1d9GRosJot7Wq4y8Qf3ur55GnqHrYqjQbthPlRqdUGV00ZJ04jlLcp7G82cJxNp7wsyMVQtOd
yIio4V+iy8XY4t24BTl3V+POG6gCXsP8K8V7n5e0PlxhNkuwLEPHBpV/sA2ujR1QzCMhljqSVqDH
M2rgWMzTcWL+Xe4dRpU8yuIyd7ZzlymaLxoTLR9OcFaEPLdhkJYuRXVhFysqLJIcco4dupaozQNP
wzcEs6vG4nJXVsGq6w7jEwuEZWvMS3eOM6eGa+TYD6iH3+RipdulcW8sTbUoW3roPVgTN0XgZBfp
Nc6Pblp3ima1/DA6o38YS0/bpYb6auMZx51jqgdfKVqIfNR4e+L0gz7XPaLmmvej58pbzKiyBbtK
REjzPpBN1sKXIfs+9vGM5am1qbAT4lRqqRvGGcUhuWRzoVQ6RQIRkUdlUxDattO97gfPVGxMoZPb
d4vFoI329+mZYIMggrVn14APWds/E1pNMd6kwWmOF7faZsY69MfopD90HAGfoNuz+3GsOub4Di6k
m+LgzYInneS8HkpmGQ1DbJ8fl0UAzF0We763sdheG3q634pWLx66pPzJAZSSjNqUA0plvwqxlag3
aZX8lGXJU1+T5aen3PWeRY3GDoqm2rWG3r4zvrhbRJTp1otgiZiBbhbl2heW2zFrHGA+J90O5Mab
F75pcPZe3WEc7iAMV/dLoXxS5XNfXPJKeg62dCv5geubzaDIUvCoRsKjQA9abGUcDWvmgCLwP/1Y
58ahYse4sZD1Qfh5zftildWPJcFpiQfHsjVu+V5QRYM+Vs/V6tl1VveuWH28HTfGrW8sx3T1+Dar
27defb/p6gA2Vi+w+9sW7FQJe/ksG2u8DDWXUMxQkv22EFermxhlfnUWA4X6bTRmel59x5TVrC5k
a3UkIwWrX8nqUvZWv3KLO/AwYWHOVy9zt7qasc7c5+1Qcs7C8UxJm3qMVxe0tfqh89UZvaweaWd1
S9N3mW6y1UHNL/bCwU9svCCpd1q2bvh+W67/Z+tT9Wk//6etD99cdjH//63PsSjSCo/+v/CF/vGX
/lr7eH+sqGswNdQvsHJZdzt/rn0C4w+0Iddf49LBn+ihv5RdRF+dAxZdLEDeGawQ3P5aA7l/rEAC
YlJrrwNy8H8LJYe4/HfpDnYLXgydBdSaSFul7H/eA6VuClzT6JLTJDnKMorU0KyYKO8a6WldOE+G
TRqCO0mTS0yoa/yLR6nyHQaYjkv+0IIuFpFfF+5pYe0qtoWqAYz3uj5dGY9Le29k3qxdc3rP3iQW
ISfCmBhndK0WREiU2al7TlW+DAvhDCgSpb6wCSEBdx/QZY30N7bLcTGW3g6rrA62C83j7ZaWoAkt
eqzJEQBO53bpa/IH22bv5+9TUe8HmM8WHZ5ostb8RLOPT39jxKNt3gfUAlDPWLoPIwoxm/IBjJip
7TyQ63E4F0qnjRBM5lOTZfN1ohXk3MYmIF6O+NXWm2oagjJ/ip2wcvTYD92suRVOw4E4HsGAL/V8
iKFunMymTe+MxN/zxGYjn9RpvXMqDsJml2B86kczNzaTg33N7j3zrQh4/oEJK54Mk4hSkNiIhXNz
ceo52HBvsR4HM2uPqp7RtAzzMXGXboM939tqM0+aiQqKR8vTirNVjTdHpzfKKQqM2M3kJT+xXjZ7
G+JQxG00vzPKEq+lO8mbai2Pt50OkAf8UPaZ3iQ4fP2wDPf6uJVmXZ8FFda/MuUGOwW5Y9c5IAbi
1oPU6QY/HcEjAt1PRK6WgKHr+AP/2VvAmm0FtFZRUzgnNaKBeoQDnrK2s25oStOd1XjjI8EEnOd5
8iOD7PPdqd1xs8TTHUrgvHEwxoUuUQqG4Ea7wgktn4o2L6MqL7qzaeVJ1POORCLIry1NKmdtyoco
5Rv7wq2VlonOnM4z8ZBNQ/Jra4B932i4PDe6EvEzPbzYmhAMMIplVY3iXGUZh5SmMe6sROqnWR/g
rE/jJR7s4uqpCjcXS8Tg5hGAufp4aMKlFZngpr0sZ1uzgFg3SgOfPNX7RRuqm25yRXvu0N+jJdh3
tGiGTWvZO4PL/qGGPfWuWg4bW63vk5OdAbsj8FCgWljK3kg6m/dDJuKdJoc7cMfdSU/cB6U6ib/N
RQ+RtQ+qMZu0A1A/6g86rkESPWQiBsHmzl36V00rdhwKbsQ59Z3w7myFq4u5naPHkD0mVnvR2OsY
cxtsgsK+GfS9bSu/+dk1nncss/p1XmP5TB8fpQesdG1HmQHimXcOdboR5+y7Yv7UYmba2iDtvwz6
mz0EnL7nQByaUWkPox8EWzE0MU3C9js3w+5iNuW007oW2SqPnePMNuPVxjtOKMrrKJSFU6AxEVOJ
fPLA2oQY+N7xH8vt4JXtvmDzh2PxtPTpfV/2SSh7trEspioBn5wNesgEVkK4ycrtODbpLh+zKbLz
rLuBtSyuje/E6CW8zfOSW0fwKNOVXtZlXyHQbLBOt+h7k/tgtwrvpjUe29kW+YYW8PE62v0rp2vt
oFGRex5tI6n4gtWdPeoc+DVqTTbSaM3scRajVd7jHjuXrf+jlrWzdd0leM44l++gZOVkC1LxOKOa
XRguv1d2g0aL4h0uqfHdbZQD3qrV+48Og8SevEmzaZvCvIuLqtzppsMlrccFfEO7ILyTFI8zt10Q
lNzvYOLhYvWq+WMZAvLDgvszAzbU6XmaP2jJw21copg/Yb9/qnSXZIVflZeabRz5uqAYmsfYESxK
mjEBNGDaeAoKR+m4I7P62OQKv39a9TCFmiq49Zn3q6n1MYpN3Htj4he4032DMw9JJupG3AradGSn
xMzjqB6cjLNN6mo7YyHv45t9uZsTDJbc3IkxTsNrUsydYVNGWvWnkorggWeLJn/mGhZtOowzQqOU
MJjuJW99khYZvbWHfPCz5X6yW/c68cB+slok6jAfufSOLVvwb52RtqdkKecuhMjk/Oi5+tPIgA+T
RIYmPJscSuPdJDFEcyMYaE81fpeTnAUMTZwn8UHI/jiTVr0kxVA8kRixvBCRxNsnueDCDZYxeSdY
3G2VaZcHI42T7z5eqiAk3IX0Hc+9fR9brYHPxW5IYS0j7CvV+Hw/LKXA808Lwzi3dtQ9W4d+Z5vj
Q6+6DlS2KXViEvOEiM2JkiMXcZYphPkwvOlYib/LVk/feSazb8bs98A5sbwI5QS/8HQM2KgKYd1o
R1FvWl4s51L3juS9iy8KG91Ph6bglBOvJQcs6IozBcnIo1OrY8ndNuowGs2buWj9MgwE7yLskMR/
HdTs3BduV3xqmZ5x0hlMAsZuk45XgRfoledIsG2mhePuPJtaxBqlEeC5DLjhbTpNP3MI6DY3o5iF
AqDUlfDAtF/OifaYZi5tHSZlRe+E7/KzVTSI+Ur0theZQbkgNMn80+5lfmNmfyq6YjSjdKnEMTfy
kv1Wwpe1qQGTLtLC8dmNnT+HJlnMku6+QH9o6HJ7d8Z5/BJ+Ij98G4d4pWUBgfM4iCFVyVk7tUam
Hsnr4vu0ulb7aeszPDac3hA3yHIckMOa9uBpY/MRxFPlR/MihmNj9BZ6TZrJGUBVmb1JP7Xt0K+t
/pbhclj5tpZkudMUR75zeEMHU29mim4nynPyJNhaXqu/i6AXNgYWPZ82htKc/VDY6U0Ejb7HhOtF
1TCA8EVAYANg4ZgKHUOVkZWbgP/HXp6MpHcBAlPJPquhY3nEBecVzbLiaeytxLEUEa6CcZuQWwuJ
31+Noes3HZaye6ipHEM8Tkj/m70z6W7jSNTsf+l96mTknOd0vwVmgCAIghJFcpOHpKScx8j51/eN
dLnKdverV7WvjWuwKVkgkYj4hvttRjepjtK1WPnJGSl4TZukdVdcj6RYA40oX9IJt2XbkjFmSSip
5580oM37QB8YkzCcD5a//G9uVOTvZSjLnRmhpm54xAcMUQJT1dZUlnki2mQ4jjEcgnt/tty33m4y
JKIKQdsI7ZmWoTmZH+7QRHdtIMxnH3UjXnm5OVqrukG+LEqjPJBv5b+mc5d6B7L504399rpfj0RJ
3nu/p31Q2NUb1Nn20faRrNbJaOivHWvUwTbUh46fJV12K3wi8cOvGdnbAkcPtRMXvuCFW17xDfnO
kTuziMa7jnjPnvCNRhWjkTVEIDM9JmF61ecufqkL9xJOPb5nDoDW07aoi9G6mFqfXRVfv2AuhJvQ
z12Ysvh0D2TYNSaTQndfc22v2HPorQ9oaAbsj7IKnwtrcmH2sP2OeaWZYloLGesUNMLwIltjRkyd
A8JwGV6CZbebuTKzXafr3ZlNl63TNfnPKDE6uvmd41J2BxK36vED1BJ18y203eDDscqACSGdEizf
zVnpbFZ3Hxkj1FyOWQjDgc2NOm5C+qdhaiU/KrSYYtWov1RalPFoMYf7ksL+9yxg4zy29Wivx7bG
/SDozk1FpoQfcMe7I/Dnr0OdMyITqCePkpjcFU3dscbu1/T6jTB9kTjgzSoirYN1E9sIzVVlONs6
mOe7VBPVaSC6feZPmJ0NK44/gzlusUpbgptVzXyrbxbHOmNSnE3P7xVbAyREDPaVQ7N2r+xUaT+F
HjfH/9yS/8VbMmGEf3ZLLn7E7wX4jJ/LL3f88X/+FwkI9TW/X5KtL8wiYKADvEH6dski/B6N8L6g
gHECI8esLrsqGP37HVl8cW3fBRjr2sL6DSrz+x3Z/UKhBzCFmgBZrtb/TlbCUrftP6dpBctu/Go+
UWHStH8dquy4rcVzNGqqXjVu6IFm73ZCqZc2j27Q6cfpoL4tJ1AIDB8P6zQ0xNmhQHJPVNoa1wK2
55bGSv/D7UT+MGMFvvl6Qnsr9FOKUHxVvhnLgJ/hYi7ecjswqQII4wGx3CHVwA3tfhbI1es0ydHn
4Hk7GLTek0tV4NaMXf+g9+952fCe4WL53OK1vBIm6rX13GfFzIWkGt8BZecjvEptmjldM2+9Gf2C
c4TZQlLcVk6dfkS8i8nNNTmFlYkuKUrgFONM1SNPABb77lWGwuTZwoTSxm4MD0xh6blcKU0/ge3g
Jea+9lX3FvhsdDbx8b0tH1gxUYEic8x1qqXlp6onvpatPl86OenrzszkHUj54ZNKe/FqQXnjXOtB
oGRYt36cqiR8NyKDm3FilBBwOszlvFqD9NAR2bzhMlNfu9rmVJKN8CDJU0sfXOi+cXrxzHx8BCc5
76qp3UyyPLruQPkQ0uq6Lzrqnta0H4zYveKo+sYqMfPPUWaC41juXR1bVEe6XO2TOeFOxFIynz1M
5oEJYpFRqU2Lk92G7iaZ5u6O+iCo+hke6KmfM6ooxCx98p527Z49PTeKNans7NnMq+4JkignqU5Q
z4ciIl5iEGIvrVaNx2qw6S8WvnYeZgRyti8dOGKTtR7GYD7Poei+Z+lErlThJ84DA553kQf5gD2r
GdgJc38pSy5W9NBbRbatar9INsXg1wy5C7e/5zrbkBOjgfReLwoybT17H7LqTg43GeRbklDUUnWb
uloxaB4yAOAX4kD4PL5FVWp+N8I8fvRnm9+N6bvmSaDj77o6su6EwTw9KYwyOnAVRvadsFaMtq8P
wyT6WxjlIGFoGb5qRdicTD33fw7N4DY7R89ZkhHm4MVbIj7+DeGH2QLSOaX2QlDfuUZWzI0J2qhW
rHw5p58WY9o+ogVeYajP+ca3W7GuiTl+5fuYYgLK6OqOibyXYopOLoatvxXlUJ+joLA2mjOF+YYf
Vwh9Zq2rfn2J+1Tz90UZWvd1b3XlNirz6pIQAo7hmOa8y1/GQiQWVb/Q9y1enpHWBhZvH+v8R1kI
Eqmr0e+nxLnJ0mel8VygghUth0+tnbExgCEGPeXN2zT05nSKAHod6sG5Ci/hyGq5M2EbLmcU9fyn
MePdQ360y14DIsrgjQNOT25n+XKdVka5LnJpP1EuRaqfYtGuFbIfbzDWLxbX63NrY5Vb1C1ZLZaY
3OwNbP2gJ4ht0tpueL/cAjmifhEXz76Ny3UVoUJPrm6My+1viKB2+pM1S4IrzDg5hQ0sv9YOQ9c8
WxyhH7XUU8gZdUM2uSr3YeHcl+r2nKt7dKZu1FWXT4+oFMaxU/ftUt28vUlmj0NjNrfsb/dyol+m
n23dim8kaPUVldJ4Jerokie8P9QNX+eq3ycnSm78SqZWQ4ZDDfCRBRylD9gIBUmCiAUWYEXHRvLL
KDVB6QoRfHUAQ2gNQqkOrtIfYoQIXykSpMD8balUimQWwSFUT2uaE98LpWUEStVIpx+NJGA98xoG
rX7HSjICCEt/+k6X0bdxUUeQSTx3Qi9BOME4BV0WGzddaSo00J+59j04Q5JcW2QXXLdxxVy9q/SY
XC+f+tikBDC6DKEr4YYWer8xFjWno3d+cCMcoEmJPd1vug8KUB0LeWpMedcqcWgCq7pnxMvaCDml
rCswk4whkEanJnStmD9eNb9Go5T3/jhYOwc3y+DH6M5RspQeNga8HiVVwQnZk/EmUc5Jd91O5XyZ
FnVLlqJfeUryqqfJv5lzw3gGLZnsMVXimOM3P9wy0k9pHIq7mZmcrSYHLwdKMYJc7AtCMRBUpvCr
i0+yofIITFjJcbMS5kInnC4wXYAf9aL5Nqdht9ZsC3XPjx/tRqt5SyDzNaheKClIf02e5U99FgSP
thIGLSUR2qU+4bT0dz53j02qhMRsDN4jJS0aSmQ0lNwYK+HRURIkrb583ZrOSSp5kulEnvya/t1W
0iUAKc6myQjY2OHf1Ejdz4Grxc3TfBc43jjtzGn2KQa62S9HBsVlHrZSiaVDa6GbNkpC5RmjnZM2
Rleto7y+kWIja6xkV7aAzLWtpFj246NPa9Fn/VJKxpe7Gz+E2cUv9exKS9peOUrajZXIK8TCz7Q2
Su485koKzmCwbrROycODeLP7hvOx0NKnXInItpKT29Kqd3LRmHkcKr25JwENiK3YTYsebSsOgJKo
NaTdky2HiVBMPB6dlo/IMZ2do5bBGftPhvi3g+3/6CaBW/6n5+Ry+MshefmCvx2Sff2LatFzcv7T
Cdl3vkBvdpY9MYwmEAT/OCGbykVigZmwMYhndIy/u0gWYWJHnbkp8zHPo77qv/73n8Dj8i//+4/j
DVR8/3xCBoGjdiocTu++jp+0MGH/gOWnYNL2hRtDg6jz8U5LJOCW1EhvI9upPyiozEf8YvQbKuZo
Oeki6ywCz6L1BK7Urtx/UYC49vdXy2yD53Tm7X1XK7EoauMkPLK5g5oTFDz/11StkZZY3dly2XSf
J8aGHjtyrHLVTHkGliXxsh+9Eqn6uvOeI3IfiGeLitUuilahxC20mmOk5K5eCV/JooE5ix5G18f5
Qbgv+1mgloVU1y+JP/bgBmrrhuCHqtb1VfCrVVIby8P3adYhkyNCJ6+zkuRYt+m/05qkqDvJ6BfB
TnQ7WBwkVJvRvVLNpyUwTqbknR6O97PbsHjhk9j75eaa9lgWCQkAlzXlS68ZQPIXzTBEjcOiK03r
bERJCtqdBwZ61dBF7zNA2EPmBHJLEix6FZNJBM70cm8vle9H4czJniYBW4gTA/oexP1DPGThnvSN
d7LxMvZ6OVaMqee585RHIfAOKIyZu5qoNtBcp06PvpxyytkUVun/mADDVLhqjauvEXYwKPymXRtB
Wp+6IE22iRQAdHCPCNrULPk2uOGLs1jg5FfeBRwJHDkoLN2td/P6wAJ9eYCdIbmFBF679uM8K9cW
/M+nOhvak3A9dET674+lnxHK06oiexBuwP6fF87JQ+xMqpNju/1LRstv5XRW62G+lS4awjyNqsvu
+hw7naCFYzEk24x29EMRKWFkjBHsTKeqN9YwAnbQY9meWuqFzFxGY3j12uoXfKqJ3lo71/FGYxHi
F6CDzCKUPmfDKrbm9rNoOHYcgsDLnik0JcfeLOrt7E+JAkg5/XvFHOjVGZgLRjm3d75mNqzXmbW5
E6XPxWsEd/zAMHuYPNc6kdT+kSo/HRccRQyivSv6+DZMbnTNDX8S2Q++u8ZgraF4xby2o1VEmjzr
rCGUBJwdNw8uoaz9TS5KYyWstn8d7MHh/CWMb6HH70GeawPU98mSY7gdCqqq61aIvjgEhVBxQ3Q6
HDFn3VM0PSFgpzuABDlvb4CtU9kA9GD0zi2QahhTK7dSr/J13Ypgl0SUqDQIqgTBfOIPoZlvslTc
Ga0v7iE3ESwurRuBkEM26PZ5rqxgPekNyr5eTAdMSV73DnBITu1yCjaF1/ATaBW1ftHwQh1geR1r
VMye7mLiPScjb/JtjPULGswfzh3gmc1Q5+m+trE9VmCz6jtH1t3JSLr8NonCKlYxtbq9kxTtTfPl
4xzxxkzL5BfRk29C61ZO5qU/WHKyNvBdIDlT6v+qdUZ2yYbRXcsCpSoebfEEjIenlpdzPvPRvFe6
g9UUpIxhJkPoQSEip9h36dW0imffarJ1CEZppZXmIWnDm+MUEYFfkawDknTrhG1re8X90zs0s5Ov
x5TFZXyP4SsBsWij46kdXbjvrEw4/d4zEuPmQFXa8HhKt1wa7CON5xz6l88ZM7Rkd29zTt3WYzKe
pxxL1mSS/MXN7WQTpZzpR1BjJ7dr3a9oLN1dNTjZyENK8kzhmILiH9uB9qnDdEDkSMP5QYcNhvUT
Jte559mYhhxQS6bjD53mEz8SjOduQxmOu8CYmX0odGqvEqJCGKf1Je+IlbNMpyRA4113uNN0Ifmh
MQAEZPt1u82pBRL55EV5BJyBZDJja66dMOPVNsyENyqHMP8zBoHJa272eEzx2I7riGvhOcZFe0ik
N/zodZtoY5HOXEQMfat7FcVFy+12jfTyF24j3jVqQ1T3kG//S+LZO8PutIudjsWD6JmjmLJQ/8pE
Q/ZLTlb76rK0++SyMvdY18AnJzzSXVahj/Zz6x0xNSmXUpmEQ+4x/7E2o7h7ii2zPHmRNN9NyY+0
adbDGR+nuPdEJcn+2OJBShsKZIueIZk1fQpFThMz10QMYMrnZM5l7SztLDjokZ2s+0TSroM8vQuy
8EH4cF9iCghXxilcjxSi5+IxmaEiyyOVBG00n/SsinY5ktElNrLgW1TgUa1A3Mg3jn9QZ2atj89G
n8oD2dGaUJgYP3IWi9YzpbmvZm8imgeJS/Esi9twxY7ftzocjPOMMHtGOFcjrY6e8PNWRzfb6cST
EfYGW6ZJRUGn5ppE6DH6XtWVJPTrjNeInne44sFUH/hEH98jeD5f6Zm4ctU5jLoNA61m3bBmCiBd
C/OlfWw70oLcz03Rti967ajD7cQVJtVfJtpExaGEPhh/t7gLkJJvS6fjkyjVveRhLqMeJI3Z5dtO
OPVmMvuR2oM+zj+8tne2QTpxDW5iHsERC1w9ccyBSeJo6vaDnn8dxhF0bzrAPg2RdfhWZhtQItmj
qZQku3BPXahVmxpix39AGv/a+ZgjKumk/z5tdccv032m05+E5N++6HchWXyhAQX6wFdH2j9QNDz/
C2sdlsUHFaxirpj/OCWb/hdhGUy66qASHAOe8d9PyaZDeAuGBhhogli6+qq/nIr/2SlZcNz+s4xs
6BzTPZvDMq1Y469sd9Mxo8YDC33qBe9P7rXCfRwg3+zMgQ3KuOZ00usfiTagAtYWkAAyhj6R4L49
EKPp92YNaxklhDzpH17G/x96w/jL+Z2ZN/5wNhu8hkN9S/+rwj1Ke7JTw3OOLpWx8sHnY+PBm4lo
ci8O7HQlOuoowtKsbdzAPwzR3rSqZwGXj/fgh1cU4lHSWaybbTW5EC2YeQwv+PpDu7YiKV5zkK6g
SbO+gmBJfhSwlJ0YOsVc25PaxnJazTsQ0p43lp4WhLMEVF7Mz9Jy0+ZbBH2YN7qWJxjtdlYT45CU
7HluIJ0gwvonCm1CidXJdmxgE+C3UUDwB8+8Ag/qvvkl9duhqfN+5WdQ7ajLJPVHPuU6KWhoFIru
UCWwq9ERkCoUhghKe5SdWrovsEbhEILcJc32SCqVOGY4YFmB9g1Cbd/Ec3Oqw0Tsu86Un7EeNQ8+
5O2Nk8g7uPenqnTkV7eIQWf6hLNd2bV3EAh6evI9YAd3RrHOUDwvNehzoHfRToPQySduJ8qbZvmv
ukkxWotlWW7mNItejCCo4Hh09nCvoZA+4nkSuHGjSW6HuB/PoTs/QavNHpqJ1RSWIQqwVIMjwp2X
atZHI/ME5FQkV6Nt86zt4Ps6N91LqxvLsCa4Ji+/2v3sqvED6F/3fAhL81sSYhuOQosf5rneciwz
dozODF8nJM5VEeG4jU5l77MsL3aV24KpF43TrSUH7u2Mq3oYabLDnfW1lTnrYIz1CkjV3A5rUYfO
I696fec5aQNYIdNPoTD9ky8c7xQJPYOfXujZS0Vv5WvpckyrB0FOOKVF/1TLeCbwZoxns2c/O3Qj
Z4fLW29xCsCBGHDU4Og2WyMuW2fF627t5nrAbq/SKnpP+bFfmUYzrlt+0lazDIeb7vbDxedGdGcP
sttivfsIqVG2bTXcaGOITf5ArXmL2hwyvj4bq7CJI36kKX8EOwgDcqI+bzkvAFqstTZm2irw/G5r
Qxt/N8IkWueU4n8aNI7ua0I3G9AYzYH8D9ZRy3n7VRrTTKgN6e9o9E7S0Ko3p2g9t2R69n1p4Au4
tgRWYNS5a+AEAHuiQ+BPmyzMwpkIXqB9tUeJuGtpWQtwsRGM0dtkkEZex2Pv4lqvcpFF55ATHcjz
gVePDbp5bfXq5tZHu2wybBDYXmB9YjwPDuXJofk6D1VxVmRAXr65Tu9tfLCdWfqBooCod1fk1RjE
mRX0e06IJiX0lu6pC0DL3rtp6RxTLGc/GuYPt59B9Q3SOvoU4MBi0ErcVEIrLzwJh1dKAF6zqjz6
Uas8nKGipHGT4hwPxTARuGrctwIeeLexSTFBZQCt1F/wVqzjKDibrHK0FRznvo3y81RyFVn5U98f
S9hkQNN4iDAywUWNbGXpgJCLQ+MB22R4dBqKEnS/aF5ynZfZA8DGCovIAyXPkafUOEUKUnYVJ/SL
w+PgDhxNRgEvyPJnKP81WXSzBQ1NY+c+UI6CRtFFblzlM8TKcXBLQ8s2ooutja4cCWcxJxrlU/Sz
3dwzdxtdY4Ol8Er5GZ5yNkIQdZu8GjhjLsaHLdP0Mwlb7JB4sUa4SjpXGU+Z9kK4FvNkVD6KsVgq
7mKvhBCbm52lXJdmhtIz5WJ4DT24E71yZygY1gcO+ptZczSY3crF0RdDp1XeTuRTI3aHvnkCQID1
EwgnehS2YXwv+zy+udOYi4NsZHi1LKsi1gu/LlsbbiTfykkvQP+QXLKph9NaCJT7FNV+Ta2Cuaf7
Ft8PK1QMdkTWw0OoTDk3Pmij8rLsntQZjguAN57vWEMafM7adeQbhBt+i9DX5zOpMHOXTCZsuNQY
t/WAh8azYTwmylcj+ST4Cz90POd5k6coyvBAYfGtOtVN9RdzLlE+nVgsO3cylH0ncfKQzDn99ZzS
71rPcZZv20HzortcbzQuqSZ/yF64Wxk5n4mJ+Dx4VkXdYzSf8WSqY0KM8uozWcnvmn8amFP8INqp
+TBq1RluJY8cG7LH5AX4jqBRAS+uHFujYSZyprh1mLNVZSWXyS7dvVVqFV8wj8ZDwRud0JqyPwlN
62uDoOkGKC8eSMNfWKvT3hJlnzaGOd5Zdg36B/wn9qrt95+9slxTcAObhpTXXp1LPjJlzfJTaptr
8iY4ttbi3k7KyJVlTxKDj9PmzvSUGWybEa6vkAS+t92kkUfGJPLN3aRWADYE0/RnJ2nbYlsrW5lw
Mw7ztLjNoaWc52RxodvFkfYid3gvpKfsosWz7pR9DWU4fSYKwLcretespH/QAHrfJt15SsfA3ieL
E25SqZ+p8UXmvVy8cuRq4yFIQYtzxCrfJmWqt8pex2/m+0VLF9cduHDxZhK25NfElDeUPY8shPfj
KtPeq6U4Sx5nvIuUqR8u/j7nLrz+zGu5wriukb7DFHyVmqACOwkTfzbxq1OCQ+kiCXkawhBeebSm
7kWbTivr/DaoHHmpEuXMd8QYfCpmrhJTVMFU+ryT8hb6CvRpe/Z9ZJcRoQDeYucY/dfeYBhgEwxW
TMTTzi3cPNX+DVTiHR+t/vD8mhh8M2v+ybXkoA6YttFsyfD63FlVfL5RSXpvCdX7Kl/fLlH7Ks4I
KY/aTEPeTZL+XIuZFNKwhPSbJbDP8aT5biwx/t5UkX7SRWRml6A/Y5eE/n2V/++Thk8CAjlFfUhr
Xs8NfKko4KMVAvGqzEzvidE8a1Mu1QJLtQy8JuVBG/lmtfdKJ0vum2hKR2ZW3Rzr1RufG8qMN6xh
962mqrYvHbxaAEwpiTwRqHiWWxf7WjbIuVqYQ96NxMxHBjs53T7OK3E1iGLmJ6+KfWLcbvXLL3Qr
BsYY6kfmwjJ9XVDVXEmzo0Q74mOb7Z3jTQay5XLI/g865X+wPQyLpsQf7iP/Dx/xofkZlsUfL3V/
+5K/XeqE4BrGdKRwDUCHDmNVf48HCbW27TCyA3qOxTn+qX+YH84X7jJkdogIuSz5qcvg3+JBFrdE
DHqXoULHgqjCje/fuNYRAfrzvY6BMkatXNojpJdwVP56r0tx/9KBpPU1SX36WmsTZRyZn6PVgx9U
lsXbvW4k7X6dUipePmsyq6GPnXUa9OUwXmpmHquVm9YE+Ns4VSdLL2Ms4bvt9VpKaZnI3KpC0Dpw
DtKHa5vV+o9cJ7CI+irp8K8bOiYwnbgwhGiVhCJwhEufR0Qe1ckJ3K74ZULPh9Qla+9DM1JI3o4X
ntyUondZhgRDWze72d4Q4AeU8wY7Hnx1Gpf9ujCdDia50eQoRlnVwJelVvfN1bUPb3SiTa7oeIXp
uxcn6uNjPM/JeUwxVbhKdm9D0hlbS698Z9UUTnRrXA/zWJbjdIWZF/ibyuCTY2uCoyAD2SGobWWd
VRtfjyLACqA+OJqtW9o0H/HQt98kwKTkYmMDbGRcuQ9MGnJRnuKRil7mTAjYLB7wnPfJYVCfbePp
ybX5INrwnZhegqksVqpFykgIl7cnnDN2uWWJH4XHDmQ+Jk5wN6P9vPAUEwjE1qgfw8Lst76TUuHU
RZKLncvsLB8CsVl9n5qR8bKQ2q9COecnTcKFgIbvsXaZB7P34KWDCySX6aF6lcyxOrqP9DE2CQf4
BqqaO72icdXg3xp+stZG2ucjTYxo3MR6Z6KpNw6iYBL9on1BmRol9SBjq9sNxGI4+8bdhpOa+1jP
1gh1GZV2Y0xt+Yhy3JymEkiEntfiUePusS363DkFFmUstC7b+QEag/YRb5qLCyecC+dEBSAlQ8RO
3q4uOKBYIZ+X93rR6W51osEy0NP0bT6rvS0vBAedvI+K6mqBXSiPQGqExTUEdZbOlRdzrO5yaZFR
wjSKV1EB+ChdVYI8xiafefUeOxnyvZpF7z7lVREPgINGv3rOmp6PIruUxJcjFpJWjU4UZ22OI+UQ
xyBKfErKoPHPkPSiH3lNEnudZC6zzJk35dq5t+NQwp4bywswB4IjCAosgxfDuwEwmkiHHDrQEQX0
ohHXyV7L0igIfyNmRgcOqKSJfd0iBNaKibP3ANWvPehc7nZFGMdXkHOChmsN9mFVNkHOOzvwXGLh
1RS3GzjVQO4o+Pb9eZ7jrt5AiYeOF/Hd3FR93ou1XmgNi0ManKCrw81Ikmnocvd+nPMBWIKt75vU
7TZRaNImZjhNUxjvivul5sYXIBBZjzoRZBGnZ4DBmzzzhhcDeWDf+mMNJ1CXt3lsk/nR77RPjes/
7ynNKce1R7HPvrSlKVlaIZjQspw0lS9joJB53tRFX+fZM8q9Rd+r2PN/JqrXXRCr5Uk0gS7z4Uob
ttPW6zjLDGef6ZExAKkkr2iWVfNr0Kxvdud4ZzO25fzUp0ZfIetEojw2AcNUXqVRrZJSv58Bujxa
xcD7MbB8ijoJIewVi2AMUk91sp9H0zslmjelG2/QxvE8iqG8cxHTZ8yzJt17aEBqIzmALcP3qtyF
1ZxsjNkyH7Vq0oFwdmQuGDg07ko83a3pJZq/1eIqB/cZjeJrNVvxBvyOqtKnYOY/Giab3hO91b7R
wOtfpT6iGuAAWbzXrLHfaGAwtrlwtPbYhGoYAVaP3DoRQ5B3/AMW6BmNBt7KNhyy6yuHaDOdLqnZ
Rk6+37UrfZVMmUVBq3MiGoAOxpHt4I2tir7qKRQ1ZrkNWlLRWFZ23ln3ZVF1HpH0IPsqptB8Zs3n
u8WPMMxaOYJN4ihjHFhVdx8dgBWbsA0g5xiMI9B4dvVtAUZ/C7YxoHcDQOBGPcq6ZLnR9ascQVHc
D/SE7ucWAM3eq0vzpW7HF9hGvb9qYU6IjYiDDA+r11sE+j4Zu/ucK+llnoSkComlvi75/AofucQF
xIgSK5vm6ZCbbuviWFhQJYMTEawBs5cFpd1/zlP/StwapVbta/73Mvk9OdSya+I/nah++6LfZXL/
i+7bnIBUXOQPKrlvk5tm8NWBjPyPg9TCpUb+NlyPJrspzL8fpNDHweLBrQNcrRM3Ytfz3zhIkTr4
y0GKJRqDJWsbCJnpmsjR/P0/pEgaFn9qVck6zVCF6ANnodMDZWe/aaJHZvWvepi7WMB2eYtZwCN5
hZjIjoAu1kAhki0FZv0paVPgoBjG6UPktUm6cjS6Mr7b7NmtM09tASmM+QKsftsbPXNVsmTBgYGP
aYpogGj7bCiJxXEcXZVGdq6iJr0qN3SfQxvYBwQO9lQ0rZatUKCZjAA6+zmOmmNKPuaeQDMDZ7NE
VTA75hBX+eAZdxSGh7cUzhJpSZd3oxl10Ks0oz30RRncykXsj5Xu3+kfaTqzWpxm3j3lxMAkLuK1
W9wAHPreGYGvjs7DEIyM8kGm5PrC+g7L9FNgHbBVtc+hbOpfrrrtcMn12D7IOX6P+HvEBLgNxVHV
7VuT8CXkmuGUpJydV1OagOswE+NnooOGSWxil1VWmVT4ptC5MCoZ3slq1j6L5fYlqtK4aHNdUIir
X+iT1reEQt4+jbz+W1S17RMTY0y2ZdrcfFiBG740Wop019kWsQxguewjFT7JTq84ZnpK69xQbYwI
s5qGl+pp1Etlw7CG7w6HfF7kIvvAg2wPvip6CFX5mFX5I9apr86hfUqbtjo1qh5SBRlnVhuWrjt6
zE9Cz2FfRAcd3PD9pFvCpgp2Mq9Sx6+myieGNLO7iSTJGkyzwx9UVVWkaq0I1V+B1x/tRyCxX8vC
ir6nbawWWIvKxIgc4Unkjp2IDS4J/Zho6coA+0+PdYNBTFiXLk239GoQ2YJdpDYPspDtMoxxGjjZ
bAo+BVCZfsVLRaeiwAksLJOIIUlUXGMHK9+qJ/cMEI5dTSIoK4My3n3VasnZWNpAMFloBpVLS8hW
hSHAKAY7b7DnPupxUEnlynagqlIzKis9P8zVTGi9VzUkNpV4oOe2/xgGSMwIF1tW4fo1lgvzEPYl
zpCLClVv0lXRaVg6T72qP5E2GZnnbelEJaoe5auilLZ0poKlP8VnkPhRL62qSBWsemTZAIhzKl5b
n6HIdVjUzEB2Rf0GNdIAlIw8npILpjQ1tdNNkrD0DpaZwrltPL88xESpyDGp3hfijoKeqToYqj83
BT2yPjqn5vjAeUmh0JqZEllYeG+JKpZh6dAxG1XdjBgSzbNpaaFZBJeyTaXKaZ6qqTEu739rYutD
UxU2p6J3ITpn+mlXDQ03KURZbAMvKAilqw5ctvThClWNQ+KgJQeqtTqC1Ww3+dKigxXrn0lPtZuq
bR6F9Gjb1THv50ZV8BC4ra2nanm5KujNqqo3QkDifIJbMKsiH9xB92SzsIInr3p+jar8lUv7r1FF
QE1VAhlAim8ADG3wJaoxqC3tQctt9FdDVQq5GoDzWnqG/tI5dFX9kLRAfUmXTqKv6onN0lREd0m+
p0t/sV66jPBiumOwNByZNa3e+qX3aKkKZK37tCFtVYy0VEWyXNqSAN7666QqlEk6Q2ovl2YlI+P9
Dt20fnMGipe1qmBOViHuzaWX2Q6qo2naBI7Xah3nIaI+ztGPovjGiQa4nYY2GGuhV09hSrjQS/3h
Dj07XudZWm9gvJws5cv3yqH3lVffK9c+Uf49y9P1fsTSDwu720vl8seL4S8X819TOQBfJQJqlQ2Y
l5hArxIDpcoO6EuMIFOJglEXKudmATQia2A1VMu/z0sIYXKtgkQCp1UHOyn6La3QLdGFYAxA4mHv
PYhkCHYEfJubk2f6zYFRfeWxOO65Es/HPhyebasobrXvebdOyIBcdswI18DQ4oupNV7HIGkxnKIp
TJ+9wuEmKQfeVl5cFVe9G/MrSgh53zDnEhyn1sUPc8hU/WywIMO+NCxlz1yP+QSa0vC7HYMOdUJo
Okdo8/X2pXNSStkSTXElM61SeqZBKQPGH4Ig//pcKQz8niKY0Rjb4MnyGueYkJD4GnaaR2Sa2OFP
c9amB2bPulyxgsrzpE8BgeaqeoLoRpCSP/hnBTryOEyNDQGJ8MsY1PMbjcKxxDTT5kMowJomFiL2
KNpuW7dBt01bm+dRF4uZCNnsKoor8LghudYZHR67NsyHoMyktZpEGtwG2pAl/dZ7dpdYtSwolfJe
68pryK1z/3/ZO4/lyJFs2/7KszdHmUM4AB+8SWjBoGaSzAmMKQitHBpffxfY1WZVrH5Zt+Y9abO2
LEYElMPPOXuvvZzPR12OJniRWR9YLrx9UmsI0ynMp61lDfIOpm30A8Eq0aKjATJU1yONdyna6TTN
3nRHGNCwV5NSxx7j7BcdlPltb8r+wPPkgr/rSlzDFRkGXCIaGKt5msSmTYgWY9qq6rsB8wu2r8RW
6yUmggSqWBySOnNuujQPUIOq8djwYiR20xquC+V/F+SWfjcbGweUbGT9EndZ9FVQWh8bhgL7wo4M
HycHSw23X0SLFNOTXNtCeEyvk/Q2UGxBmEWgjm9N99UqY//Gmop82wK6wDbOWBy95zDIeau1ZZUP
xaReyOqBa9RHflSda/RzS+nqWyCXoPO/xkaQPkiESPWtqyGcHoDL1AZcCjeVDDgRSV1ZLljOPV2G
ArsnI524WvPi58yX1jw96DrEgWb7COoj19vRIlrQdoUbgAlbcLVWmZyJum3yQ9ca0YusbBmDTOcR
X09WCupbD7MO3VWKXnB2L6ZJ5dLuyzClcXLilrV0eoLZ4RrNG8bRV7a943MK2f570o8WLuLOe2Ty
XJ3qOn7Esjttc7vOj6icqrXXYacm4u3ezWb0vN27E0dvSeu+ekCrvtllww4CuV1Ip7579RQQQ9fz
s9ua0PrBoQPBxbFWvq7SY5G29bs9S2yybQXQYzXUEB9WcRdnB11O7Z0th5SQ2s6JGKlqFYaPPo7d
bT5b8100s99ZtSRg58bqv9XT/6Z6MpXlU8D8/6unq7KDxvvZrvqvv/p3+eT/hvTbooVs/0s7zwf+
7ldVzm/AmnwhSbAx6VQvxdLvflXb/k1YviWorohypMqi+qFOa6P/938tPlAhfkK/D3+AQb35T+oo
+5POyDQZN6HExy2Abom+9PLvfyijCD8fOuiI+shiDXk7SQzzXpCIAdQurnZlnfjtSlae+NYYXvDo
EVcJa7MIToaOgSkxjUam7/GQCrfYgzjslwkn6bd074xHv8qZZUcVzJpStGpt4pS5MQuj+5loTK9E
nWVfHAstZ5X78ZrJS4Del37LBnhsD/MY5bAZClbPNmetZyrmPnRFN17/4ZL9B0HTp448Z8BxEDJJ
TsMC31rUXn88Awk7K2RTVXVE+DDeIoonhWLq1Npq2+W4+N2//j6q4z8quz6+T9kC2Ct+ChJRPxWu
lkHHP0zT6jgY2l6NYfZtkfmu44Bz8Otv+lQiL9/k2RZadxMdmWnZn45sRidJdelm+ClQIlkME9E1
SGMPqzp+6K3M2U9REtz/+kv/w+F5UMxQr3Ez+UIs//6HGyoRFh5AtBBHGldTujIWy1VDv0BuulGS
Jf/Pv02itwN+5jusm59OZqj8IS7yhPRaMcj0UmhSj0cXfwRh8Orx199lfsKfLedTeTytmJQhoGGu
+fOh0UXLojwV8bGOxgxNeYSybFPXebnxtYnfYYrGmw5x2dXQpCTlZGydt9Cwm398zBDYiNmCNkYT
BEPOn38GADZvIqYtgYxOPAdN+YlON8Epj8qtsDT++qD/eg+RN7FoM3waLcD/P4dDIduyW+0m0Erm
+a70dbNpDZ5gmBvEzUxNjD7cK4Dh/s33/vU2kh+tImRbLgJN8WldSsOEjEKXmLtiqHskIlzNwe4G
wmZjclV+fYyfvssB+419QKHq5PKaYrE+/fGWdeimmH2kmEfxjsduOHmMHoSeziHI3adff9fyWX8M
21q+i54cp9L3hCPNTxcvyVsUMygJjvM0D+ampIY6ZbHdm5tff89nkebH9xDnpVwWGW5X68/H1LlZ
o2njx8dAAPVnto66ZeVMBXLv3pYPURzn+I+xMrPhRM4InTkPo8uvf8One2c5r5hUWOgAExJP8/ne
QSqUxrVs+Q19EyLXArK9CimCLoE95acy9BFXufb0N+v5xyn8dIotliCXWa/NO5RG458uZ08jsJwD
Lz5GELyedeLmJ3IYp+uKPfVe2xXo6tYoRzay0xh662Dopv44uMX4Aw9Xrb9X2K1OgNSx+ApiyQJY
QKdgToy7X5+d//Q7JReGoTO7A3gVnx6tVNrBMHuGcRC2536bps7R656kMy4R6S3uAcwQ0s0pMTyY
feWQXkRvTQRbQIs9dmnpnFWrgiNUA/uadK/G27l9VCaQZJTX73/9W/961/qCsykgU7IjcT//VKGg
oYJOio+5EqB5UwA6KUqa5u/C9v76JDKY55LR2/X538/vxtiwOClGEx/LoWQkFS8dsCIt5Zl6TT78
+pg+L+fcnr4AjmnxdpQotxc9+R8f+8lvZOOMCcs55OZN6Af9BhcEGac8KphSqnBdjcN0NrvRezXy
ItwjsGn/5sSaQi5P4p9vV98GfkCTnU0BP+fTWyXTlWHxZAQH6gU9Hb2MifyK6ZxdHcOumu8M2xXf
ZESgdhx3EKamKiLlPo5Bmq1gv8ozEOTgpOgg3OIFsbpVUydkmNdZC7XMSvP5kkUNLse4tu7nzA7e
e0znX/wpmy+YHIEIq1q7i2UlxRvly3OvBQsuNhPrHuKy++BGlTi0GOWvIuBCREhUsfFoeMN8N4WB
3a0y5I83OfS5tywgm2ImN/bSMFYjgWIsgneykGV1KvIa4w6zq+AA9MKhDYjmJlrZnl72CCUUs1VR
EyAVwQ37XnS5/TTYdkW0Y/CRRQ3y7T3rW2fY5C0u+m1DLv2FoXYOcJylxdR9/K2LWLzLJpTv6Jx9
C+QB20bEQcIP10Oswm4HENHZD45gMwQ2u/nhe+gNiqT2Xv16gKSLt4r7jac/JLeM6C6KrArqsW81
rJ0An7zXGUf+ZkxVePGWv22QXYE5kTacrHhoUFjEmfFIh2y68J7JvtT1NNx8nN7AHVrC6iJxR6c8
Sk/l7GXRMTBD1z5ZAPsuKYwnGhhzlKB7/litIAeedUvzde0T2vy1KFPuyFKMJplrmUn0JWMNpImS
QMi1FiJ6dMbYee6gMxuwsERxuyC+FjMTnzPQBLm4LRCDpvbib1qogVmq1lO4V7PK5pUjeSlAz7Cf
/KJnPGdYnNvctuJvWZhbO5PR5huiRyaWPDTESwVxTnAOw1Z8NCmRHqKvRzK+nD7aeI4ZfyXEi6WJ
Bha0SMbjW3u5D/MFwOp3mN3WE+OWeDOPJhsYMy/nHVB17iUvb+dLOEwEZQeUXtOqbfr5DtUINoYF
yLfpogYvVsIBoElOaN6sSSozttAVqrdoCAXKf5+7F0D2eKsDrLyHLqJiwJxvPLoYDRfQikPanpEl
p9TPtmpGNjpqZ7wB117v4BOa0FjnclsTCrSejFLfhfQiyFrQxRkp/xI9kcUICxhLm3Yxn7pauHQz
ZPAYtt62dBZWilukFxQiBOYE0rtBvrBPYwKqa/IEwFwl9qsP/mVVOTku2glzasq0XxjjjATWom/p
ovxheJ7TNSyydM1ZpQMR9zdxWEynxFS7KMIFio+3POEeYZBgQPWgr69Wdc5hEbmm11GaZvDcwElb
S/hHK51XjQPiAo/lRo+gFmlfjZt+8hlNKwtGfR0/ueQfwluvrHMGVEeQO72u2mLYp4psAEJrFmus
cDeqgmQfq+i+iaZvIMneqs5otgmRF5vJxSxpoYA8GsJ/qRfiwaq3q2w9jcQHgvW0vua2c5ohINNj
jq8jFx1H6riPfR+cy4LhT1uBKIucaTxFWc4C7Cx7pNyart3Yti+ANeo7M86ak9HLlNmZe5V69eST
0pQDA1VEBNVIPn5iiK0Ok1kyPCKeOaCfFNrJySydJeTRCL2rTmb8oDJzbIH62JqfJFqA3Thk9A/b
3lJnrK31DRslJ9oM7mLj8ET2pBnVPyGgHR6mUrJ/KJvKDxFbzdMl9Zj3A4Hzdk7a+j+SnBnVmLnj
Eelyzpeyi77oUNwT5jrce8M0be2567bL+wcTZ1n10ZopY37btEhUPZ607IiBhq2AlQLE1BN7kdTH
OpEWbrN2hRezFBUDvk1GdisvVN6hSih9Ou6/Tc42b0euOcpLsPjVWldWfoO86YuXzfXGxPZx7RBh
CWcSHlOyaV0aqjscNthHqybdFUkqlx5xs3O9LnxuabCd7W7ctKRPnpKhEyBq/EF9tZOxoaNPqnUM
pFkbx0Lp6IR3ESiNNdDyn/ucGzNh70CJkBl3xMN723zSLwVol53I2/6VwBz/vXVGHMBuYVqPVi69
53GglbUXMmby0g1YscuO/Vgx1odqntX1aNQuAF98E8RJktza1h5at0EdaBZaLZqhTv+sLFRH1ZBM
p7q1L17uiIsKNAxaR5lXqJpJBgwLDzBMpu6yoA6Y6TI+pfhPIoc2hTYfDcj8a7PN1ImLCmBH4uLn
JYyXvDB65/s4i+bOA8J0HOui2fhlbW18l1sAlzCIHZLQ94MHTdfFPgjSL3ZICGloKreNDbHGTI5B
UlsXzmC8sZmg1X1g7nspubFVcXFpH6yDXFm3YZ2RIghY/opmH5OtapYPgazNTe4PJYoagl6yufHf
ugVSyEJTr/tmiO2135Y6XqWB9PdRX1jgpwaMCkSNAAgUo33dCb+8EXPAtp/EHndVNUZCqlNqlA7k
rD7bZ2nhvUriMR45tPA8IlIrN0HgZMfJUNPPlnL8CiJCd9c6xujTv1YYvHBX8U4nNEkvOll5TcW+
hEDABg56szxlKKR4utrqMiR5dlu5sr3xm3E82HUTqXWs/EM+zvo4+IWxwvbmn0tYr5ekK/y9E/b5
twX4727TStXPDnSEnesm6buSOZDxysMgBJmGXlKS6S9eU33N+eitrkvE7ErOFpJ2wmDeBAJ5wEpG
YxzDqmMv65tEd9TEpGwcYn/OZjCRKlLiDZNdvE1z6/vA3GwTdxU5Tbj1yAUKw+mCmaT85plFfyJB
Ce294h2IHHjeT5KhPgqW9tYUffMt0Slrdp3x1mAR0GnYrnvHq1P51JKh4zXf4XX4COGcYozeIwMo
UxszVuHBbgvKpNZ4r92ouIyysq7jQXZP0JP7b46O/dewU0wRF/oXnEwx+8iwJTwLLyeTPi8OhutM
J9w/kM1zt39GnBZfizSvN4bfI1dL6sVHM6Tmml0U9jtr8jZoRelqWHUA8iEbbX5VS2ptkYiLM8QZ
pvyBdwbGCub/WdcRv8XiFKFkSkiTM4MFu6DhlW1axypZzqY5fPDRCZBuQKDHkbk1rxGT7hD3JRpx
kstm45GRsdgpYu23FS+FvS2q9lShhPteURstWn3iVo2cs8DE8WtgLbcyHSVxibzKKkiB1uPBFXbw
ZZKW/WZYlfFuYUS8IpI4fJTFnKxNYmn2ozOqJ9LIemSvUn9FZxuznRRqjR/siY0xeQyBK7Ct1/eu
TS7JwhGdWV6DLOCmyr8IWYiV8I17rx/TVeIVBP55/s7B/oJSFe8yxv58NbI52XhISldmofGcU2Oj
dSWZR43xtzSzomJtUCcDImtLXpXhAWGqtevc4SeYYbWnlncIKLXUjrArb40E5GQ1zOdM0lhWuVxC
elS4xjZuEMTC7SyS0TxPMifA1ITowQdHZefvrQlpMCmo2R443vhQu8xgrI60aXJr3o0KBUc958XK
7XvrhChWIKGNSHzRU4aQkfaANfYMVyvd7auoRWHSYvCnxuetw0boBOrMASkY14Qut/Aj2jG5Ss1x
nxIsRvpsNK4pqt1NO4w3AyZZGMyje5C6jtYi7wndqatN1vk49NkK3o5mI1ZtllQ7v21+ttoot5VR
znvTjRd2n2LUb+Q7PVWklFb0DmZk+GDnSAow3mLX2ZVBhOaxU9fQzchPqV+HfGYoFpywdj9VOriw
5NIwQgxydvX8ntThF1Ope88q9hW7aQju2ZsS8ZLQS5PSa9U3k/H5mkFRt1GGKZ/KLAbxXlrfRmWy
sSLxa+NHFrEZut0oS+ySrsIP5w2wCdzvea8gEed0tVfSoCIIh657nu35+4jS2UXajBMpi4f1pKbw
WVQN3jut/ZRQ3Qog5DRBmYjtvTlv+zp+GfsRbHAbXcn6Sfh9h021VtuoiR88O4wO3kBGpa777sWw
tL8dUTsfemqYq67TUFRHEneQQ4qTtGPvxW2cAntD7fqbJhr0Ma5d2qNDspQTZIGM+xIYwxZVTeqg
ryV/Bwi2oXdRPt4jT1Q/oIMwoDeqjIYOcT2NL/ZWbw32GS9W04AWxv52m1l6+TyrTgkLo+mMzjrB
ucwUt+WO9oaUmShdTSdpV4IMCYbHIRLzlP3QwbM7j1Ao0BLxhkjpBCWRomnqNgMlZ6qIUyHz8tUP
0+C9CVweQL6VEYPEkafZilBIbYhaoSwKue07gnEDyPnhMtOYyi54Je3F2AZGTY1RkvaXxDMqet5x
X/w6mC6GQ446TEdj2yKsFteJIQkwatVE2dF5LEsDk1fCmJfqxIzH/mcyW8NN4pIeLsx03pkhk8Mo
HYJXJF40uUPHM+/NRpJJLDWVCH4g8Q3loysvbdQvJa9qyROKZNUQcNGzdcgMV+wr09ZH9vZ8tOEW
BjhBCnTMQhi+PdOjvoLt+dVFj7mJNdu/lRNVt1LD+ITAciwqEjJmXvlHK214kTZ2cLIjSVOgocj3
O48ewTKp+fi+vnKM7YSP8Ri4NjObFBKw8Jz85eM/UX5u3ZPk7j6UXqL2Hkl0B3RK1VuTE9KxHrVF
l8C3h5uBxDvS88Qy65kL90GlnExgwXIlorbefTSKq2xkjDKW/qZL6RtneYysNY4J6TQUPzGPhvRE
7ECxd3PZPJdxywHECZ/IOjLfNTRebmWcmS95J7jqiCb4zcOoj1oW4206st+djUgc5rQjc6uapnY9
Co6L7PPgsZKUfciuK4LRpqRGYVBR23dd5ulNny456vFMV4TmJYtBZ1KdCAh8pdNL0vUCkefc/2I2
rlQZVm80/0hfShM6iv58Vlo3MHIy1dKSqVEXrQp8ELsWhDxB0jW5bdIc5LlMZiZks6R5Fczp6eO+
M+Ji3vUJV8Cegf2Rt8Hgljx2yqTRWH5fBCfKwMpEU4Qy6y7rlnOSdUzZTP4v12q8Lr2e00aTcu2Y
1XyxChP59dKKQ/k2XzyyBG6ADBGiSz7RznW4A1pnSfYkA5EPzBL3IbSUsVVRTyJqhtu0XfTiIyLg
l1zwJ/jh9NErln8tW86WSZQpEEPbmy49H0QynVZyUw+GeIlM6SSIBFK1jxvu+8hge2169FlB4VHw
m+Co3mfToamUcDfZMx9KAEX5RiuRCGte5/1TSxLAlTKH4NSjTnwLIjGShxDx6BgRj7Bjd8wmidM7
BZVZvqVeg0W5Hg2EiE2fCTxsWWDeUxxwhIXl0v4KQoLm1z5Our0qYuuKukU/t0SOEYknsvTUlZym
Hhk/wXQtFNTlgbWaFHPAnFdvMNj56rFr+lPWTsGxpeVKQoaPMGBGKhYKOnJtzd8pHadnFt9vnWyQ
wJkxpUdbfS+Er8BRBaC0eh2cRMvVaduAh33kCQy6SdGxKNS+1X27DYkGu9i0wC9VTiSjHiArrGd3
Ns9ZaJk3uGmCk8xsfnlL5SM3WDbUXtiS5gdjUX8jl7tgqGjNyUrSUpAIp9apj9UckUbHXeLN4hu2
jOqNUaRBzENU8UyXWhI5SHWKH531UTmcKciKBoL+IHj3iBsD398u96AWE3eerIITlmcC2n1ohgfD
I+bV8z3KPgI2+5++S528psAYX5oyHr+Ovc8UqmFDrmmlVuE2YlvBmxHm+5XZ9MV1NLTdYywG/0fV
O8F7XI6wLCRRDiucO8ONEw/1bpIesnhgsiTYqDp4TVzURGT2wXHaeCUN7k1WxWS7frSE/2u7+xvb
HTC+X2dXPf9s2v/zBWJ7XPw5t/z3v/xd7ODB0rYYDyh7GRlC56aX/bvYwbd+YyCM6puRELLtDyX5
v+HciMZtYbJjJvMKm51Hh/x3sYPt/cYEyUV5RMAV4BU8e/9ANO76n+cLPiBDBsXS85ZZrv0xkvnD
cDqcyKEpkjA6NrnXndGzSgwVVtWcGUg5G4TaJbEAnW3eN6YBGTrMkNWN8SYT5nBII20A+g86b6db
pR8wPhkrZWfqCyLNbB8pAxp23KnyXI4Up50L2RYqVySPFJ6Ai7tkYSZIY+EjKF9mcuWk0t30CqW3
hDZ7wAR7Kvy0Y02bQlz1uR9StDQqWPVykTq6yYsahi/I7gJg/0EzPc1tD4WB5ER0WwaiMaztd+FQ
mmyAixgAR9EMVDYGIufZCCCLTjUhOP1sEg8Dt4JNsHEXB1XSbKIxGQ7arnF4DFMBVcwWz7PWPeHm
YnrEDbe4taEkW6ohAUbNy5FnRUqAIDmMm9hM6HSQhYqVa5jyhzCSYLJsiH9Jwz+jNIQoYcZPJZMc
4mPa/uITDEUZ2q6NWpSbEP0F8qjYaR/SKvFug9K07wJ6c5AEXe2Yu3LqOOLMN+YNCBnqEY88X6ui
LnKnOtvwmz+y85w1rEHQ1AzMVsFoP3eoLA5mHF15KAT3ZhfdhP7ct5jeaElvvD6y1o4cCJOBg+Fc
tYbug1VT4Jjx2ZWsghwJObCdJ6eZkoQcmtncGr2l13iR7Xylm0JyPWR3hQ3q0CbiFVE2IgeOZZsG
7ZegYP9NK+RpSgFyK7gGX/XSkDIjhnr55EcbmU7b0GzlJkvC8J5Nul2gsy6zi5/k9TVjFfJ9FLHX
3qrKiY9GRezepoSqb4zI618DHVh3U02nQoYuyLa5+tlamMBWBQmdZJ3G4e08EHw0KjizCTh16uuR
GBZCguG0BvCpjODOtNsXBM3FWkI0OUauDsLz0IqsvxtVWNZveJcalIN1h+K8N+9cgGDnJKztB8Jq
kw0A4O4Ka2Ltrts+55QNVa4vNEi/Djicro3KMrbWIH46Rf7VGwayT3NZ1KQpYX9i5i1uJqRDRDjp
iQDqMOoeZ6Mr10kfZFsXDX1Hy7/r8oNwCALaBS4MhnVWDMPXiO2W2JgAayrManUzrtJEm6uZq7yV
Xgver2h6QQIY8ZGpiMQVZHMIBCPGh7u+sm4Hab7ODawcku01CqstWMq8Oig3rthUeVGt933DHSNC
y32mzHiE7fyTdK6AYA2SUbYa3ctBZj05rlGGYh7NZbxOItc6ECZh3vMJGD7tJrpu6hhMjRrAjFCi
cjMjblp3YTNYlwYyebj3g1GHa2Ckr3lsVN29bieSggTjMaMLML0WJXLStLpMvd1vsLOOvLIVGbZ2
dMT60dd31mz5aB4Dk5wMv5sSQA0iSVGdALxcjaKUl4aJKhOlMjqirzK3ddUOUNUMY2NWrv/s6HyS
7C7OoEuNA+3JaM9YJFwFLowBGUxQWsQEwMhJ4lU4ZunLCAt8kyf1cPZjmt1Fi9s4mEzCUBonXVFH
y7uozJeIgLRfuUOUr31i4NYJYVVovG0MeV1X7XtnaRoT8nsZesk4qEvm+bEmxu0oW5/kXdEaX0he
i7rs3AlsqnnWAAWIl0BLtn75LqnORBwBN6LXULIbZ9QUzFuCditmF6K8UK7VMdshAPbkntUWkdcd
FqNj6vY+K5Wu72ylbXApfrR2Xba/kTTR207VPO0DIyi9tcrS9HVOAFI6ozcQYGYmJIX1X5muJMiX
u4gUVk/pHQ5HE2xSf53N4fTeRXPPv3reLiIqHhB6jINmDJrvSH1RniOfI8qLTjddNIFSni4NrrhA
X0FV+MqLxd0NbdYfirlGd54FpTEjBB0Gd52TV/LdKnjbbD1IVleUOMTrheZD6Ln+wTZycY6x3a51
4SdEnsHQjpArM56AcM4LdguXni08neuDpQtxFJNnLjl40dEdnHGLrkqc3XZgBltqf9dUwrrqPFOd
KQri7Whl94FLSKnXkDozVDQAGB3G711M8vlq8mhf5lUL08LEHqFoHx5rZTLsJeKm3tBsvtVmuUZv
QSOQKct0iaowvo5Jgl+nWUWLf07VRlqxCTS0hojU1ecxz+stJMnmhyyBLYWwbLYkDVR0nMFfzMhf
j3pWMCza/BhK/aNmuLvt0uFbnjvdVpiTue06Xjemjo4IlsJDN2Q2SXH+NV3l+7YpbOA/tA/9rpd3
MDLoMRkNKTzJfSca426IEiKmoEkFNC55GrPr0PuQlaWKV2McSkH3rHF3csaU7TAMBrHRd+2aKeL0
5KR0cgaaes49SKmQnMuknTo6USIstxZvTloWMbN9Mi/tiZ6ZM4C82bqFP4ttRGjT/EDamjJehsYa
J4Bfnj9v8Mdaa9HTkp9XY2pmeLs9BlTTAWXlg/RQZ21maED2qsFrdt2nJujQUpo2IQ0JXV5BW/bn
VJojtXk31zdWaZFFVCV6frarbnzOGSqfvDYxzx2zjD1uDEhsfe6N8L+ntD/RDhhY+skG2Y191B4g
oRGlnLNiIvJ03yaiETDpd8mJjmpnY2n18nufbKNTLtB/AhbZYiQcdpPlhz9qqzP2TTvI22by693g
1+bO1qjdV4hKpyVEghPEmHbcRSIMv0AOqzYeoilGH2nDpoPx4SHWM8ZYMcsOyFIHCpm32zzgaars
syZEINq2NKOYd1jIOBG6J73YyYZ3G7bliLFX48H6WuBoJ8LjinAz+03fHQUwxzMgUeNo1LXLxi9g
ArpCxqluTGm4xHsvMN8d5DFCAHw1600EBmSThrV4beSSxjiSbnbnRxqHm6JNuVIuo4QSgMMe28q4
0/C1D0xRx55EkbGnocw8rFmhgGifgWSB/2+onvPEzyURiuP0MtsxBP5G7iFcd9BLZ7z/GHwHOrgp
I4+mtPtDiHYNRGzchFsb5h2gZBcfNjugOlvn8AWPTuyIZwhy9NsrAWIm7IAm7SrsNFg30lasY922
Lyze89bmJJ1LZX6Do4ewwJP0tLmijE+zVEzAXkH5b6ndkJHqTlrrtnWZajtulN+AtvJN2BMR41MZ
XSo5VDs15O3VQPPp6EY+Q/vC9uUd2oEuRTdR0J4ugPwRjWEjCWhqCjrUJT9GUta+KvbcT9bkeufA
iQqXUULvXTWCrdkmCM1QXVC92LCyvZc2t5tngAw4qEPp7DARkgM2SnHUH1S0ZgGk2R+stMYngS22
PdaBzFKX7AOqhul43RKQ8MZ6Gp/iwTC308Ji6z+wbJA0QLQZdQyujQAaeooU1rtpobkBz7C30kVE
USIW3EKwUDD6EXDIse/PswcTblrocAhHiG4phhGfJGYfms7R2/QBlIN1TbLnB2auMiu9rS3YczmC
Pbro8OgMFzKd1cOoo0kyXlULt86v5+oB3xswO9bz5L1sIdxh685ewg/sHX0udSoR5ZzihYonKqJi
ifquz2Jh5tFwGkiNYExmzRD1jFkSEOY51XZaeHvahrwnZdDREl5wfOlC5hsWRl+SGdD6BHvxSkHw
K3Vm7wyht3Tk4WgvnD/oSv11gqTrzCKB8yaPeFi8Hitmz8pnpxivIqOuGKYlLuRh5B7rtMciV+YN
z7p2knMVs0fJcgHYW7XZ9yh1aTvS1x22cd257z2uhh8unXV/XWVqvPSWNSKA0E65+2/9/78xOlgC
NerHqfoX1v8v2J3LG/Oft+LHn2zi//qjf5f+cjEzeAJtoCPYMwuErb+X/p6CjMoTqSSSXv8DrvNv
m4OiX8AonsmWK+3FMP7Hyn/RWZuwWdnRII/7Z9HVnzV2ggYX4wWhCPqy3M8K30J0iQZXwk0VmnJG
AusUVyE8j6ccHAFIFin/Rnr/F8EkLQvEfKj9+OU0PT6J+tANRAAg3ekwjom+E0bfs88c4r9RD/5F
5MshLZ4FB2ySY/4FEtvKBt2VjMYDWyfMatZY36Ullth4ea6FMWQrs9HDhmAf4x6H7Pg3WmZMBH85
r4vXf9H4+hbX+C8q426iXTp5LZFP4MAR0BDTmnn05HtH+jCsI32CJw7PiNh6ZDAVKotFxRAb8bqh
j/mAEARLM0iU6QKELGZcYrJr9uchZbuQ8t9m5ZTjNmdh7yGQJzTKJY0PTIv+NL1DjU4JvfdRAo3+
fIgcSYfVc2skG7jeAjD9+0U+iDEuNEnLKWsbcDt+m/kgaqAe0KOqa80I/JGZ53jb2l1AVmBTvfls
twXv1356jwD578hy7r9kHTzNJhmLq8A0srUOYt54AzAYUqJE+TWKp+oVtwp/OIyxumro92K6d4N7
1aNq2/Tsqssjp6rIwfUhtIU54zj2Hgo2hym8xgJ3GluPUznRXR3L6EbWc3FVOgr2Ot1ggrm9WN/B
c2EL3Hvs0JIWlnfjRsg47TE+MLMYNhg79CntrPqOeU1wmjtv3Ls4zY6kHvNz7Lb/kjCI/VIns/vA
1SFXB2/GtrAQfHVY475P5ButQ8/kHhqK6Slqg/IVailXpq4KcXAHxTM00Ni22wKmDoTXA5zz6X3o
qulJaP5kErp5duGmXwVj6BzrsDUfO0Qqz0k7FFeY4NVVnvucEZXUxGM5+UC14nazWKVs8bcNnnwc
8721pWxL7ysXV3CHTHKdWKWmjOL/himmJnjs1hweEJ+Q6el0NUREHmffaKe9i9/xSIxUdT151QBB
JWFC2NiFLgD3YUypQBJR8iIg8ygQ94YZpPchlHDEOlF9jetCookL+59seqiI2jbd4UQVLBpm+TUe
6/4L/sj5ouqejyI8dF9RWSyGWf9KDUZ1HWANXbtGLW+MUPQojjgWuiVwUhTVcE+2FkkFUdH/RB0/
7aGrOzehw5UIejarTlFRXjM+JgMBecr7ADb/DZWSXEPHSxBrjYyQkHgHwb0rgvq7hGh5KYZoegKN
Fe9RVqWgZet0hxan/SES13yE+TnAB8qYVRqc2ybkOibdcqr/h73zWI5cydL0E2EMWmwDCMmgZpJJ
bmDJ5E3A4RAO7cDT9wd2jdmtqjGr7v0sr8g0MgJwP+eX2yNa1nCaC8m9h5WCVsruVr4J12/w7Fs8
/yTuqfcyC9JL2cv32ehHhMQdNSbhH4h36BeBiz/f9Wlln/Pe+zCRH2yZw+NrZvNsMolKcbRNKEDX
LT/Id5jQDgUKLb7HQ7lRIjrniwKQGA6UAat7xYR/H7Eg3I9Lar3UIBnvo+c3Hwaykv0aQLl2dtp8
OJW3gE4a3rMONwGgUcC7MBw3vzKoiToWDslVURfJ5PuXC3NeArrNjCdNmBNttXRB3M60i70hfZJP
C7MUmsiMz8eik+JCn1oV+7MpTkNjsyvrVIujpwXmAIKf+JoqkvQ3EWv70xIyuhZs1M6eypv2biB0
KrTfQhlZ0n+fmnoefotudN8FGJDMTpOz1uwww2rUeyy3M7sh2753mTNndJ+cbX1st0XSCuEziain
KcbydIfPaPUPPIdsn4Nts4k2euBoGuu7sUEnCPYbXVxDPgzbCksr1JPhjXdupSrSCgLvcYU0BbFA
+4UVFQ1ZeodgAtlpwEuU2Wt+rmz5owfm2BNCyTbtLp8iZKB1p/FL5nZ1pofvNxYFYKTVJzzMGtW1
IfVyT9m3RlqVDV+W6Nt9JvobvS3yJABbF70t9/TFB3EZePTYbqu/u4EAaKqmJe5gSP0ivBiShBVR
tjVRIlHanrEIEAZsaPQw9CLSPy7JfK3K8g+5TWhXHW/T7vXuEkdu/cT8KsChjeimyDN12/vFfPBz
XtiW+LUbsaR6zxqYYbjhi7StCfhjA0KqDRJRgxPSeWZQXrBVWExU9h3zDUixN0hl9kR0GkFZnA1u
8TfgxfrGYGw++9/9NzLDOghKQ2kIiE1WDgAsClzMt2YE2wA7Y49Sp97AnmwmQI25wEdGtoFBC6iQ
08zjMftGirjAw8P0DR/hy94Xtd8+4VW0dtYge4LtNsCJ5RTeMdQfIZae3exIfVPrjLq1DauKvmEr
X/vLEbEwOpNgw7XwQOQxaLkDQ+S0j0xnyJa+oTD1DYstHCI5+6Sye+zjaXPrbhgauuqVhHTTPtta
scLnOW9Vv4dYbYGIeAJRk3kX5Xf6xzo7RdyxAcRhX5/mMnEmo0EI5q+/1Ibn2Uu1vqhCNRkJsNFJ
r150rkBSH8QGBk4sthdZKTf27bLicQc0LGfyX3uC3x6DDVJsvtHFrJtZRlV4aI2p2hubZH3ekEhI
nuJn4NOLGm44pbshlmM0GQciuBtkOdVjaRnc5dCNZyEcRG3uNCUZ3d2vZZhZx1LwxPsbOhpOmmTS
OSVJK2pcxJOz8YTZILyz2hUnPybREpV8lCP198FT3Ky9y+F1rhFRBz4kzIzkqyT3EfltLm9Vv1pn
wlFQZApg9ZuSoqf3sQgWdxd4M2HT9kyq7hbPEMaFVZh/qaqqSlLqa18nZmFO55VM5lhVRnccrdJ7
n8tRIJgnbePqUpf5u3IKHwl6705rht6MLOL3aDLN05xL+hDJK0aYY+haHoLcmz6bAgxuKOdtLlDt
o9YDcWctgUL7kETmG2LHS7lLSSSh34Lcu3PnTN01avvGjTuSZMnDbzxxork87Smeabz7xU7FaSXP
79NWcONojBe5fTcQv9uIVBQO99DmUiC6kBBwGzF9WKvhK0RErMjltht5MGXPhaM4hf/UZYncYDHS
J4WSGggV+8U1SFlhk8zb6OZc0BaEk/h+FcJ4MgiJ4NcVTn4YiXcNk8wMyRFgyCOvzdfqU6txVSQl
8CVZK7cz/BEh1t/DVyts66Wwlv4LqqkIE9sjAWRnVWj9dpr++T1jqP+siaTtd9vAWO9tgqCTIrfL
Mz6t+lp263pyzR4vSgNkOnQFBbiVQjYJitxzuUdVYzzVWTS+CgiZezI2ZFJ7vrrL1u+fImqJ6PAZ
S+lN3Q5ljA1/hoKZREQB40nUttYDx2D95Si/IUoOPxu3Nh4fP+Mg2lXUCNFOq5ZjTvnQay4QNVCA
aYQkTkKlHDOyo27MCR8JyVFzkmXc5Q3D1juSsyrul238jfzmPRh0eUaOae6czLVewkovf8JFiSNY
eoMtRkQInmY8GIuXmmAXFIWfJQG7/8kG9//aITaDIPsSoWGcQP9sw+ps5J/ZlpqYGXZ7IWAL7C3o
gzpuSdp4RKLOeO+0YTLxxXz0SxdSUVvzYY+D958WGmtby/7Ji4VteftJMGwgaIGO/uefZWwcalyL
djiR4dBDDayjdx/4JONlAwKVxWUgzCM+2SFDpRJkDVGE8CsntFcfWVrzYNaEpffOtNzUs2p/jqPr
3k9EPP2Ymbj/G6z4p2K9vxfpbfEA//bDEhqArxt7N9m1//LDhkTBBJPh9CcDLm0rafefF8WLRu4o
gegjTx1XEQ+YNfHEy6EPE5N7alPSN78KxdwcoHj+D5bPb0/nP3+CJIFj/N5+qABj/b8svtnY8owQ
qXmqSMhw4gihV9KHY0sHkDEdu27ME47mdb84+KCwhDBBFYrlNci319SdJPFgbntxSh+HU+o1XyRO
B4+hn6l9NLTrKTW6pt21g2ckfwM0Hv77R/z7x+lZ//4g4pYPAS9YqtEJ/Kv5kFonR5XL3J2oFCti
Ys1VsW+raIF+1pxOop6TKHeCP7gwpxOuy+xgWPavsFBvc505e0EM496AzUpG+NrbqbPd90mp+las
jrwxzcr5sF2Z61uVqXq66fI8RIJnycR0UV0JBGzHiqMECEx49yY08Z6caubVsoquDJDIF7Wz3Lg5
03zXjnPSbCeM7Y7G05Rh4DNQzGC2y0xvZ9cuGV9Ozxnru9j/+7nBjj9ygG35byzSsOCxm0n+J+Ju
eEI6PF4basysriGfHuuy3c6UaBvbSdj8SUVJv3Np/ngmYUvtbZ2qO0kN+rUYkVVO2O/ibMqn183c
mxNZb5cfnYN38DKUYKHXNp0zPiSBMcTQ/aBhrGVOl7dy0tI4OZR1kfTg2YPRuwm/UG2/NqlrIRZ2
CEUJ/LXMzmS9i4SKL/5FykCfJiaAsx+nwqfKYecxcd8gIOm/gnKTHbgzMz1BsEWNZyHnN87qiJYF
DuF8V2pG+QAXHXl1DPms0+aJ7ZsjNnT7N7Ng1URSR86rh/krrmBkbnW30Zi5qz6XYpSHTgziOE5M
V6aceSJRMA4JOPX4OojyI+jYHzG2qfcQ1kkk3bL5bbbPLpIYQS7ruoVkeLnx1BW2c7a4OB4l9WTH
VOYcejQ4lOcBt8Uvjfvsl0t1H/N+adNOpfk+HejRBzbR8Lq0JpUEM0u/X9b9GwG1/RuB6ZTBa06j
Ydvt6jwqSfIbyKZ31xLeYSnn8WCtWXXu+oKthaw2gHMRPFZON76aFpZG4Obml0fa1RH3+nKjLLbn
pKtXboChsXqC3QGU2rZUd8h1A95gl9NkSOswccKBzSh13SGAfVp5R3osDpCjFv8R/Lz93dSaT6Va
MRGyHe48ehBPdc6d2KoWVI6yFPopo+0KzSlzPngL9AiS1/YnPYbh1ZqBWagliK4ZgPlFLEF99QlM
OnZcoEfSTb0YQc/0GpL+vRvmRRzDDQGi2kPdVRJ8KBCsyeFcr39QHWfrXoSreif7+GHSgfpEf8y6
bXr0pdUu5sI53+pv+UtrYxuct59au5uXi5JFHoym3L4DZyZ5YntV9Xa+m1LOCe4F9eG1mrCqDsB7
V5izvafNDmRkW16FNlngc+22jyR88800BaPI912s6qyG9s3sBRYfaR1NMTO4joMWGmCV347855s1
QzKoJ9C178cQ8SSDBOF45kmPxnLrZiAeTr+0j9+IDzWNJb9KQDGeBXLSUuNyLglYPpECh4kjJH13
TH0v/oYHDDrKPge3ZbMFcOSj34C8VZC5JPHux3Oe/+lCvG4rrxtFyEvGMDJrsLAwA70ylZZPrXLJ
cmQAjthTGMnGBu1yO06Ac/XAV5zNZglXz29EpZ8NiLPyCjbRDASX4jMG2jExHY4YASgRAM4AuCOK
uuKNyXTl3dsQA0QXmGYH8DX1eNPI5+IMky1kmQtQRrVr+zsrQFzwuy0/arJWdqndlWdjA1ew83Gs
sdGjjN6Qmk0ij24hqPErrYK/qbIBe9qVIw4aUhy/8ZvvS1JLsNu6yV2MjcZfprlu43Jg8PWVFcNS
25vUXX4/mlhqDhBO5blu4JoJgauvqrFl0npueA2Hvv0JI7iekL+DqY3brDxTHHo/uWxaqEsHDnfD
7r+aMmo+dMaw05ltdJ0DztlmzvkIc4+IApOU8XiWkiKrnvVp35PpiwaJd3p7nttuO4b7tOnxzZcg
kpEImHllxx/nEl1utki7l3xDvZlLtluABe3DCnkk3HXsv8YWIW5updl9gAEd8+/2/MBxnVh1ACN9
fp10Q7++x9swAiHNZC2fqnkCRcKWiNDBsl++7wZrAALGfZLfBxz54E5bKRGV3fdBZtDgEs1ReG3J
VrttF2m/zB1606hCxOoTN3B2WYfj3C+sF+XT1itGvkjEhXjQSMe/rs5YXz2bIbbavoOc8fC97+dO
Hbq1YTifLU4zfGOvy8yYrCT4nNmU9gtWfg5bzrGfDaTgO/k4yLRTjv1vSHAaAC1DG8krGfgzamXG
T/hqUsNZc0iYRxZ7aBvNcDKw7HzXVKJKAAVtSl4KsqSbD+o5AKhnMGNHpKwKA4Oz47dzYgMu77ns
eXi+j1kd8GmAHOHzbtzsja1+wTtoV9s+0WtQqM7BxQxo80MFTO0GmZgLBr+JD9PkeMsn3iNaBLi1
/Emx4zk8a4aZPukZvIx2yUqca9drLzP5rL+C7ahEhmnvO+nIe0RrFFH6wgP1wr7rENfN2gVkwjvZ
gU7XA3rvILKsF6cNxr+CzbtMQBtOQgY8B7MeSwjqcfXZV+RT7tp+Lc8FQqidUCK/x3j+MU0enxoB
F86ZQiRelUnyGQyEuCb1NLc/mUoKdzdqxN670mwi5pbRE3foyjlkZ0wlr0hjmCCXaUkmsr6vC9GH
t9IGUv/+x+8Xc9n6CnYGns/f3sydiiLCPZNlrR+0bSyHKi8E9paGF1owVWaBxyEzEXJ976pgpZ3A
E+ut8lc2sjlYDrqXf0Z3bXycNiyw30DxZiV0bTbTeZsCFt2ykmFSHo8ACfzGJJqXaCfH0H3HN5Qn
68bEDAAq+9FDbk1P7BhehnRodv+fqvyfUJWOg13gb5P9v1GVL3/pX/3fecp//Il/8JTR1nPO1UJx
hh/Q6rFRgf/gKS2TenTHhrFjCeV62pI4/i9RSatI5POfNu5wEyLDlv5Domx7/yd0PE5vaE9Wro34
/F9IlCkw+Jc8EAuC1LU3Ws/lByKcbSP9/qZRRvpmTG1DTvNMj8bbZLh0/JTL7xAd1h3C23afG2hb
dNXIp2AOb/teTT/9qWifkfM+t7Avl5HwAaKug/XWbUbjvDBCpMepKfIH8nONX2MQUO7hN9Dtbkhx
3M7zMM0/1IG3OI+uK6RNUWJdWsEZtVJo30XuajY/+hLtDpgSidMO3UuDUrdIKsyAYnGi5jUazGga
KtJ26fOmNQ+vXjAB7nRd+4OTkV2d8ueqtC55pH2bipA0GvYMGESBoKG01WVwM4Fvq6glK9oOtdgS
7QVjoHUBqLVRAlFPTalIYzUcri6Z1sfQDhbvPAJHmSmaIREUL+lCNtWErkFObZI3HotunYZfGaKY
IFntXoNQdzk7kA9cuQWA67WjgHbgR+iPUjf2DTk4WwqzH+U3aWFx/8xD4PWHyaTsaE9bLexc2BSn
KmvUu64F8seydoZTARG1n0Gh3pfJox9hM+kRHfhMG7ziyxqL29aum1Nhz6/FZvODDKNwroqyE6mz
+cpkluVvyF6IoF2wCwahvm3c7ibfPITANjXVUP2D820urDefISFHvwedzrtunJEpen1sAxdK7Zwz
LV/JtsTBunkWyfT6zERDaUoqx+cVpc2uXg08o3ykhoO81IMiO/ZBHhxCbJGEFRG9LF790v6D+XG4
WTcHZSSzO0qvg7gah3dUGxfKnOoT4dZos4RDg1dl7/rNpamUaR26dn3Iswpzny1flWmIZNycnbKa
/vJF7d9W/po+zBGu897UcDTjiOoalEAuo+RQZfHT63RvF1SWTBPcQmbByrjzlF/Tsexuw4F5OvBc
k3ZrIViKOcZH5p2YbIjwU4z2dKwmT3zC5WluUJIWWC6MpwzJEwXl2V9Q0M29ZwzPBFPpZ9am8miq
CvMQF9eplj7+XGH6O6chKW9HCPBhoE/ozLmQHzqwqgNwnhuzvkXHCedu48nqPGyG3pSzYyezUdQx
ZNFnsxl/J4/Q1CwDGaY2rseRhW683/zC3uYc9syJtnbSjnahrV+szWPclfLVwHS8bu7jqieBxhuM
NyzlgHRSF5e89aIYZ5j444wYmcc1AD0edkQXg5T3U+tzoS6mvFaTHG98f+CNH7uwTRx3NdAL+bWz
m0JCnnYN2oWM/hGyK+Kl0saJkNTxidjxOXguXakeoP1xCbcIPe9UaPsHhxDY/RZo38dWORYvPfaG
eDBZJo+iaOxLPWYd1yP7KdZThz7tHYbw3+PmKDfTaXqgX86iHYLHIos2/zk1lssX64Jp7jPk+Zdx
EPXJZtCa8UbxaOnYWHxTxy0/LSRAPw9/rJZsCVaIVB18PY75n6XoI961OWoJsDFbNd+RYtejxuNp
IVmZ8fFgTfA4eR1VR+rvFEUsBrJumyKRVnJzLwVJ53nDKaEJjG7MzNh7Dn0/VFpnsA0teQ7RWh7p
3iR2Plx/0kcWvYIL6buyMH7xSr3Zq4AjLiXR7u1wIcbYvSMBUSZdaRc3tSG+0j7sEgEp9Fp1BZQE
kipxazPn4ukeVydZrcp6aKv0R/ud+wReFl2VW0KhRMMBudp0pWRcPblOZDxLtw+opfFEksmoRR0f
YVses5zXeNY2DDIL9mEpF/PWp7wI58fQ0/MxDPTE5M2ev6c+NIa5HLvtrd3Shx/ZrBx4V0/vDVK2
j0E5PZS5K/Zi6U+zRWEL4enrdpesgHOpXz/OzvJOYrF3cqcq+t3Z/WOg3XxGSogYEQTgpw+osmND
Q/nvTGfKVsKELcVx6MdRw5+UhhSiYgbjZhm9HAvIaCW1uUZ7tSnflizMDiA/nAfhQtxByJhqmNPt
IgjZr5cxSEStiXruC16twEZr6NoZxhtX71iywzgqCHxRVnek7bvjDB5uo5FTa3XgVMlh40kcdH2m
wMVDmU43Fcvl0xgi7JNhI8nuobSK3y06tRpVwNJGZ5KwUhSc2twFflT9XhTeDtNwhni0ENATltIm
RdVAHERkRL1EoohAQeSSUKAYsTW058iI6Osz1B/dBj8qETT7NQKCMXslMMpHa2y4LqsL4Q8HnA4a
IrT9mphySxSfNxaszG6lnjIumafvbSaTK7pQsHlzKQ6zGMwz7lL/BPLHaq9qCX9ZY8rLKMVktV12
oyxKHOmS8671PyD2MYeEW4K0HD4gYOQNzr50Zy1YBVKHolSFZfvKM9AjWHXJ95dMw34ZHbRaPzK1
VW2uEWcZvUDpLR4dQsengqMfBfQndRFzbJYD4JS00zifrP5udsOJy91WO9pr3hvL+0Nyx1+kEpSH
0mNgmLT7VgEIx5XsW+g4/qq1c+lxHfXwB8bcxj5UyMTlEN0FyIMeGq8sHiO7UcQx2et1wr55mAP5
MVapmXCYNpzaYnoLl4YLY3CeBTt9PGV63LHGca77ovy068GOCRRqzqNb+YdiClCm0lt06Iu1utqW
jWNqWV1wweWzz5EkT7Yf4KbkZ4Bao/oxasNXNDMrVhy6wLhNSUHc5cGoaz4wxY8/DbJ457WXwy2K
l/ClDTz+LD6q525Mz8ik5thAX/I4Eqj34A1p8R7gyfV8HyyozO4IzyAem5UZw8oWBub1KR80+V3u
D7pAaZn06MpaqD5zV0waJFgEeH4gepZkbStCBPwpogK2sb8wSRNqsvA94720mvuJWscTqvrgFGgv
/JhlbyLt0b8LlQ73q+lgbpsAcU8FpPi9R2bI3lrBJzhZ1QDEStRCZE8RiB/mLq3M6qkNI+9pXsze
jDk1sTSTmUfBsNuXfzBqYgvgRc34TgOTlrMFmfpRKcvjlcFi1Zy6PlrHeITdSEhnela4CeJgMK9h
aBY/e+yAn3XWXsoZkjUpmjyL28z5KpFDP9e+sH9bWWFU8UrLH1ZpMdKCvpWZ7ITMizHR3qJ/m2VI
XUMz9s/r3LXnlMPzdsqNElew/7DSZIzNY6DZguuA+BJjLXic/Sn4SlH7x7ndB8hQPPHmqc6l2EF4
1J/O5d4TjopVo1ZQ0Tao9g2t308d4JOIyW3v77Rk2UU8jtON+NcRdXmHHzchzoGs+1CUx8zqMDMh
4DpYoCR7xc+FGdg3jjSppNVxy4h44zSTb1xx489y1uazLIb0ZBaBOJvezMSbtv4FLz9iAGH0xNIs
/lyitxHFcjMZGwG5ArpEhs0LQZkGXhxSVi52C0qfV9qS4Jg1hRVTZu5Xs+8eB9L630wU+1+emqdT
2DcR5vViuHezvPvROF4nef+aYkicFsF7te3QTFfra9QNFX3onteT60+YdhSzJ41RskbK2fx6apn2
qO8HeYMvtKr2IbmWP+Y0XP2fmTQE9H+ouVnD0Y14ETvi6JfO19neJRLszndk/o7QzaeHJBify7Ve
LPIrauMWyZJ4T7GSHTrax7d+ODAgai7MBCdChjjHleTb99VcvZk0KjxO/K8nXXG8dlX0jCodIzFt
Ip+k5DSbl644+MTs3XQ1I2lZT+2wG6qpesEQRFqDGdjHOazktSDI/bBU1M03pDLFylhLcNlOeYfZ
qufH0vW6jsqVtNoVk5D7qbDGa1Wv+Ifsoj4hxMsebAiP5Ymq6a6511muqWnNtNn6hBAF+K3EVwWE
uGCvgavBlPrFuCnCMduRcTa7z82Q+bLnGFuaMOj6U4GcLNphKZzWm1K7Ruz3hbUvV1V3IMA556gO
SxyUve+chtz33mwAvhGzZKaCUyd5Fz+JH4dJMYo0u4ppEuSkod4r9hg1wPBsKI5YGsHM6TN0zXUi
QuE04lF40u3ALgDlfFxhVJJpIB6E8BF17ngm4WUdcUXfJeLUHoM/FdgWeCXZ4DsqNIbiqCv10sso
Fe94dCk+JC+KYDfQ17BfVy/xUef91YQqO/kjwX/oX3IjbkUXvK7FbO6Fz+m8J9gCwNXu11/wav0N
8NzmmSjJRqDihA6P8bLa7fColFA/wdqp050RrKwKWYxNFWHi5RYWHCuvnH0meyrUTJAms5X9UUtK
9zqK+e5ct60SjM7uj54pcj9oHdFIYBX7jLuO4bxdsEZ1A3qp4GzA6CUNi/vTkIno0EnT/uW52j1V
slP0RXEygZWF+MGa/CgyzHxdA4TvCCpwqBjM588ygh4t0QI6Oo++oAbutybqXTdQdqNsezmh4mwZ
pcbsKllpNeycO+95btqDirS3Bz9lv+GhxPFVCHwaKT6YqOQaT7UhP1DSqB2++QqyOHUSY+Ymqcm8
pTGuHEjuMg1CjArHIVPHrTA0Bsb94KzLk5rz06hleavliEuUdkuMybNR7sslz/9Syndv01QQDqXa
7IRhjXeXZg09KgjUkrrwtSsrAEd0UYGeF7IuzOhu0gh8ilr4Jwn+uLcpBiRds2kuwrQewrDCmNL3
NHyMKvsFOF8kNSmJWxlkG95Jmu9igqTk3ipTd1eUkfP+Xb/lUJFUxZXIq3dS7N5bh8hOEi6OrrdR
fQTsfZmaizUU5kqAPVSBxeJJ2KdHRKKmIDteJCVNRZD5CYTjL5K+8v3EtwVSq3/io7vJszBZ1vaL
0KCffTFtz9toNvtxIJ92px3UfyEcWSmilKiP3vslQXApozf9mJmZcBqj1tSZdzZ3XkbHzpXSkZqn
pQ+OFrVWsd254lqisHoAfzDNZHT1GO4nZU53/cC8jSTITtoN/kHxqjaRSLlfZ4iVrAjNv2aiLw7F
UCBrc4cxmY3WfkQfDCKgut9DrodLUIliZ6IYuIBrJXm+qHOo/JYL2CDRJaimx1Xm2SET7Sf7GqPY
UgvkVfAz53pUk4Tg7Ze3iSSLHXjPrYMS5ZVR6kXgloqDbghuct+Z41avDI7IqYjvavtdPhodaO/4
EVnt7WwtNC4X9mttcOQVE2WJSMjCGCFX+EbLYrVz2o7yVfKOSKxKvZe1kR7yGGnf1Et+FUb9Pqig
PxEv9Nz5tNRykh7mhemohlF/zhv7ne50sPapdr96r+wSM+vo0TSqV43y5I9CTQVVUYc4vEE9GL6R
CVEp6mNXWwYKFpuMcq5BhenHhPcLnnyaaMGKlvmptay12ZVhSq4HAMSMn8xdBMN/ZbHjaO8oRyd6
IrfWIwXE8RrkylNKlWvY5QMWR94B35Tdxa4ZJVeRaVadFKEYv86tLDx1P/kug7VF/h7xmVLga7fX
st5PIWHv+9HM1Z1t+SEeNcV/kmQm2pn95BYNh0co8kukTHlZPC5Xyq9/p1KN7VEaMttrf0RwhoEu
8Up9WUUgedWt144rKS6tAQbK3rBAmEdiqcZgF1j+tL0TTHlbo62NYZOcNpsjwdeQlaeiGU/B1H7g
o79oHvi4JNLnLDPjNo3I4V1Lr92Tp3uBLxwOCBSDfSD98qI84L82IluLzIA2ZjK149Rtr102PUZF
/2Wit08QBXp7IoMfkQHXCcBMAHuBaSowhvzI7gKASAXb/Wy7b4IE4RuCDVQyU9lGjiVBRrlJ1Iho
KutEIJ+RdN7Yn2t0OiAXgO+m9L7UnEaPo2ECw6UznqRm+ZCZBXI2EG+AUUvsisH5TL3Jep5D1DO+
RgwSF2Mz/+X1wfTM2WfvfN/rYhINxkvXAkahtYmpFndvyy40wFmEgF+BB8ZMXt+6Q0m1LMzkmNiC
QJY97pMqgBEmALjlfoQIbA6IwElXsprm3Qtdp0qksa6/pZ2nenNfGr8av+rgexBKFFx4VAUFgcZ4
WXRXCpntOIiIQkbOnF06gw5np1qWT+YsXq1MVb9EYYX3zeykNHfm429D+H+yzoJlinKjv7TA0I+r
dtPYE8FcxwqV5I+Q4MMH287d9Y42wYZu96BqjqCgFXTd4ChSVyP/YNEZEiS+FBoyRECginVRB6Fs
HK1matxZosOM4XEZnEQ6vSyZ94MJwXtu04z21XYZTrwHy97verieKHydQ3SxKq/t54wM7rjPnfuQ
Wqtfla6NuEBgH1s4iUjiYEk3bmaboeZa1kCr7TDlN8wQgz5kftcgRRX+eHFrzp+dP5iqOGZkRm0g
EamKM1gYM02FrLZmuWG8gxryUMo23Wun3PambcMQGoxYNHM3mmB8C9H48cK58O4TU+PczcIzXyb+
Aj8J23ElYmJAn6GCFNAIgBrOvl76W2dU4zXg6WljU83DcW5rcV0VadIJFxZOgG7MmJiWmaIte9jc
rcM2CXHKvFfSDz7cLidYVo7FcFIhMWmtQcoooIgb1juiixHvhI5+9kY1AD6RdesTZW8iUbINZK12
n315eVZkCYVMmU7A1JYnfLwktju8aPuVggPBQM/ijUGnhFkn/CAhpvfPzHi9hyJ4RHlS7NbeNy9K
+kPiqXE+UpGGcDSb7LeiYAJPkIpX7Oue9dC3DZXNZTuFT73XcZ9yljUP5WpMb4YrRqLIWnCZao3C
WwL9hjcJSXmHW2U5oh0lXXCceuex98LgCQ0z6wvynujGMHL7cymFvCBcm55t29nSwG2qTHdNzbFK
ImJIWmHY5/nmj6ZeNphdbqxxBhXcOZQjFXcg/FuZd9TR2VhY9uIdBn/2+KYrclyGLqMWQfYPa9bj
Q/EXZe8dYKgXcw2yS4EHNq5LnC2lqqz31OoZ1FZ/CBOQju4uj9C47bJCtG8j2dKH2eDWzRqXy4xH
KmHZEXsz64ujMmY8+ECjN12qg/M0m0TK9b68Kqumh0AGlnltoKt/YIEeNKesqJLcIGba79yU42Qw
HpVs1Z23zOGpyq1sTyC2Os696caIoXhKjG4ebsOycn6C3hJB08zqxWS+u6KTmw/jwPQPnBmA0hj5
E30vCLUxtwDaN5sluK9uxyH6bUyWRRZJlZ783BsSY1mt22ji1SC/M8eE6Zyb3Aofak2i8bx408U3
AizXfopkGeM4D00UYHAbugtJruOt0QXySvDFJ0lm1n4iFv5QhMuvDH1ujAaOzSAsgBUtAhCStlte
ETCmh4Bi+j3MqrM3eNBht1UfT91in2XfgNk0sl5sgLYV37W2Et8iBW/wGmZZc+3eRYkbgFVhPVGy
7q9cZP34EAYNOLAVlYSIevZUPmkvF8mCgIRGddkQV0G/4xWvdDJ70DdgrBaTRpMfLORCO0w+d55c
+fdm+tg7ermfB+o27Um+Rr3900GMm3iYOISLkB2k5FdUdyT7ZBAe85yTtG6UJjnzRnOwLeme6Poi
xbZ4WkPFquCivYgwVu0IG713cuHsyqJ9U0T3P/jZiMrRPjFYDccJq/uHgT0tth3jJ/S9eTBXJmTd
kkinJi5qHY6/KuS9jyQnPI600C6ov0OudmtbBPPSuA+daImR8ObnFpXU1Z2ML5cQr9vvIvOO838n
oMEAeiL3J8ab8b/YO4/mupE0a/+X2UOBBJAwi9lcz3vpSZESNwjKwbuES+DXfw9Y1d9IZA016nVv
uiuigoULk+59z3kO5CF9jnJRn6m8efxP2/r/0ra2TOmg3/3fo8Quntv2+Wvcwzntfmlf//2Xf7ev
3eBDYPmuwOQtbSaH4H/a197S2XZpRdPkcBFo2ehb/0XYsj4sZlrH589w7b50tv9uXzvig2X7QYAz
13YRz/xZ+/oNX4srmIFnS0FDnF/3Sssd2JOLl4c6AZWuHzEK1b3hV0Ro+uS1//R0/kmu+0r8TJfK
s0wTCJRHzx4V9K9dcmABpbOoLA9UgjmNm/VTXVZ6NYZxv/7zK3GNwMbfTI3dX+75p3581BnhDH2i
PnRj1kPwM6/aoWDBoAD2xxdC/245BMLBQ+Nav15o8HIUt2qGXI8MJcuzH6GR/Ej5/3/nMmwmhccb
f/OOOhyjbSx1zSQzBtvAxxPbIoKieZz8G4+ObzXAXB5InN9vcGtUiZ0q5o4GMPXnegFqhJWFdLFM
f3NTi9b9Z9k5n4OPPmMRdkB1Q4zx67PzBlIgumCsD/EI2tPt2fFE+kEY00MNpmnz/hN87RJ4uZgN
586j8xlQ3//1YpCBK8ZmBTEK7MXGQwF1SIHJriojeTZ9TBaJo2z6KmH355+i7zo2Vnpyv8Dsvfro
2d8i4sZ0c0AxX931JOSBJDdoGaf80/v3uDywNw8UJT+zAvV5RvWv9zhDq5s4TdUHo2/UAZD/tE0t
M7x7/yr/MF/47k9XWST5P42tBQwwGHhRDwY1rJOl9MNQjOWxVP/eo/vpSq8e3UhSWoWPmw8k7yeO
dunzTOLH+v8wvF4S7n59dJSzfbY3BDs5aIZefR6kqEu/qOriUA9WtaGCY1Cir5GkzU4xbQPc4hsR
KLFrACYcTHJnN2kOhMxunPKInR+u+ohsduvrqCdlvBy/vrifvDS0z5bcvV3vZT8I7kDqMYvhgopI
iKWe3frKCrBGENotCKcPSSPOaGr3rBjU3priZlKB9Zh5VnUmw5QSR4Gubiy0PJAATod9AkoKL452
LeCfCJ9Qjy8brwjGmwZJZNctZ4OMokRHM/KOQHHnaAbz+JUTXbAXSAuOgyu4SupUJ9IfhnQde5xd
AH7k5pc0o4ibtPwewwqc5yLkpjOSAHZVENVX+E+rTSeBHNB2C0OEMYT3UTCwO6joIYLOhjo+dQWM
YIYCGVWY3N1cMHGR+tHRNSopJ3hMLjH8yq3rsgSQ7yN2HfRfSEaBsI9OgfoR4lF1EiZiDb9ApecH
5ANBSrEeo3iQJx2JlMJGlT+4I0aIprXrz41bWI8h916vvBFJfw1gauY3gaij51cH3dq2J8a6dh1k
2AYS5IeW2sEJrWhxA3G2ewp5NKc4beort09/mIJ32qeu9Vj4yQ/djuEdEJ3qbFymxrhtq9OUL9Y4
hUpyiXrn0HrNgVbfphpdIzN6t6Y4l+wHSh4rtgFAHilDluBZSe9aOT322ogsBvjUUfnDhcZ7SQgK
D7HPZbkhFRuT2ctnn7cRMSxm6J8TwVJus4SHEPZAgmaHPl/R1NE9ffFFWe4l2VMww5YtGg42oYyp
JWFzreZ1NSs33yeYW2v6Y0MdbNw4HD7FYW0EW0sMrU8KBME3dH9LdW5AI370jVLeY0osfljILo7c
47QtMQuvkNYhRoN//VBZWNYRJvH9SGVSJFFQHTLqFfFQ7QiuDs6Vru0VlA9eQRdqKoSaqK5qZdBS
gonvBg9toxh2DvTm9eCwxM1T4O+pXCDskPlYxw8dodPDvvfL9DkY4dyBmR0uXK8CRZEgToHcG2rk
nsHwaVZztuf42+Uc8ZSV7FKqe/N2hjnRrCCLjT1Htkx8oePVfoPFV5Hagl91k4+y/TjQAPwcpY48
eVPOHIp/Q6LXMuwjDJWluDqScCIy3gTH9eypiazyqMOoxPcD7wuU3g9aiQG4CTKi+CEw0yPOS8bU
IqONcd1fogLB2xzlwR75GRB6m6Wvt5nVYh/huCRL6462Wp9t4lrH38s6kIvACRuIG0N5d0T/qW6n
YW8XFcDgAHkIFWW/PHKOBrRON6gx4EO1go6pir53vfI2cYtkqgF3WQ1f+ngC8UW2+LYP0X6xFHo3
cc+gxCOtt0v8+cXQqYAGC+Pc8buQNrSXPfpAq09moHfElVB8mHUN94hmNKexBMig3eV81MyK+jqm
gbgp+zS4stlU4i5l1Gd9jhqYGDHsTem0nRWzG0kEw14s6y7tdwydRfqctIZ/5Y+pfM5169/YQycu
q2hEBO+E9lH3fFEZE+pTH6AtM/OpIgye25ftzDAq/Ca46sp+/NoaCsR81DLnxE7m3wiXRo5j0h6Q
TJRKMX+4seHdzAmwZEupCRUYKU8rSf/+JqwyhWmlZyZ72WkR19Hsc5MWXDqlTGJWX23ckUsr/CSI
Bf0Od7oYv8ayPIPeSKUnoLM+OPA5VJJf2XVX7eLRhlWIh/eKogv76sqqTrmgd75BME07oxDOOvN4
OkkYIIF38Qe8zLpjnHzuMl98N0dmq2H5RqQ5i0tApcllKnW0GygNMMexk1gZRicv00juqIvM66FS
NPXtmRmxq/R6mN3qIxSM4Gr2wpLgEQ8gqtGSVc4bThFyKwVGktT0oY5CANFlSXZiX9y0PXOPETF7
jAGDPkMJBvq26nd2KhuqZkNyiX7A/BKIvqOLDY8E5fSVn7X5gTrUsE/jKtijlzQuOpVc2SRmfjLS
tL2adNxdhOn8mJj2+Ij4Bn3mVCV7ZxbyMJMgiAuqKa5qQ4XXefbZa1SxwTf8o6I2hkgk+ch4flCD
SRqHT/sK4SIRLKZdXzkT1n2WRWL/XOeLISuitDwWPdQuuECSOH9oSmZeVTLjmIUPZ8MUwOZnXmn9
1yTrOm29m3kHO85e4xI9DjLCd5CkTLnuDwU6YLXHo7WycBCNq64NwOBNec5klnLIa/hE0qBYIpCJ
Bh8bM1j5MGDg4KtCke3VzGqV17QQqTwCnYcqMDbAOAvrY1tYxXFsbDI2UVTU2KJw2dt52296UUxW
jntDV557mkYLiD6LT66Y/wpvDG8bTFgjvrY0NvZOMhTxcUwDe9DIiMLBP0KDQDsXuj3KNCoSgerd
FZog7weI3Jhe4pAV32tJqUwkkXemsV7ByJkCtRgMpIlPRjOvT76HWnfdAZ67Ll0PgRRA2KDHgBel
YMVi5WD47em5Mve0T35mZoAwdH43prYGgyNc/BFsrvHo1940HMsckRBtiC+O35OCBarXWPi8jjTi
neUyvpg4hhspU+OCxDYa1JSyNWu1Ne0Zp5a9qlJMzn3udwer6TusXOEz1OZsS+c721oUUzaV14hP
BFnoy541GoFqpCjtOFZvwAm150uGa/Q1AmbbrzIBpjD36BUDTjPOEi1Nf+dFBfOb4zJ9o6noySPy
nHE1OkEuNzU3fMgw8mExpLL2G0LUi3v6l81owNrps4UPJE5h4bzaYdNSj5y+NfMDhgrmG2scLrqo
p3ZG4jyzHFvLy8k2YvqcM/uKLFDgq5UlT51dAFUQwe8Oagjlfz1XLL+HCgFoOdp6nKd/3fF7kRUx
Bvg9qhAPvYn1ZWmOjx4p63l/G1J43L1/xHhzMgwoinE0JIV2CVp97eptSXQoIhww5KOwCStD1Mai
ZDkuy7g6GQ5CsPevJ96caZYLehIDAdlZtu2/OjmVig2O42Y5EwohCStmiWqTtERfblJVPJM8G2zp
+LMflP54/bLskHUq3H1sjWJH/9JYh1kun6u5Gfa6ZV1///fZ//T7SCAGHuKBa3tzKK91UlFg7bND
DC71SPG9+FHZDWNq7CgrF0umnN7mBEXAuUVcfDm47DVFxi+mZm3BiyzoylTl0bcw5U8WJ882qem9
50g6T44F+6pUdKcytw22HVk2oE5p5h6ikFnZ1hxct45XhHc2Potn2yUyfoXBYNj7hvBuQP6wAIeT
zh/MJEmfXlbFsjQDCuv0gePfPAuxvItXo0NIdpTg4VwJC+WNWx2oEqtXdugWbKY02mpFohF5obbz
qUkgImMJh68C/GEnSb1YR6o7vv863pyz6fe4vgWnaQlot16nv3Zot9w6wZEZcN7eSyOqTjXy5d9M
A28qFlyFQoXl2p5jAb9/dSTtk35AvVslBxfeJpZfJq6yhmnaAF+AnZlVxGmkHB4wbg6f3r9B6+0z
ZotiL/Uf3GK28/o4TAi0Myh0fAenHaPwkDugPYwwDJ6Knq0x/gI5XQWGDB7gfz5kwdT8MGq5qDAH
CZ2zKuNkmW9Vt2pIjkKvg/Nkh8RLoSCM8DBDOvnWhEvUkBHSpPmr4vKfRAh4P9//+7+evxW4jZOW
PdPX7hfTFMUlpu7/vV79OFX8afQPf/N3pVqYzgeTNcdzmX1NCtZUXP5ltBKCf0Vn2raplMDa+J9C
NRRJwddClYsCF/MnH/K/CtXmBz5hSt6mDxaLr+mPgJCvhh0kSGnivQqYCB0HSNAySf5UeAr7USQy
bMbLvvgWtTl9ki8/PY3rv+aQn3ESr9a5Nxd4NeKUtvOi1lzAxwMew5bqg2dAAEmABvPb+5d6nSCN
XQ0vtc38AYyYKon5asWZBGc0mTviAqjaRNrLqjAs23QRvWPybOQTSJ7I/xqDWezMvVlbrcHpPZdT
Uh5NGzhs8a1q0BSCqoHvRXl/HxJVup/8sv9O5R7V4HmvnNZwTqZbz2c5+9RQ3fspizdljyq8n5pu
l1qJPLb0Aq9TMgnQ8qdhU3KiKQFL+LZCF2MNrgEVeRxIwEKOUhCDfNcE8A/V2oVG7LFRq3x64Sj8
gAOUvXVUnGw+shbAZQ4XV/rMxnncUcnJ7eLkdTLdSHp9l77I5PhkVLh2MoOA25XfkdLAEu3YVzS6
OG6moPeMuxEvkgN0DcxbYNTkFqc4qPA8qKT9a7r9z6zxm1nDwq1o//TxvjFnXmX5M/j/55+njb//
6O9pI3A+OIgqPclmle2T/KnBJUz7w7JQe5RxTUu8FPn/5c/0ln+zLC7StRjLf88Ztv3BFVJKWgMO
Mn3WoD/xZkq5bJZ/2i7Q0LI9ZMyB4BcIm1H366yhhsynBS6ao9MZGlNVTokRoZNddP6NjNlQknIZ
GSVHuXiW20y5vQFCU6bfcvS9FT5AypczQa0FAVF7g0qQuu8JMDn5Ed6Ra07N6mlQifdZIoc90uzP
T9gELbIIM/h/bIiKI+gVoC6s0ptuSOFs1Y1RfS6pc17AWq7nfTGJPfnV8BLm2KoZK5SxPgOfsP2D
bxJLobpmgm89Ii68nizpEaZEPgpszc7Z2i7+kTUFWT95Hjoj/oTfvi0OlaqyaFe38FzOO0m6G9wb
WM3OmmSGJNarAmeVPV7iG3J9XIQNCuTLimMS6j/dQv7D5E7V5UDKma30tqga0yiOJfOYn7/YQEGm
AVMswks6eczLhG7yPFHyT0U/NuuQndNIqsoAvE/EoTC/jpDTxnmbxYmEXZWVreQgXKZVmOFPVLNB
lHBPlApWFyB+a90FzlKs9efGERuZkqq2pgYWlYQlRMiVkIn6SLzm9NscTlMrs3VXRJPcDFGVIJ2z
nCHaW5kO1aVXdMaZOZbq2kz9kGOvYTOZYfhIkc2cxYh/QfnV1h1MfCoxdktzf1iU4YJi4M4N6unZ
q4nmAOS2iE0nZCuLonxYtOUKAcS+ap3irKq6fp+Viwi9edGjD3m/oOnWXh/DIV0U67YbR1cSAuR6
iHO9cQH5IMKQNhj8qDq0cxDeqEX7Do8KFQBhiNR8jaG+IvntY1YV0Q3lgvZ6jAfvJq+z4XNc+HqD
hjY8qjrWN3wP1W4aquQhR8F6TTl6emTzDyIRL+rC17XCDYundxkQ+fdAZdE+6Ng1rgwYmd2qVQbB
FJ6yz0PEIXsjXWT+wlMZjbjGxxOxWAAaV5R37UThlCzkONJrSf9Kr5NCeXpdTfN8VioLI2bQtcUW
YX93NiJQ2I95Fj0g0bFPwbxY6wXbxHsCnTm940QOUZ5nKv8hRpBHqORmJIdRVVLctqp5NeG6vlbJ
7J2pUd6njbdp096hZG5r7xxBXIStCboBtQ3VD1d9FFknoXV1YO/Qr7p04l3jwFU3ce6WD6rV5R59
Z/1ltOJHsRgrutz3j7xpAtRr21mDZ/MvZso8N6HbxsfS0QqHhD1/6u2ZaMEAu97XtFLmyZhLjwRN
5MrHkbTEnZPW35fAs4OQQNpjjY8yC730Lsj8/pPppvnjlM3Joz12iVzLxs8eG6MMNiNuvoNrdGpv
LqaSYLGXgLE7gVggPGSxnaTKxoASlIBGdRuQijplbBT4W+MKvTjGarno4aRrJtdlmOKcNWoN5YYo
Pb5iDoex9Cm+oEdqN46B9B1yZb0eQywSPBf0tNDa1xGkxRozyLEyg3JjT9J6cMA/XHWG+pjM6i6t
De+blhWiThNYISDMkc3h2qrn9N6jCHQqzCkkU9bBMZa2BL0l0Vmw2HYWJR1DY7HyLKYeGgPVV7eH
NoSKt7q2MWl+oTtBHQEyMzkFxVif0L85HyOQ0GsXZ6WzGosGh9QcRBeOJfrPHfywErsVZ21SiWeI
wvM61eqI1xLROYKc7/mIVBtL7TlS5HEr3VFv4qG3P6HMTEhcoXO60uM44cgDBOVkLlubrrMMRhx7
KKCR2tipShiIJk2/usnSFuFr3Ylgm/daXA5tsrB+wsREbliMqT5Ycadvq9GhbZJFo32H1Nr/ko2F
AeUJVzOJhjm9DHBW0y09Bv+cbqZ87iX1moAembsgOZnnehNkSCTKEGmvHxOBMRJ9/oLxmHAaX5IU
T4ZERKdgI2wU0hzd47Oq8AdqaRNAI4Bm1WWbADoJRgkxEntYw5p3K0Z3Oos4YIHBaklBTMP2TGY1
Vl1YtedGZyXrwK/9rw7Zgj8qw/mW1I1FEuTQdutpsaUR+LxtFGXvpDCyixGU/0VgZ9l5bKKDX6Xz
19i0aDiYWJYcrT9WprrTzWyufTJc1mUIaSjp3XiXkDu3J6QyuGmEqrYG4cb2mnNlCzwwvsyzIdo5
fRICrFLiMWmks6eOjfis8b6mc+lT3qRSHTd5dR95YjGAqJoCZ4ZFQYUyv5C0gNYAK4eLqqQibIyL
UtIt3A4Ysqhu+HIL7KrBeJ1MFbEzujVMmhoiZ9vj+A+RS4Abv3DaWGNdwsCqZU10hiyui9CQu3wx
HYrFfmhifIfgaCbnhoq8FTXyat/1ut84OB8/00eIN7lPnXXA29i14gvdw2w9szyeD2MR0XJazJCO
T7W3hPG20QVBZpOt2x/CHrJtTzDWXWq6ckv3S22riLwPx6eKaSsjvEsWZ6ZreohSAxsKbZvgNIlS
W2zTF3OnYxX+2lCxcTb2J7XYQGU5flEEpj01GutqhCv3W7G4SKfFT8q09xT7+XeVJe2Zje6PfXe2
0I74p3DxpU6LQ3VI8KoS++tshkRYO6tLBHJYI/0apECiupxicydLY+W0YY5vIbePVpsmu7pLm7Oe
Dcm2b/LggKO+3XmanZcBjnRPOWg4JS/221zDD+4WT645zaTALj5dGwr0104i9Oa33ydgfNf9FLsH
zh8wWeXF7KAWKRfPr1kH1g576tfGrG962oKwAMoUO8y8Z4omBxDlnUicaRXTLN0l2cwOIycuIzOr
S69WN57Z7oO22c9j0a/MAgaYGZe36FEIfa3maFcqnD+o3xGP0y2FjhUTC5svTuf8wi4M4zagyrfP
3T44OFRhKH7TO87K60kl8a4jk3VpJ5RrN59ugsUwDfGUHmVX0zPH7EVFufKxZ/ZiX8KWZhL27Cuj
wyfN3O7dY5EG1JqGpJBL8b0JXSzuLxbtoicpLyHgYwA8x3pg9zejJYKvSTE1W1SLAKZb4+Dqobxx
jcFnMUaxOcherM2g7s90oYJDWkYGScuzfyy66SZP5BOE748vB4T/nKV+d5YSEGreO0tdJF/jJHou
fzlL/fVHf5+lfOsDqRBUvdncBMvRiLPZ3yWYwPzgUDegXIB8CW0iwZr/XyzofxBgbCyQorZrIuXj
V/yrBiM+uIE0CbZAakDZksrNn7BuXtVI0BZh/Kf+g17LxLxuv6qRsERCCs9bRLe1M3QNVu0i0QeM
A/C5YrN0iWyIp6I6TzNhjDQdS+dM11Ncs2wFtXz2kqG0xIaKx9KgkikZZRwEnJxAmchqWDdh6FLd
JNOKAIqfnvQ/VHeWX/bTQdCiQ4ESkEdrUrrlqPrql/ttP+ahmtXJjkx9K3ClriWNsvNp8EwIVhMr
8fsXpDXy5pLOUkVDGOwgLeKZ/Xr2NCh61MQjRmA9gnOCmY10naPadvepA4uag1BjNAehTMDIYxM0
5Aw6g+fgQ6H0u5NRLKqz0CN4YzWzrABwd0OULFbn6mu/TIDXVyVx2/EChsst0c17JyyrU9qKUMF0
L6nSi2zZZjSqKUgx1T1o6WgkF/BkuIO+zWeaAZaY5XNX1hz90sbnUgGCkGirvHBp+8pQWCvsvGxw
XN4I7c2u7ftd2IItnLB03yth8xGMNs0PZdOMmhwjUNu5q8WlAtCQrL0omaItlEgoOchq9LUZO7i8
mjiy7oXgpLFKvJZ7axW0YyOe2Am5Iz9DW4mvibey6s/WMGYzdDmria90XPCLgknaZ7SdYv1RkaUy
J8geLHFvkejVnqwKTejlnI2esXO9ya0/WVDn4mOncPh5FA4xkVkEn96in4YsZ+eWfsTToI0n2+p4
ckmr+T0TjfPqjFWAHt+gMv6IaZhL5/jqAGD3Gb/OSgd6KHpu2BAawIbihfKJpqtS5QK1xktFxGTG
li+liP4A4Sl4GHrFnwNPpKXdJO5NjMxnZnPR8JCSicVy5TqIjT/FxGnUByBOiwW7yuweu4/NY0mM
HCWJlmB176a54rUOlrTEKZqRHR3n5ZV4y8MJmoR9z1jbbDUbA3VLknfGUo0bxouYYsONQWlBr5Ao
6cOCkvbhgyaCPHLcHuACyUGg7uB6o7dBjp9vWSKiDUYxAhUtNlj34JW7S+r/dMeLFDc8R5GeFIe0
kxfTFLkPBkf/y3Go82vbzqJndrTJAekeXosEP91zGWXDY03qpYZsyicbj6CZh3Ho/HWcLl3VIg+z
icKJC+VE4ux5MNym7W6sBAbPRg4en82AXwEgB25cdQUjRNq7VlLHIUKtb2zB6dHxY1gtKV+k9RXN
HO8ODIAzQqCh6rIkjBXpj1qP+jYpTEQmbp6T/BbxjbQUQHusZoG4J9CG15PjYHVXRjjybqHH4gyc
PVBSPBkGF8npDMqsrsZw15r4WD+1odS39FMZCMbs8YATGAvuPgOYd5LENmAupshyiIYU1VgaWvoa
+WhzIIdy0ud22fPovapf/Ic6S2ccFy3iLDKJeC5esNDEX04Q5Ipb6j6bZ8N4MHpvbs6poBrqetIA
8Xc5G6Dx44xhJ/hImlyR3YZDCiW5MPA3hYNtn83D0sabp4JnSVefZ6nNkcZfEEQ8CFTA6kAZgoAg
h1klPtaNx3nm5UPOtMGLqwD6K4gEy6DoMMISc4hnDdagU+Ew7Q3iXqiBx+4nnfu9dZXCDmvgnIis
+urZo7iMXYz/OJkLrontkdOUF0YqfVJC4XZfyZ50Cpvqd/ZIda0VGJ/CWaqrqihLl2McB5tg6+WR
obZWJvgvURVPj23j8c67XInLtJtt/egDXsi+S6+0OKo4E1SgbYEr17oqWH/mZgUeLXLPwpJEVnDp
FanWZ7FlU5ySYlFYGklkkh8zA7JMIv+ytM3gkxx6ADOzuPPAlIxrotH6jyQAGVtw3TG1OSwwNoCf
M1KmcQPhtM5WRTKMK4qT1Khir5AHtDfuSE5QiiMEISPN/p2DBKNMUYJOYckkU53VGJgfWopTa7sw
nwzENqsOaNEqI8xulcSj9g8is6IveRt633Vkh9jjVHnV5e55z9F72ma50jdu5UVPEnfttmCR2tB4
s2+RPZdPwomLncWJKVxj0SRlsvPUdRBN2drDvEQMJWGLFxys849W2nociNtuN7NFXRmD1utSweJF
9osLNgfBItGYbPvRy2+Y1usnEljju8HJr0fP1OleNa2za6YG4g+dvz0ObRhrrZt/HAunjXaqK0kb
YAHb5FkzH3MjyHa+jVJkaEbsVrmHfiYZ7OqeRaf+VEqAC5t0bssdvvDqMXbd5dEWYIhRLeN3d71e
X9auttnkDsUmgn71AxIBLj7A7gdrTqPdCJr5UmLjdjaxKctppSe2A5tWWcOpaXFO+nlDyisK3+rM
i7W1i6S4YTte700d9xvFPX6CzIr+hzAc96ykAz5sp8LrLxsod3dBHbt7o52znTQCd009bfZ30+S6
l0bcNScm7OlgluV0NhoiOJu7bNxOrVLrDo72uiEQGPBu694PyTB/M808hcQRzKAuVJBv3t+hvNnM
kf6G6sd7UVnQ13tVG2+qwvbTHG6q7khahFGAsG60WYQcA1Ee9vXqFDLKD+9f9VUfj42YhxNGosNn
p+s5rxXxTjjHXjzK4MiZvv5M1BETQ91Z7DHev87SD/x1w+d57kJ/pIlOTp35avc1xJUL+oJoRfgG
y5xqKubsBWctdciE8ecXW0T3PE6BN8d59SjBV7RGxCbw+FLyqRbs8ItDA85NsH3/Um83sqhUfJ4b
TVXBfv7VRraJAq82tOkebXcSlyWc6r3EKosWq6tOrUfV4I+vJ2jRgLYJTJcS/6tWpYCdSIx3AYtD
x+HDX0tQGdNIoMyw6FrbZOLxvn/N5XH9+u64OfqULCoOL+/1Zn0qIqcDVeMcgUWzu/KAXWBXDVAL
rDCiswY6OIzstQH0BSUyqkL9xx8pUmyoo75JCKb1pj9blU5jkp3tHiFOqMM4QsTVYqxO79/m26HA
VTxBFAQ9rwVi+usBIQ+tsQyT1j1GMJcPNHfB3PvT7+RD/3QVDpQ+ZRsEJW8UM25nW400uJcX74tL
0iiBq1RA37+Xf/gs6fzZJpGwWJlhEf56Lxlp4eAYK3m0ABDuExXzUQzTiCsCU4247Go9zL850r2d
v5jTmU24Lcfmn149vjLBpjrmrnOko+1+EgC4EMgPbEX6HMVWCSqc+k0784m8f6tvZxZ/Yc8hjTHt
wHozIgIEl+ZcS4vYPkZ3WDFPdi6WpTkFzv7+pf7hFvk4MJexB0de8Xqy9Ijk4lKFdXwJNJgKUcH3
RKMOJYYZeznB6eWref+i/3R/Ln4YrIUSkdVro94A7t6OA1cccxcjUVk49llu+vGeg85vR/qLjunX
oR5QnZBIOrzA89+OtEX4bjKfoJdvYVGnopAjiFMzv62HWV1WJAHS4pnYJuuRfR3q66m9HBqin3bI
wBwOFxWS8QgAu4AAza5zxgN+7Wdunf/msbz9wsmjsL3FsYaHDBXKr194SfMyIe+IL7xARLhOQujl
qTZYL4cUPdUqDdjWv/8mxNuxi82TUbWIwXAavlZiRTn1kpA17mj4Bntd7ducH+AaEcukBEtmXIfL
954m4rKB3PkZgvcsMKEH+rZprWYBYfZzs2OXBOKaYIr4j0c9vRC8qzgFbd7di5LsJ1GO2dA2H3xG
fTH7bLpNmT6JCLtEC98jAQlOnfX9J/Lm23QR3zEaKOXwiTqvL9gk7bLpn+bj4ITOc0v4R7qampLP
VC+Kxj+/GHUjhDduwFTzWqWDnyYwoyaYjjrC3ADnODg3W1AdcGBrTknvX+zNq+bOfOC+aCaWFe9F
MvTTowSSIeo2NKejG0oOllHS8WUxEDklvn8h65UmAjMy0+WyecBRypL+emeU0yvTbu2N7CBU3F6b
nOH6teG3XfYxNKq5PdWgcNTWiRzMRmOM9DqvPVuh5luWwarRt3GSUScwRg5LKL7J5Jg9TASm4VLK
oupl78x8qX6MTcbheEQ/fN2VZLQVfzoRuxJ8K4Iw1jXst6+3QklJjKRXtO3RmjERjMh2T4SAJPvI
hET9/kN7M/i5FN8AGjccHd4biTBUGqsbNJA+haiFtIGU+28qguUNS1cnp9S/rR8uq9dPEyPCGOZD
RF/8L53jN2+pnAubPrV0jm6jne+uaw1HABPBw0tBxPVaqjoN9J6PldbWbwaZ9foTcRabLHZZmysv
smNJGfpnsZ2T4zLB7JQeBWGZxUy+HbQXMoGJ17KRFZD5/oUcpIzuUNXSnQoi/DDAdqIEIPBEm9Sy
0unW7AuqiHO21Gsa5S0HC2AgM3hJviNVAL8jKE8k1x40upL/EqSWQ4ApDK9A5ts079IWo8fyeeUG
i8F+6pCXHQFM1HRJ3VZfy1FTGoOnSN2PvisLfdIMYMOB4VnZhTQXEY4psuJmpNpwqdzO2Gsnca8r
Oqt0ijz4q1SxibA0vcYyzylLm+W69WQfgCJW9TncWTQsXl7PZDdNzcwBek6ORAKJNXkhsqd5K+KG
YM++SSRccSjlpJnac7r42nORUjzq6TWKb1BsMoriRsp4CXS9FEPJEYyvh0nzz57RYCh0K0qU+LaC
MD64gFKbddnM/Nu58f7efA4Zbf5dgGAQGnvNWItLJIE/qJYDyctEpDi4w9IIsrPIN/RtDeU7vsYq
llfnWdQM3U2LA6vY4OlidFeiqLPbajZZL1TfiWaHJl/fZiZm78h1F1R9LdpvGiPCTIU3lfN32y17
50I1YilFjTmvmWQc/pBbl8+ShLf5rsZajljeSp1z+Ots3au6pzaXZF2mdy602oXPN1G5ojVFIdwv
Jtfe4iDlv0izOMSWN9rlWaPT3rjTVcKlm2xm1QpMvBvNKs7t1roqR3hXtyIx4naT8bnE15xXCfgR
k0dSIR5O5wwMWOtlm74bjPVclyTsuBZTuJwjvqCyHDhIWN6YeKA1QjGexWTihKyrAk9TpXJqWn7d
t/Ne55xh6bkFVBmxYCAJEaVUOTFFkg+sjFGxXRqJYm142QdQs1+g9ZFLqSF20UEfheuRABZSCPEb
qm2V/kFTLrz25wFv8UsJTuY9P8aOtbh3Uks+J2Ech9u2b+l1/jWs3MU3aS5jZvSIzn4uZULpDQ22
uBdaxOjQWRWbtUXfEPexK/mKGt9dHIe55Lla7VIzt9O2/4I9fBx2Gnfq9V+tGeE7z6G0l41E5LC3
8ysPq69Il0qsojy/qlOOP+D4qMC/LH8e+jh1HVO78s4lCCW0Lmai012F56c9YfZimBa1Qachnxwe
rBMOjr1L0YwmN23Z8EOESe1kV8M8ui1nNBdPvfZsgwxRT2bZrV8Fur+QOhf3bpqWKNZI7Z6++wad
jC2Ofev/sXdmu5EjaZZ+lX4BJkiacQMGfeF00je5a5dCcUMoFArupHFfnn4+j6zMysyaruoC+maA
BiqBCkRIcvli9i/nfEfeL4ZiCpws1MYofAxYV9zHrAGALiWMK3ivSLY5eHPhCTuvFOZ5j0+g7UlD
hPU3ssMm8ADnjM8RbmXHou2Y1i8FQ8mQCdrqMpJA/HYsdX1m1MaEvHcZkK3DmE2/3vj/uyf9l3tS
PjV/uH7/QXN6TqvqE0TQn0Wnxs+v+m1R6v1Cm0njwDr0io8AgvL7otT5yUfRbffnLvTnDvU3qor3
CxRjnA2SmRCtG+rS3xelgrwQVOVYy6loUY3+e4tSw+Q3+uP9rXsGTbDpMMPgASJ+/UtDLDBmlL2s
9FOla3XSDL4hbW1LtFpElLQxqyCXAszdIkbVhrPGXCmwVS8+57kgRK1c04o9E2Qy0nakB1BM4Jic
10LKF/BIRN1MyExi14yfyxmhdRrb1usoZX8mf7m/WyfAXGFaZxZ4Kfyu5xjdI4hse/YUEr8k38N1
rU5ORiwSQIH7ooWjB8QqWk5so2aIvLbZ34wZac3PIo8G56Zbr+KeobAnVAiyFMP37Ofy1uxmdmO1
viFkM1wXMlbXvFu2otUFOAExvGHpndg1DWOpnXOREmjVtKWjwpzX9pH47tL2BUEbMI/RVj0byYK3
lP3X6reAiO2DtC3C1iBjPdpyMA+dA1rQnNHnUpcHqZOmfqc3gDJHxvo7JO1PUEHzOztjg7nnn4gz
EblRSQo7iU89uR/tpsXmFiA9eZ9zCWZOz8rpwG3BRUFSdIC+3cMzS/zRlkFlYwUrbeaDoRfWefTY
Rxn94BhIXLyGrh/l5suKtOZROVb01PaL6R4AYQhtm3XKKsjykpzMDkpHBLxtEmiYL9CyOg7PgRo3
DQjyo+3ViIaVwyJ8QJh7rWzIjiBUfDr1Qx8j7YlVEjipvT40VSxTfRfFbGdyA/xe3zItIoJhv2TT
Wm0ZHo2JL6MmC90livayLs0vahUQ2lYcBE9e4RRy08eTk+6lprvFS9q6Q/Ucu+Tu6CDBiDTTgonI
667bsRtZ9O5A5hgg9TIrrNR4jzsSk3jlSIOwrMILyk76ZqPkZcXKGsx6BMsBa/6B2fWDm0R24LHu
9fO8njIEPPAyZd1A6rY9+HkDlLgNyDmRbjoLhjt5yyPRxa6Cies85aCWS8s8xEN7thYXth10QFi8
F9msIFAtckfmMjo6eRVWVKbPwOfuZyyMm5YfE8bwsTfQMt4MfVpDVghRGI3LI9P07tAQ4xkQ65vd
NKWmH5Ql87CPGhP8Nud9TjkbdBrO6lLO6VEySgont05PWrGsB73ho2nahfnsLebXqneJOzfQg2VX
ZihYtTGsK6fvjxYJmQeqsm8t1cQRTVZ8athMoGYs9YDg5R3rM7+TagjlCt2QBeMWlV3lx43mafhl
M5SZwHqttfkCFYMEcbYP4IvQJ3uyJX8aYhTJpsMS31QWvHdGsGpHnOFjD118cwU9blgzRL5sMXfw
6LNTZi1ay+KxVwcEHsMn8WLL1k0ETw4ftn0D4AwTugDLCnG+bhrcy9ZjI4oHYKU3qxFRlw66n5nr
U4q0rtY77+jE00PnkVdGlsyWKO8gznj2Yzvx3VE+d02zc5f5nJka8k5rmMNWFX0wRizT4ki+2NjT
N1NVdlujLD4LqbdgeycbrkoyPMKNPbugFX2vJy+N5FgOwdQ9SwX0ICtnNkmuZxDvQTWgD0BOyrmt
WI4itWMg0hkVr4e9o+6Bkgzbbu+2xcfqoAukyPeOBJE4x6FlYzZHIoML2Gd7XGrJlk+FcR8nzf2Y
dQDt+KXWurrMrszei+tplg/oh5GedxqpOaZ8SE2g7rXqE58XjJJmVt6b0yRfdK2jnDHnH0kP2jR2
OlqUtCk25J4SI8Pi8ohvUAQdx/p9LyYiFFfbO+SZ8xDZ7T1rcACo3CsA3bXJ8Ttwjq+cKwBJRyci
n0n02SUz0XU3hK7sdF6oUK+bgY2WlTwIkNfndtZRN2j9VmblG7mdpDJ4A7b7MqwaeJdzppzNWnUP
HTBpniHIsYOeheR/Cx5eLd+JEyErNuF2aCIfybdHXkz/VACiCM1yjR4hUZ/VT6qz0WfPyFqeLdwQ
m0Ib39Gyf7FjQugHIhaUMeBnKND3YpQNu6k9oBzdeWYW8SwSu2IacbOb3PajsuDIWu3a7XX4xCpy
kJmPOZuMMinGk9VM+iUxxMPgqZuiS17s3CR6lERivUbix0kbwE35CpSc1Svq4fx6lirNvXM7QSxG
Nj9AwgbyrsYYGaG9ul/zKDa+FHhQtq1wriJoScfqjGe86cHY5Ee64z60xsY8tXaGEHBUKWtzr078
fCncHSiA9ZDU/b5X2XFMo3xHRB5MWyxKrCq1kMsMjHbk4djGME5bKAf5gQQbInaPkfeCDFPeJ+U1
xdFpmzMx8QCHp7EOQLAn39RsSx8l882cNtwJU/FsyHFfRTV4x5WLNfNgtbT948gcFMNr+THO1d5z
ly+ZkxfByO+DcKDOfWk56WlcyKvFtx1KwppNP7as9TKTqUk6RNSo7UAXdrJSKw6Ryy+bbojFW1QP
6oHpUV5tNJazKnBzTqaxFNVdrI2Y4us2IXmRew02e7VfakxdhmGoEOj0cGMSiIrKw6R5GZBBRgI7
jTZdr2dSlmvbI+bEukyg1F4Qa1S3eqzGeSuXgiixzbJmw0OVae7B63JoxaN4lrOuvmlA6kGVl2gj
QsuZBLDQwpjaDUEsRNZyz5rB2HsfpTbeGYkDpkBO/UNnVXdTpQGiz7X7ckmGW2hpr10r2nCY7frY
rPar26EznQGWmhriFwaX49YkSPkrxyv0R4AF74SZtQE6qPYgZs0MsnpMdnZhY1hzEfiWaPj9tBvf
vDjugkp3tXOMWukFyhARXGPn/rAHi3Bp1vjIPUXxjmVveXQmkqTywX0TuaWQ+pfOC1mR6VaLbN2H
spM9kSpLntp0Fak6BbAIAXuJzB4+RLxg2UbMgkRL9t98rnl4MR1MUGbfVZt/W3QNJqtXja+iI/iG
TfwFLhGZItcAJydTBsiCtEUivJKRsVF6W5zgDYBXHqBOs1WPz4ZZ7PscZw4ZNah4B69+QBzRkDXt
JsO91mBLWh27edVWb1/3y/w0AiYKDS/1EJQDwr6p+v47CvQPTucibJAsbunhhme4xifCrLyd8oCu
WIi8Ahg0XBA019ue5CE/sUzGL3BsTZQWAjWOaTU3mdGtG3j3y00pJ28/Ee2zdZLmo4hL1MFzkRp3
SoF/5oDsEIwNAu+M3U9JsZNVjK6ilDmXVweIvGF1eYptkLIFteDLFauywNko3CtZYhGPZSKMbwxU
7G8yrZJNs/axt4kS4CqMzQPmXnlowjRC6wQWRZbj0RlWDY07WAlh3hKxInGR4DUaIgLzim1J5QHV
Jx3JOSsjg7nkqUUjERKqFj9iRGKWdabQ8kvyj1tvPcB5+M4ay941xFxuS/ZlQHriqzilJpBltrwN
l+SOV+1oZbLfeHSy26IG+jvL4evYS4ybqxo2lSIrwCogzbRRw/2X1/tEVmSURgrOuWsUe4HQYJOQ
I3as9CmIWnHJkkwgE7LbXaFs9wSQHxlhT3Rm7njIzJKwGJv2oU1GudONb0OBralHDxEAeX5m6kSe
XmNuIWoLcFJKbSEKgxXJMCfZSxU4TbEngwFRF4ykDYs1w0carQDujVv0RQ3HCYmmCCjJEGgw7sO0
/zp5/Y1NgR8ScaJtCPR+hl5QB3AsUQal5WmywedkhouIbqY0RNsmC7hXijuxqHGdyAcPccnOjsVH
UQ3PqGqsW81e78k+Qf3fW8SGooP0W9VvlVxgSiurPWvtPJJDq5kvLN1whhRl+TxjZ/KZZRJgsGhk
FxjA5QVRRVnCQnVjZjWTtXJ9hr6FIgqdlp/WUfo9b42tMTsrkCHe5XOB00P/yWN3o2fHKG7g/shL
CwDbH5rqB8UvVOGkC4xsrf1Ew2ozyxGpY5eEazGUz63MrhTtIQ7BzXmBlBQ75tWZtWhZcc6xxG0W
YHmhp1vNhXiQb3rXxlsvnwFUTPl83yxIIb3ONqDaO1Q9BhQRKNuXal6Gi6nXPga/yV87MmMSqS8X
EDZHzYAUDzdI+M44soDHnnTD1vd7Tb9RGNob0WrvsSKKzejITOm5hs0sR1mzHiI3J3VR03ZF8kMD
uL0x7E6/MbpM7Zu8vWtScSI7i+MxaVwf8YIeKkV7i5hO7EQ/7szaMphWZScXsQV1gg5zzH22nERs
RLq+z87wEQ3xt7rOef/U4n7oz04dPdfj2pNMW8VfNY1k+IHIYbJv0dYL5waM9RcX7X3reTWRkYQ/
mLGrLoQ0AZ6pdONGSnWfTVRnWpfpfj+sBPwBataBLZGlGK/a3WDDyt7k5bxyJWRkTJncBA3SA5WE
i+t2h5Z38NelTT5FDkFERGRzJcLs2s0kYa/hxSrfiprksSBNjfLClUW4ylyLggKvhtJlJi1Jbcgq
9yPgcB8oWr7LUjLRfGW2egJKmaWviYnPnxl+0uSo5nka3IJBZzIeqKpzQINJtZNeBUd+IRsHPp0d
ttXwtLQriurau/XcIburUs34YaXdcFqT1D4q4bZ7AMT5caijJbQm2T5JgMpbtzXf6eGzc44Tzo9i
/RYszUiUcR3fYMAT5KmZ1pmRsQwaokR3ogY7mBHoFY6O1MKerca2TWMKgArNVyXkNkY3CJKOfR1w
g3jLbIOwRqHfArtBXqwyEYA2j25tZMJ7pwCJXzKGL00H0W7BM0ZRe66Gotq32XKw2hHZ4jRekN9R
VnQJQtTc+wrIJt02roPus0wQ5SqrogxqV8x2fHs8dIwTabJsYj5Muv7wmvPDZABSNfrKkJDR4kDd
eHBKvCRFUY4hx5UVcJovvPRWFRRABjOoKjRT7sOQaXJHK8zERczZ25h716QtqednrmpuoYlu4bJ0
3qnqyGxRRKxuzcgh+TIvfY2R96Y2zAbOXKdD9yjSfZfLa4yNyjYoCfVTn5NO2NXiR7MO5wUZ1uba
WxBeeDE43YN5jcu7rOVlrHMS673cJF6lIKcMVdnGrtN+m6PnPk0yu0vNa+JbXZ5j23mpXa/bUV83
WG54+3fzHFaGjgGZeUfRW/QyxIaFQ85GQUO4ifCx/1xrhZKwPy/M7zftEjHhFmiC4duzz8AbTTz3
ZiJliTk14xrR+WiLOZXJeN0ndYEePCfrR8zLceKT6g8Ro3Z96DkjLaPdUgB+G53sW+pYB1c2dzPK
60PaLeaWFvLEEf2iorHCIzYHtFq8k5ny+/3YAWMyUp143cHcufPEGIV8L/I52Cwp4wFc2wGTcLCO
5JY0DXw7Gp21em0kQSabaZrc0GTGzNn5YC4xNsN47AMcgXRe7gQzhnawxym2rpjymAhsjSidjonL
/NqS1beqr737LNZ4IV1r10xNskVxuD6jqLhzVlgJszJMEp30sO8sB7h+i6eTQlnb2oWzbGhwsids
tJ+u0Vy61Tzlrv0OLIKp+HtvkPTauz/acVG0uQQuXGMP/K70tg0JIEamMlLjxh+qb3O/ICaIfMwk
aK6j/yvzDucsoScrLHRnzTzyBCpmAYmBD4hT62tWZ3dtwgHtd0Nrz8h8pXNbDqN5xD5mK2S1xPlO
I0352Cwt/4ibHME78WQkawYVHlrw5D2BKI19grF/gvbo29nM7oa8oSFkioMCpxgsKO0GiPbMWJoB
jCRGYAmZzdtgkWgPadGwAOFUI8OpM1qrpDRuIJFhHrT7J03aZReWLmrPsNVy0jwEK7YabAUpmRwf
5gDREQdxg1mK58jCNdnCxln0mwELzLcun528B8DodUwsfl03/0/P63ef9eW9/Oz+z/Ubf1BccM4l
/X/++Y/dr3+OP+vr9PtPf4CfmeK9Gj7b5eGzGwq+lG/0t3/53/3L//j8bzHOr/vdfz6J77qU/xG7
9WfT0s+v+20Wj/1IR5IBzsS6csT/aFrCfvQTbG4i5PiN/MD//Y32oP+CKwlloWciaLQd69+iPTDg
//PMHS2ABeoB4JQthId66TqT/4OGgnFwg8e1yw8lNr6zE+drqJkdn421RPBGSI6+7xsLaCh+GS4i
42cE1whVHzV2vTwDMwCGiQsAAgrHKpFTnoFt1M8j5EdM8fKts2iIHVTeEkGK33FYT1HqLAOfjWsW
BSacs+fE+p5HySG3JHLOL2NSjZ9O5rKpbtJ0DdtEeLhtkGg8YM1wiD+J5p07TSwEHR6vEsmyc1C3
HGtrZgNnkwl5Q1KYhQpqqtS78Ko1RCGaw9lkJbggGObATyQ19b5YFPPSRwN8o3Z0qbIMakRUlt/H
WMR2OHkO1S0BqXEalEM8E0UL5Nd6AyADfxFbitcnp7oXLN+v5ms13TUmEIONE7sTcdKelrhhnS9G
/DARkoXGIy8bkgjiEl6e2TG3IppPF9bBkNd/GRuJ53yZia2rdowuUbRoOZW+vSScXKRzYCkxJncV
5MTktkGS+Ka0I93Br1QRTrou8e3okJxa62vBhNhZGsy/ceN+WXHcapyK0xywcnZ2g71iJCUwhu17
+wGXYLw4lI2dn+ux2BdoHKjDoTpPEajbtrhHTl3syrbUzwioWOV6oWpHN/NH1G4nMAxU2Y26A3Vj
8oZRjg4LLa19bQHSMNrL/Mxlln/Rk4WExaJKfIH1xe/T3Pq8xoU9oKIBg+zNzRYvpxcmlZEeepfI
s8xidDKxpdymTlsdUq/qj2Au9shNiocEIOL9OCOFR+saO+S8NTsNBzcFQHWYveXJ4bBrN5rndd8s
YlwfyjxxtjNdMklONtzoqQevoxdd0GFs8bFEFVTEBPQ1mpHs4rn2Puw4ZwbZRm12N2KneY9Hrl+K
gEW/eIvLBQEISDtWCOohWuqVft92zKmnBma+MIunTFPmm23HKr7GgXykENpebPzjWwl4LeRKl4eY
1pYh9VweWjF9RuSpvq9MDwNP1diOxyTu3xnxYVpmpUxSo9zkajqNMrFuC5ihoRhx0VIKRQSNsow+
YMCxyax1jLfZHNyL4VQTZdvUH7wsL8iZWjyq/Lp76nDY3Qq87/tclOI0YSK74FxhrxUrizzBxLiA
Os6+NFWSvfGKFrt5HsQJgEixH6pKXfJVFh8KAmrkQ1Fyjmkr1rvG6kcaGwSWOFSMcRMpwm6WrGfZ
rGmMzTUxp2d3acW9twJ5oKTgY1/MbcT43k3TY0XzeTswlLgZW5G+IqOYx41YJv0MwCM990nePA0w
JK+Jt+qIS6oKtDn13phoZi/taPcnklI8LWBYnR311VnN0CiT8g7NcnRQ0J13/UocuJ55btg2o/XD
GmHVIipaXueMNGuGkYcqVySdk/yL9ajaAovWCW66rrCq+GB66rRYOikjnqA4lcP3oSI2UuRVsddR
u5GjTsdkGN24a9PKCc0EA/w62803FVnDSSfXOyTAJfXtSk73WU3rmeTusq/bQdwjy12+DOCjP3AQ
jvc8IdHtjBLklSk8keJyKrd8TvptXc7ZfsL9uVMys2GDD3X+rFIEFrzsfFq0qQk9J1ffhcbWYXVL
JghzpItgtolAacq2v3MMFJJMJxfy28wxIV3IMn+sZsIaRccvyVuZZoahw5Oa8/EMY/1OMSu8mLUZ
fzFdPv+r5TXhLBYkCPqSksOd5vrZ63PvorE9u1/mceCi6BYcnPWVq1zMt0UzKNII+aAiD49BnzLk
LX3C0ylckeEcVU1bgRsAEvYgqvMAGQa8JkcNE0+8l4gOzEYaj/bCgouAay3yu8ZePvC+zfSLmktg
0tBl2b5buuYb20IWa1l+5C5BbNzU5teMthmml4W6U6bpE+m03UPs9M4F7RXDrAFZGJGjefPcVYPH
uNdZzyPF4TvJuqxpDSK0i7Rmosenx7mpIGJ8v6ZHLT4iIXDTlTUdYXKNu4gQzcvYt+JoFubVb9M0
LxMY5buZdPvtIpF6iHRO7rnZ1JvtDfU3t6+cHwtiH5YdfYfR0Yu/M4HIAvxhzNKASk+AbU/L3Flb
sHE9wz4ep+9pHdW6kWcToZLF+K5g8xY4G/GV+vaqodFIZPMSDVUf1A7eKNcqUwLQ7Cz/UUn0R503
Nq9uXNl2IOu4/Cbi2N1VzRydByNyT6MLp6AAR3NIPJexdA4keDG535io9cWll7p3m7lld86NhWxQ
wnSPTa2BKO7RmWQyZ15dOHSTYzW8uhDv4Ucw22V9p7En78Q03Ku4c29WzVs+dTEUwxXMzXUN2j8+
FVOvPSWJZb+B0eToIS9QXm36WXU9tIkBW9coCnrdrW/ZZYpLyg6VYwnQf+4Wi7HJIsvdOT1DMt4T
UwrC19Pw4RpJ7QMEdt9z5OGhnop3HCj1WYsr69FlGI3MZhY3EyQljsHFvEO8pvtxVJ2vLyDOG2Hs
1n4Aa1ylW5KIzDMs6OwQm1AlW8Lp7+rYFM+O24/B7GiMcRvoDRrxlxgEEWyhBTSxa6XdVquFwoqr
d/eOFUtyK9uCgLRerdthGr1HA3oTS6fODHX0RE+kGCSSflHJuzxqIgi24+zdF3Hl7JBt1v6kixs3
aide9lLqKBkYkUp7Pnq96QbovZpPiNlmDy2YUXDUN+RiaxnRc0VHIni0dHdkPKu7fFHNHv6nuZ8F
A4DVYr0yTau37iKjdV6pBcynWXgZBGFLOD/cUhveytq1QlIYv1hN4QRa5t0Ls+0yfj8dIhN1Sgdp
eGKeQWIngGXVage7MjsMzoxNIy7tZv1IVVsSzJJG09EcSFurud4Wxki8NSUtTZZbdxG1aWikXNaD
nUuiMN3WybaiWak/UCMMFxEPDY1v+1LpbXmLJ1Yq4gh1ueO+q8IRBixdOq2RRpbf3qwL99YxnJlb
wUnfKNBsJr4ZA+1mifYEukZskXOPPEajNfKDVQDU4J2NMa9W6ARaOWfgnfSa8nXscAzSbj3YoEwI
vBTTwdYX/IR5w4KyQCjMm8NzGG2uCRPI3NzlOscK4heK6ZlKFYKaqU+Po17Ez3peF8/SpAaUCAak
z6qpuVV5753W3KZaia3ooDsKHUkMCACtAxwgJr9jdAB6yrQGO2N2BADogRQbjXSgxPTqPb1f3H0K
8iM6Dx8kanakAqJxb6KR5EdUWu3RKtjeYlcXZ4aky8VrGMR6eQqTNG7mY1LBIIsp/L+sTLkzaT/F
NuTswUwvaPsNfkt5LIl3+5oiAmbOURQ+8A3UnU6Ju2QdzcOiOSBepkRsm0HrAiXW9zZZGF1o9y6U
Mmaao70tMKYzymY7U/fVtNOFBuAdOPpMi3BKC6MMiix+5mUR4QBX2adTHbaioLjRivR2lKk4d5Z8
MzqWkvNINl+c58U2z11mgWXBE1NO7AJKxgPoo0gIdsggYWst2L+5YUKY4ZGlw22ySPNFtFhGfXeu
S1+HVBcaeJ38VZtxs+eD2K6E9LKcLDEdwSxe00y8LZo5M3hElFCSwODBg7md7ST3lV2hd+Tt9651
ToB/PnqCBWDvFdkJRwbY+jkpixQEGzl4q9tyzXVJekiVg/Wx61cfZbvlL3KYNopQ7EuFjz308my5
tXR+ucwtgnTtS/oE1fYMA1FZ/KFrvftVNv1HtudfxdQgM0xEF+ztYFe49Id/bgyTiPFBOrjpISs7
2jptdlhPrC6ntAUk71HqVfOhqKUqrmw9/xcmib94FuhKbdPWTfPqjRKEK/3lh6PkYhNCkvXBmOv2
Y83a6oZ89wRUvpc//PPf8y8mguuPAnLIf9fu9x/NgSlKKBtIAj9KmU0V8BlZ8GQvcf35z3/OP0DK
rz8IMbxH0w+UxLavT/gfOu28XhaUKE58GBRzY0w88mAPsxkUVdrfNW2OVWL0Erbiiyzf1ZUhzqkS
J7dalFyba/ZqVfDPH9I/vsRXpR2UE4fdBIKlv/T+g967CcmiMerhaj3rZbvsRHZlScjCQyuvx0n7
QYwEr7PRRr8iof+nJ0PwX9q6q3/0f54F/Zzv/H1Q9P/V/MhxwdD818xhqFv9e/UXHefPr/nb7IjB
0S9YDGwm6Vf/LD6O33WckFB+0SUze5g24NnJZfp9hCQ94KE6f4UJiMUqn+jfR0pS/gKCHHgOnl8c
j5iM/x3gjbxG8P1Jxglrxzb41AI2dfEu/zWmTDFfN6NoSW4d9lQGI9eSNQbGlyvLz86XvQOeo2Jg
HicgdFOhzrEJD75gJPi9i1AQMT0pTeXD22jmQ7I2zMopu+2PtTXRz1WpK1kmq+WmZjtWvKarJGe8
W/XvmYhnb2MM+QyhChzBskXfMIpdqtn1MxozBy1k443jkWV2O51bTuggQWVP984+B/2gnZ8Vx4Rv
DFG/YWNxow+LSjcwTWLGyNVqbpnxfh0HE4QCm5eDHGfawSUjcgQrFEPcBTJI6Ll8YAMmT6wGpJ2k
5wKfxoEi19lr7dAexroESkiLON+PjbYzs8Hc1qb3OlWz2CVa0bP4jevro0Ld8TpbnfJZ0qM8AXaR
eGQO768SC8NgRQMQfDvURUaTh9sI/DDseiZ1bBA6Lq2ImfKGV55nWV8H4y41oRcD/OruOjVlcBMB
1H7wjCynvPtJO16v5GPQFFcKstPGMwH2rbEBAWLPate6KikCczanc53JIpXFdedkGHoVIhAqRzIw
gH71Yp/R4eB4QoalxsE5MXzCiL/68JsNkwFUQuIvmyYvbmEBHIwSsdRIze+RAIV23MBW9tOM4Thq
q0xu9VGYxkMHSPOO9bY2f/cqCKM/PFQOPxbyPidxMaGjltAl0AyEdp9eXTP4NZwvCgrptef1xpuJ
iuBoI7fhiWrzKGGvO2SHlN2fCNoivwd81wY6bE7kC/l02y3Ifa5sft6WLD+3i8pjGDiGcXSzvA7i
WF/DNU3zXV4nt0aq5ofeHmTKRr8wt6lHP+AXTR8fXbd3pC8Fz7ZvwlPdMyVia1JAjTyUs96GlNjd
e22q4sPsG0NwwXc2u8rmOlxyI9ixcZ+1aAw7zzh2AomMFHFBPYM0ZC+r4WuSybH311padxrPoEVt
ouKvcSt12JCyDBEqa7tRSISu/Lgzoz21M1Zjvq/q3rjuut3sVhqRw5rAncj1MPX8dNWYsSpiPLnF
E1odiPO1Lim5N2zZ+0LeYAxajxUlNgsSnaZrSN55jOhndURTQxFf7ASM7naQ9g1Wccg8cx59TdrE
C6HvjDvWljLIm7w6DoajnjEsXazKse6v7+xbhpz61tEFotjGOK8Zq58kJTvJFcqinWazyzOg9B+1
sei3tZXHX2KVgnpoJHSQkTiKrmAps6R2vMuyMd9hFY82yLbIrSJ9aafs1nuMpcZMFTbVjZs7L6up
31YiQ3KMmOiGrFyLSqMhhzzrplerqWF/Zvk8IS0T5ltpLcx5BjhC3M2FLh5AMg8MhzrxQyMHrgS3
PSRhvmb9gTStD+yYHppsxnpbDQSyt8lHWz4qARkS1dJYf0h3iZ8Qp8Q6w/PW+obaIt1VSIn5Hko7
MJMDZgIRa9MMY3GYdERY+Ywc2CUAJoBPM4eiit39bNnRBhoj+/aB0L+wt2KDN/rQpyfDS4Ynekw2
Xzw/T93c3PO2RqBkLjfeRF6dlUfeXoM0S7CNINTeBdProZkt3O+zXSV3XuGmJFvW1Xcn1b1toUP4
2SisHnaw1FJnWmQcIjt76MvWPaDMn7c57+5HQyMbkC5wMRkfiMifenZ9egbIbLZQ/zpOQyQTVt0N
AxbxFUYp2WvJgNh/MmS2hdVgvZEc4mF9UusDoeSpL512gtHbUX+KrD6bYH2xETvzhzZXaBBN0f+I
ERLQODRrUBdJh3HNFF9MxLa3q5F6t+PsrndLRZC1UaD3N1kcn8is0h/p9dacgVKbN2Fdd6RPg29+
x87UbuU81A+EZ5Cwt9DEAFsaADjSEP1gm6zvq7Fy3oTZr9p25a0VrBw5fkKog71x42QCvsrJ705I
YBx3tM9ms8Y+n0hBl2eYz/hk1cmdrORYe626awwWyj2OcZ5ZL1k+06XtHy0UmBkJFlGy7fSlwM9l
oK+JZvBKhkF/tbbLMvgYvT5J4xYB5bK3EZZZn5GsZr4mmvYGXtR0XzhawODIOzfInAlGX9IkOghy
bM+JbjRb9urZ16IbzaesK9TZUS7S78nomI3ZifcgvRmZhcu0rp4jiNF1JCfAzKl+244qfy2Z27zG
LtBo5AbRi8qj9DTM4GsSthXPRiuXAARqtltYPwbRAvea3gr0j+S3ZShDG9wfqmId0fU6wzMQPYbf
qeyqrcZQyLctWQeNnuh3DRsQEThuVB+rSUO/BYZyOVnZUuYktoAEdmspeB776Yuc0Q1YI6JmRLx0
7uhy16ORGvaHyffX/Dqq0jsYEhPbWN17XVYLJa1cuejdSsel2MVdGjLYtG8cNn1PkTO2pJDjMs7R
Yrup3LrTfDM0dRuyPgCi87Pi+9/i+F/ZnMBD0Ar+18Xx5XN8//7n2vjXL/mtNjaojYWUAo89wIE/
epzouv5eDJsUw2B8ANJLC3OyQUX+237V4q8s29V1l/LZvYIhf1sm/61pZg/963L5/9FE/1/2zmO7
biTbtr9yfwA54E334Hh6kSIpdTBkKHgXCAQQ+Po3wcp8V6KypJvVro5GqVIkDswJ7Nh7rbmY574p
hn12VxyGfRYufHb5b3aymXSBi4rOuQqSIXjUk+uxSlo4C7yF5HSdEfCJ9qE9swnurU1r9WhQF6Sx
+G+rw2gP/aWXmKP9DLSvvG7JccguemS+mEi6HsMHmRX60VGuepYlgWky1csm62A/xJEKFdw9WaCt
8BmoHsZJW+9GZwClrxJ1s2CbnWPCKtf3/iICTEb0Efc58s8jnGoUCqIkTDLotDz4OHDbTZcVcxmn
KVbGLeljUNi0Dvx9NjPrPLLtXcYt/DVyUIFl6w0KqfJrT5vvJk89VTPuqeebJGF93QAV49zrrmYi
CFCvDE6tFi4llTVSaCJk4b86K8nrDKBEM1j0+hXM3CCbrms9M6jlA2IhTxbSW7HH1M6djVrtLnKL
9N1SlOqmr2ibFCiNtpjx+VInQ0u63iSCYx1VTR8XLszaI0ZFhtThWLLSuAKnx5VT2u+J3pHB0jH9
NFvZHxPLy8dDndjo4g60P4gJCAQ0E3MLYE40Zlw24XwNir1urJil3zi5g9WSdNqlParvwnfDpil3
eViB7X4ausqFKKZKjNSCPRQtKS9P1Hxd9sqNYK1VuYjo+KAR3XcMC9PN6DD3BtiMwSahPtLGnrex
BeHZG8DUcDFHFcjLwTRUtk0ZGgft0RwmKyFoGHHYtncHtT44wXJcaF4yhpsLEjTL2p8qdZZyHDtA
3roupIPPaxjUtJCIO9l45Z5TNjL28mHOK92Ir3LqZY30BIJeldz9d8H7v6hJIICse/R/v+A9voia
hsD3SpI/f+bPFS+w/nCDdW3BXwBjxVt343/ibwP8mXScEAC4Fv2AV5HJX65OVjn4Sfh9ArggdPhY
df/C39p/0BWC3ACENbRMaEH/ZAF8012zkZcgVQGaxlMa8GZd//t3Ta/QUuOSMyk4ovjEX5ahWipS
TPffXZO/WWbfNrJCmg2cowvwBeIWbtQfj5LQo7Idwi6PY9E0GGGgVG3COWnxm+Ear31wALBbQRu0
gFY//PrY6/36vt2BShWQi28iIOGysda/OUVS5VHHl2F0TDGdliwOGDrVbHFcOrXvCmDzn9Ko7qLN
0OTOdlh0/jIb6BZ2vvCdLeRF0JvgaA5ShVXsALg9j+u2cggLgLtFRRdYatHthjRdrsYhQMngV9P2
PzgJ+kWEvqB55kF6cwVN4XYEkmBQQJpq72aWxz0iRfeUB5N+3zsmmRhWCUDXqLWKmZR1H6aIpGqv
JUYELUc03zLcmW/bAaW/qchRRdq57FWI7mCOFHxCNVkPdT7KvW4WiYiYPs5vEBw8sj/dB3A/EYk1
APOI4/rxIRhcZxzBGURHWkrTFghUxTCAlmbQ/i7e8a1mar3jBB868LM8jM9vKYAezNq6sziSgox8
pJ7l5vlhf8YR3N+ZHhm9v747b75Er08YUCMKEh5xKon1CfzuS2RbQ9MQkcDx0lzcsaKAjx3T6Dfg
rL+5fq5JXJhHUCsUFffN9YsEy0XFLP0ooHUdsEB+65woP5ZD+PDr03mN+/ue08L1A7FLBcYXj2Lt
7aJQsPkhktoPgUta1WkJBhvFMM+M1tw4XTuMG6wMGyM5MeU7EvLCy67yyX8pkPFkY7NcgObs74T2
V7GX8mj3oGtVRHg4yzFd6Yxt1ehDzrP5HrZJo2OHeSAMdxy/9A9SDjJ3LurfEGr8gHn4afKX/Pjr
k/wX3+aHs6SGXBlPAc7DFSMX/HjXErS9EGrFfCTSlQyYlK1gkCbDCRtgiShsgLTmtN/mShhbD/Qo
bYWgOFZ1Me6V1cl92Qlx3aEqXjGmjM/A+j1Zdplfe5F2PwawW2hP+DthTfa9FdWrUmmqkEOTSPNA
GwchFVMUApRAPjPisrcNXOkDxYtVqPQjy1l59KXnweiwPaIL2vaCt0t2rLsEVR5TviOpKZh98I7s
Mtu1DoPThg/kRxQnmCwERFh9RnpPmnzJePHEJL+mJ7db1E2Hz6zfqCVwL+sQmhaRjN6uU7Ybk8o4
xv7oYwaRFiE+JZFLj3JYW2UNE5daGzceAUJfNQlFm7DK5Bqq7Ry8xC0Q//nEP6CK9rdGsLjkUDnm
A7yR+gkzbvmtY7g/w9WItI7X7hvdkNYk87bJ5ucgbBAh1rZ4lRieiKWeLxdMVjd+VYZbGeYNO+Y6
n25G2fSfG1zbn8weN+scFXGWlC9GaYRXOO8MMgjydGcE4lzXPp/at3qwLdFpVkZz3SbkUdtzM8lN
KtjvM/YkhK64XK/nlg4tPdwoNDYEQSI0qJ0PXgaF1Z0zc9WA1Zdu0un3RlVKaB+1uVxbowHBBGu6
vTN5v8RMMB18HlF4GhfX+SQI3LktuE7NSZpjFOOxdh5Kd09GFk+EAno79o7zqSUjfl9mtrF1upl0
PlSb4n2jcde2tLS4NWjOh7lNj5Me91lGFZ3U4461TZ1k1WqUkMyIUTfYXx02BFtBuXqnBZTbhNa2
MamS6WVF3nJSCvJdEEcI0zyjkYctnLp4f6I5vW+K9ApT1sds1uYxk9J8l1iLprHsP2lZfrKhE28n
dANM4f3oEelVuHeEsC6DeZwI0CqjDT6VOa5Nh1IY/O9GKhP1AMpKlqhxpQm/pli084VBwNihRHEd
4zVIPuAz0XwYoHeZXbpxVjrovIXZKx4uBaab11C5z9EcNdtiyvPtmPr2gQLYuPAWTEoSHQPeek/D
Ih/MuzEfgpCxIBOPjWkX3c3Smtwhmtr9hdaWe8qauTpaTm4y3uDr4hu6Jfsn6sECjzubCKUNDFeA
NjLDIGwWzReh3PS5SKzx60qmenaUmM51GKpTqfD6q7RzLwVmmQMeWJQ7ialOIxP1G0OXCOwroOEO
dOBgsE5NHgULLZwenUBtpjUBbMv83lU05h3Tzk4mfqedW7VuXGhygSNnzA+W3zeX+bzi0kzSCL2W
v4LlLrstpJv+HHVMdH2URihYQuzkg1nuk0Lpb2ibpvba1Cnx2h1FwaK0uREt6rmOSJVtnvLmsJYk
3Njm2O1gO9k7zlicA1/au0noEtsOiYqLNIenJZrcG1iE5jUisn7cEtPuZxuTWJMXzOGY9StzgdJQ
iC9ZQHY7Do3gMctlg4E/sB4Mk/oCHG52U5YT1Ymi5KPbtjpDooJPh0+uh3VDrjzNxPJdlbr9c4Fh
e4v8Z9rmQJlvDQ+5ZlVaUILcvtx3xAY9tnKoTqCphq+LgfS5KkC1F4KT7DvKLx8fyXkhyfeotdNd
O9kCT2EA3qknmMGx7yCrAP3a7SKhOHOS424is5623ujYu14u9s713JRQ+S7BwOYu/IwdVcMT9CiP
/TaQ8akcI/OglOSUDDS+G8nOEjVGWXg7J0L4abEwgN0Y8gME4OWI7amKowAHJbWKF3eoLzbUkeKs
fJ5XC2X0N2pg9Zgrwbre2v25YLZBdJjn2gfLrPsDCWoEYYvWeKc5QLY1Kt68SxJAQ/J05n2cYOth
SvIz+Q4FCv+rTMd3wrT7rQgy6xkyzMUATxwBdt8eBngHE+AV07nwZpPgJBYFS4zOtXJ6XFbrQK8u
bR/lcJHtWyfJ1kSGBytZg9ekzNlcTh7gDvNWJE2k0FqniCk7pbMDlz8ov+AZ67NLMdS94mlm4CXn
hqwnms8mxnRbJJdRUhNI5M6aPgPheG52PU/2GgD/+nr/b4futx062mXfVUI/gYiuX6b/Ob+I4UV/
v2cl53L9sb/2rM4fRK/4QUSjDnzQ6+7zrz2r94fH/4MKymTMgyHuf3t2FlNq9ldrjLTNhtKlSv6r
Zxf+EfHr6NtFNq4K85/17EAivdlJsAUCjUhwTMj+GIzsm0rY7kUDrccTx0iRWQi73ZE7BCGivCDq
w7tgktar+9QbKDTNPBtPKm/kHemBqj6UOHjKWPAOrjcIyVC7JSNZ3yPGAbubCRWD5JGTcDSYWMoa
kOsR7f1lNqbrtLRQSeGgTx5mu/Ge/UZ9qiwdp/yqB9Un3r0s2+VuENFD26W47Ro0yJvWr1hKGHYP
tJMKNog0GBs8oCEzUx9pouyk+Rzx/SSOwcjtd00zledBMIQkEA0pcscPTj7DAdgH8zWR5xi3DMt6
lyy2AavGiL4NtsACTCAhgidVIwklhoE5KdpanBUKCMAyDVG8uEOBvYgL9YrYZWn4zP3PQcsN/PRk
KUGUGvKhA4awqKWeGU8L/r4Y3BE/OHjTYAMSWN1yfh3V0ZMqlj6Nmyo0n4mkZOXtVBSTB4lG3QTA
JKeBQboxcnQLIwjJmCj8hlxG5Fu0zrjJYGFjkc5zhlXTwLZAFOG4cvxS48M4Oig+JekQG390rEsR
Diy5k2dVj7qsMGGqdLSeRb1mu5Qz8lSkY9l8E3aV8W3JpiienT45l9mcfTVIj7zucLcfXj/fsH4q
nmwBYoM/Tzb2QHK2mHrGbIWaaW+KsTmwS1W46LsF2BQXeQiR0BI9s7pGZG5fpqEF128zSt5rl4Ds
soxYCatcjv6AsHifeaR4HJxlrWYKGqCgf9ryvLjtSQmX8hGizriXeWo/d/hY/L3V6RATPC+b40jM
1jMJdiR2jcNAMucaaDcMXr5zA8+7ZzpbPQriXe4JH9LPfZcNlyH4gYcCXu0ea67wtyCrHaqyMb1I
ejd7KsiBBDKuvQuj42aH6IvhNEgvjxWcibhYPIK4FntoDojwcS94PSNsUEb+SlRZPizNpA+hO0SH
qrKdb5MP2gVDQV23vLlgp29Tm9TGfVSYMrsuq5bfFY1VRymA9d+OXfreOakHog2KnUzL4V1SR/oq
X6YydojS2VJmJFe1T94SqUtTeLBkZO1FlTmPhKyXByJBjXZTMuCqEEPmdXgoLXO4l6377MkKk7Zn
PtHb1UWsVb/OgaEXEOJAzEOdJiSwDYi89nm4QA0K0KuggkNWmLCLB3EQCty/VXs7+Et9NxgOViKt
8SLkrnUeU7YcTNzSXU03aWVDyJ1NUXHOKEMqhvCTE0+V57xHDWFuvFojTyWViC8q2XQbl61W3Nig
vONgSsr92uLardG2EA+TAnzmNBgQEZzhakSxewP/uLxojMm7ZSoM9SNTSM3NYDBRSRIaU2xCI3Iv
K4CI43aazeBZLUZ+lVhW+kWLosAzR6iP5tYv3WqgAoE6YepvYWroArplbPIzn9hPYfswCgFXJW3r
/p4guK7YTcrKdmOm4FUR9ba8p5o2d0vRZ5QDnYA83rXk1Hj6YPcBhRqOghbKVdqZmJUIK+o2qpJY
gAl3AFPRoDedWCgsqt/J3Crf1xdTQtc/I23kKeL8HdiJ9LhPXd0Gw9ZfUpIukU9jRPJX6iKZfnQg
VxTkhnITg1sWtKBKm07EorKzBx8b2hKzHy9jW9TFhZJFqWNFPh2Ftg3AxPG7IRaRmg+ZmTbxpOtP
wED7nci1fWqTPrhu9Wg8oD1l8R9t6lMiUAt4AE0lOzSei2DYgA4lYFC/bScWc9tXrEqDPyYfXleW
vpTJt2iuy3NFuPAaNWVBLFm/RR215f1Mu+RRTBTavmGyrKrVUs8slzeMaP3mMKcsz12DU56vw2S/
s7z1QNTf8xblNZ+kUuVyNZnkDDGaNaLmmte2vgZj0OptS290N9BduRKh5f0L2//fcuk35dLaRqd6
+Pf9/atPefPyfaX050/8WSn5/h/k0yHXc2xmktRKFD1/VUrWH/Sc0ZO+DjARrv5vpRT8QehEYIcB
VVaIqI+Z5F/NfcLFPcJEKK7IpqDf+4+a+z91DAMAMGgKX/vuPv33HztcGm2pA4h4OeKuBx/t6Svk
RN9djb/p7P98CKSy6yCCIQITi1fa+3etz2QaKwMZ/YIExWFMGWJkoLzxuaT//5r/B0dZP8V3RxFJ
NM8eLchj0HwcjI/t/CK93/Rwf3cib+bAcPjcplUcYlzuAvNOQ11YPv/6LH5qS4fA1Zkwk6VCE9x+
S773ZzxHCi/UcWKXtFFGlMY562PNJs/L0Kz/+mg/ndDr0V7Zn4QuYln+8ZoFszfjtwsEOKuUNKSB
P/Ka7Ioq7X6XuvN3h2KyHkShZ6Ndfe0nf3d7zMHvZnu2OLEsTB/mwoV3WSjrypSq/M0k6W3pT8VP
TkFA+3tFmxL/+ONZWSUGP6w+oLkBgVyWlaRNCj4Dxc2CRySd60OrUv1Pnw0OaltrTiRDNzt6e1AG
wJZttPlwJBbG29guf/gClWti8Mev7xrChh+HJOuhaK0jSkAc4b6d85SO0S1dZ4gjfC+AGlViFEej
D4sT0j8A3JXobztt0UutluxqrFC7/fr461PxY1Oc47PjcgnWXJemN0+NTt2OIJx0OOIhmnfQ9Fz8
r9P7Xx/kp3EgJ0kgAK0HVBxrHM2PN3G2WqllRMdXIqo8BFNGDz0NnOS6smkpLagjNmqM5l0rarH/
9aH/7vlxbB/uVsSahQDlx0MTRTpbGMHQ6E6l3nWOB0mZvUmAvNBEveWkGSrhTCa7Xx+WxIOfv/24
+Il2wTTBntV6m7UxAHwvUkX6iGc04ksb+KCqcpMGHCOx5eglZQWiDv6nWdEsArQx7ufB4RYUs4VG
Sk0HzFjikarFseJ8wcglZHBne7Uigk0hgIwEucBtQqPFkWCfLJWQs2za67alHosHbFszuLSguBh8
FcRh232sww6fSjjsqtZSjGZFjHEUR62BTXlbojm8qroO3XU/toQGk/HtC0S5mVkFF1Cs/A9GHTDM
zehCXZm94V9UaaXjBVbkDgu+upBpPfKgokndLviCL8cIrlQu+WvWMSwogv6Lb9fBOclr/HdGr7YD
Io2Daw+XuLHk+7nR7t2UjNaBNMBq19LjPrk1TdtqtNz9ULKGBlBJrkKT6GxEq/OGRUi9cwJcN24Z
ykt4IUTEL6GNVVsP1lWSsNFsYYjEaTtmdzRMpy+RrPUdNu1xiP2E8MdAFRwvX14mskmfMzSGaFqi
annvT0QKbKfFehECtDrqDld+M3pGBPFcVPIxIt4z28++dO+UMvlF6wX2XOuq1R7+vlrWXexrz0dW
k8jLyk8cQu/ctN4lqGu7mM+Ha9STATziwrgmN/5FIvPeTFquWGL6xYv9EjWRh3XcS2N3NHIURRTT
pu65JCLji9RM7suCrxLU/9Qvx6JnxSAMjZvgsR16HE1+Xz3zOQqIIuc68obHfH30acUGF3U4Zldd
PSU7xxPWAWdmdkesHA7KxlFb9I9iP9nsVFsUJ+WGF04aR4lOduy/TDokFUlFHgat42L5HMBe/Ljv
C/K9awZZhVeoe5oj473sEv6xIGsaGlUOpDnV7cYkG/PMzBPbAO7ZnSIb6SaMuJw0Kq1kW4uO3gNl
07VEhc58y/bR3lR93gNYyS3wOyKx3rmg5e50mpv3a5983nREL9wAxCkOGXLwg+WK5DOsIifiKTGS
a3uKAPeAHAjYsVnNyF49cW8AOdhb4Dk+Gaipe9ad6C97I7DeWfQITn7U+beJ4RiHocscfNp1ekk7
5zGpe0BsQYbmZ/aUSe5l79tAednIjfD85pg+c/JZzsgWo25iC+UYo3FodRZ+c4sy/GakCZtVIhQv
BEq4z1lkWjtMk661oQFm7oxB4jRmtsT1SMzS31rLDCt64EoOaq52GRuyI4MOfayxpFxWaeo+mHO5
oORE3sHBPOsQQls4gMKankM7UR8bBkR3NJdNJot25W9BEeUxqBHlwAi2wi9WOchzTzj39Uhb6RON
7wZSVRrdzNbiPFSRRBg2DCFe/p6tyLSmoThsXfZpJ8Jb+PrNJzrTExNgXAEzJOHreej9SwBy+go/
g3dRdk5zsHpPxajX/PtOO0z6Fr0ce+bbKkaUwwF6a128KjuRd2IxsSkuZlIGZAb73jYnTAOd1WR+
I/yCmIqsarP7Xqjiq7f4w9FSLEKlUQ8HHg0PfV3k7TvdDQfZTikbug6fLwWluxtNt8fc4C/FBk9E
9rCQxJZuaOnxO70kwywdBQla8GY582nTB9tql7MudY+q1dZx5SVgVAtGvwV9gCI6YdPz9m1R+NvA
TaOTN0TtnoxgOKhmahxIEMtrTsDhmQjpBu7ZIMidqYU4GcJcO5J9qPdJlhg72pLEA9gmOEWVSK7D
3FLg2LQ7bhuKgM9ovSTLmCrvGByFhwylfyxZBT7meYS8WgXBUZLm+xKYsFVgw3kXdmM1h4kACqQ3
WIw/DWVrfZZBs0oBozz5hmeTBtswTzcR4Qjn139uN74HRdIVJz3j+QEUGUw301LMqF/oiiEfafWO
ZxjGi5aAMyww3thvOSR+S7qf/uACrtM2dBinkubnspTDUzBLaExetjYphWOAj/P1VbO2TG3Ivu/W
4JkPhZu1jyqv64OMaMnBeE2wU1om72qzjqfejGhsjFhG2vETKBJ5QngSIv0dC28bJqW5vt7pLCJo
vo6YwGabJmOTLmB6XvnlrK4sY0VhaqudSfEFfL0JO8ZMAmYns9FQ1Wcyp2dwKK0vR3QNCx3NZkU1
m7O/HCNkx/fWPJjPclDLHUpobh0Of+IDu7Chnll1D5ArOWxeTmRRLszomLLQVQx646HLfTqi5B3K
Xegs1mUbOAL7kZN9jSz+dVkV/n0tfO8isdrokPpro6FPaST01JsHNqKQWzujfJwAlB6apvfvo96n
j+eKKA6lbA7p2tcW68sOW8qwMQrs1K89ZMeiSdtGg0OsBIEZjtDuJwtlwq7peMD9xKVRyRMdB6Yr
d9jVm5eCd/gJLyxMktJfHnmQ0ls/M9IbWYwRs+NaIRugP5gLkDihcPxniQYMbGFuJ5fV1FCKD3UT
HezEmG/J5AUgaZjqRTWJ8b5myhYvEkjLNjT8P+9TKefkmyYaZDdjy9mbLrnbdISMh5T85Fuyl/W5
qOxxZ3hz/qEZh/AuatW8N3B3PTmjdp+UMNyngsnhNW8qxK99Zmx1nhtbLPoZibxAhxfitt61Wd3s
bAYJO6N0kHeuV1165GasEqkbuzT3JJrC2WD0feGJ1oI3CKCAZORpjco197PXmhfw65pdE2EnqbV0
dl0PwXUWpsuXOCBja7R1dZOEVoqNCrpO/PosL6G13EWGC4aF5sTFEubzdTA0q7Q0wMbmStVvPGSs
N2Zf1CfwPP5zBOfnIBPT9Tarx2ZrLi63f+mXq3IACmX1NPjTiSTl2NRlxhLIgCAz8s+iBBzDoqBP
dpc0N4FYFrrKdIc3euj0o4nL3ds0y1TsFmIZ9gBKIjqN9PjHMihuHEhKewajcDrG2rtAnDPfWpB+
Aax28w2SBl7dABrlIcCB72yI5iGexsaJCkoYUNKOd5M6ReTqTjAEh+5qkhUK3CZo2ocR+9x+ZMGh
BmqC4cJybXnTp/ThxegrLP7VcqUnqzvjVl8BdpahNziSjIfBNIFX4WajYnahJleKZcNMB76a0oMz
uAw5IuRQoWDsO9UcpNVUj+bI41R3zILRS1mf0T7oK7fuB0A/k/lZR6E9EorCMMZwGRllA1/MHIHU
GSTNcocjODj7ExaJEJnfKdQ2zTlHqw62S+SrGb1Dy0qHxWi5MwGxZxs69C0bUv7yACE7hZSSZOpy
lEYRJ/zTW9RGiIvbpU+Og1W4h9x0lhPmMx80UX5Yz+hmzeiNl8jLri1AT0M85vW9PZdEHCE6xMWS
GQf29gQ/OB7Qfk1oGOOrpr93lIM5usyNizRRt2OnAwxnfRZPhfES9jLYW27zDM8DMkChk0tOA/iC
SdLNhvBgsQ9DMWHNSe0DIc8Kcn4iEXF7YkQCZAY7KsTs3C0eNqpM39pEY8bl4Ndfgsb4MizezWwP
zt6ep3qt2/pTmAVwGpb8YWozoi9CgNesVqAAjVWhiOUtTdjeRWX4bJCzFctiHZnkQ5/g3UjTTekI
uTVDCfTH69xdFcAHhAUM6Zvere+yYjdXc5dcdU2WxqWCNuTnFcyv1lHjYVmK7GM6Ku9Yzla1Cjhn
uB94V+871we1XqVmTyKJnV1khd/dIgDvnonpWvGPGsC80Y1fOhX4q/XInbcVM5nTqIjoIzeJmAaA
/kcjK71526a9e+uGYrkldVvcd2le7lQ9BjqeZ1HT4wbgMhOWwdQkyw5VtBR7aOx048wqP6eFpYHJ
yv5zJJYaK5jhHAmp9iKikNqUWcs+hEJYXgzNZ8p7oFFsx6+saJQIX2yvxZ1aoGSyUdncJgQxnaTO
okNBhNReopnf2nVtdpsSJU66EYK7uJ0T77PLEGP1Bi0aY6Es7hpPtvsRL9MHX1Bf4fDM7GsdRvJD
WWXBuYQc/ZToAE1P34zOo7m+IX2CtjZmFmbHuWnGiywPXWAJg3xqpOMdZ9lP58pL1cWEGOaLdAuw
KJnFzW1HmdyqoKu/1kNgxsq3yDscitbmK9IFZ9K/0dRIduC+wQYbeRUsHGDkWPi0Id33ThPUuzLx
4CjlQGKvW0O/lCoIn21yz3ZmtISMb6tl7w1VERcAlDbUeAuvwgzr2mY0ZiKztGAlK6riWHSoLDqG
1txe3rZnza5i2xIfwTA03KYDvJchrx8AWDwTmkRDi1V+Q882hIKm2RRb3RMDXWdbIvbFv+sGKGTI
DyFJIvLrh7askSgtlX0SIqGU2qW1TlIndssuHI2jM0xGfWS75BsvmlFWt5kEkLnRDx+lAYSUfWd4
YBdDEoqRJ+8rx5BEuQXVLaVi8Wm2nPZ90Zf9czd2c3DoDIKzNnnSY3hVrZcAqywpaVxEzHe4wycC
4Np8/lgKAvc2o5gg/NvjCwO3CVxMaF3OQCIuHCrbL01nQvUkYJwBRnm9tMBvwQEZ1UGWQR9P3KrL
UnWM2qK+k9c0AtNrBoDAWl1iSHZh6PVXxGUAfxKFTVpK8FU2JqNS3mnRZgyY9TqJXM5RO4y3JSoB
FHtV9jiLweHFFVgYNevkbuic9jNtsI/ICqePrp7vF2w27j7wsd/hhrEORb+wsneGAyRrrO5DSM4y
zrJevPPgxeG+84e9n43mflEYZDye+KOB8+yQZX5waZe+ZnERY3DK6oi9aUHkPGENKK1YCfEuGuk+
TOfgga0O7xOU4R+TOjC3qI+e3NmdLszOsg/8Fszmcy/v3dz9GlSMExVNrc8piS97xSgLvp+ji6so
WtDxMW0HncQUGlQwPCwj4qI4SfAUqMx9yBUmtWLM+cIKcLsEiKhYkydD1rp3kE5m37IHeWRBLm/m
bvHPfc+kUU7S33Xk1X1qI4LMKjGFtAnJ/gAEvODANNjFoAuYj3CpeiQKU0M02ZBS4ZIcUNcSgJ+u
7xKc97dBD3TNL4h9w9/ofLPSponbYup2YszTc9Jk4w2JLNll5ZXevQtRpEljvSQQhtC/r3bs4VCz
3O5Uhwd+kbN5lySjf6wm1KTog9uDVoysJSvuBqc50qtImQdRjQ/puICDCdbY77TVBzmJjxnm8WNB
Tkw8UQieWUiNY+3gD6eUC86TW6fXQ9qX1L9t821klA5FXHafnb7oPgyhHHu2AGAOP7dmUZgXVjcm
+DeTYku3ZOJhG+yHkfAWoNhAkKNrMudSQMkkiMwbR7Q4mPuGNnIcZiK6bhBSPjQ1rBxMxdEhy4cV
8BzVD749EGgFxMZcKFVE7whgdtOXAA8VtB67RpPrsUnqld4sAMBOdR5ZO7YTR8O2izPffw/FhP9Y
p9TGboK4k6qw2tLu+DLYzHgBCybAsnm/6mk6jrP/KWALMhfLpSfMO2ooLEsBbSJjDK0vblRNF25L
+JPfOzRSykbcpIl1VERlfcsYSd56pmHfDXP0rZ9d4xHo0PDetgORbT1MtAAyxZxsh5CQIdxb7cEk
qm5n532z9WUKv4j4putfN0J/7oLS+iU62HdXngk6/R/7r84Q+W2Q038N+qI6W7V670fs+1Of3W0U
0Mj/9eH+bjLhMGwxXVw04NXfdJpT0ZuWAdPwGAzSe+jt/sAOYN71xBf+ZtxirZ3jt51zJ/Js5PLE
rNDZ/vHMomX5s6lNoOj0hSxTWlw6Gb/iYcOlO1TWFX0l8+CHi/kpS9YdJRbZ/6B7j07ZR5bg2NgS
3rhEMIDIZUpNcXSCFBH22NLSS+mT/vOLyi1ce9iYeey35CF3TtzRrZnBvI5DiEWgHxmB6cMZ3v3m
/v3dOMIl+ggLFK25aB2ifj/4gxQCN47wguM09dUWMepHP2w//vp0fneMNyOl3JM2KHyeEcuWV9jE
D25Y/8s+9+9tpn/3cLwmSkc8ih5KuB/PI4oKXOa2FMeOF9gVuZv22W4xPixqyp8zg1FL3yjA8YJe
a4dp5RQmzu9GOz9/9RwUePRR+f7hI3o7gHC9bnSMNuqPqYWBQ7bSjyer7C8ro+hPZRc12396XTke
YBxIyLhJgrffPdLBzBD9UX+sm5lVytd36FGD36wnP3/BHWboEJrp79gO4rQ3FzYFUCzKqj/mMl15
4S0hK526JAXwd2HWf3MkTiL0wN9ZnoOB6c2RBkjHWoftkaUNZJoxXDg6eOhE8fjry/Y3t8nC6QUf
yFvHxNj7fnjk/a4unYho4eOSE6xWfTJwnRVlE+eI2n59JPvnYSPxcd8d6s1ywUbVTzDftccRdfbW
bdx0U0+AeDZYwsZdr5AEaY/BNGiiRGx7lxYf0srkA2wwY4daWpKXgo8CE/RAl96hC1a7S3n2wqI7
S9KFTjD4l6ukohh0e8SUIyG+O4orCCs2vudzoKr5empH2lh6RCfNXhsQkZ8vvzlRAElv12ZGmTT3
ISx5OH7eTv2qNZMvIkv7uAyZfIrqBkutCt9p388/1csI9LTCkyGq5IOY/x9757FcuZFt0V/peHMo
kPAYvAlwLT0vXbEmCJbIggcS3nz9W6CkfsVLigz1uCNaES3DAgEk0pyz99qLfxjeIo0ra7+g/WJC
g3xRkY2kdXd5wO4IGbxflPlBDs75HHC6zMu0Wjcp4a1kgdhowRJd88Kh7D1k5vaJkiidj2XP2NHg
GlZt62g4F9JkxTnePksNtAxJ6mI7YL5euSHBJXY4rgxWH5enpSlsHudG/WEHQ/HFovXBWEO4JlBw
sGax7h+NtSDvyYasJ55LojRnvXD1PW993IUJ/u0lTG74wnX1vvOr60h2UdGjBNbd485vVRqkZqH/
2rlOa+wpuuTrKqzbM0uX7TZwwvYsov5ya8Ru+IfC6W+n4A8+X9raKqHiwkGjfPz51iHO76izIJHG
0/SttwbxvaLoewtgIHn5/Lv64Cbp8jIbceDhr+MeOs0RNp1TV+zyvqY02gsq+ZSDQYsmRb23mjR2
/IYu27RAfNwvVswP7pN9lY690kQiQbP57fRho/7n7FkUuyaAVVMNxW04gt92kqn+x9sA7Ih8T2QU
qTY+4qMJkYNgE5Ykgu+ADj9MUzGsNAeyV53p+j8epmw3EEwhjEKGoVpH9ySbsuzCviN1SXSEsVpU
X/TkchhM5J2p9fz523v/AA0Vrzb7GxzL9HSPVhSo7bIwsorbMnN9p8ipKGkkUNhtiKj9CuL4/gPk
YmxtHCFMulrHy1dFgziyupw7U4zbSFce4KY+J6N+Gw7WF3uQ5Vt+uz/lUuhzLG6NOf84SCDXo3gq
FLqxuszWOgUTtzQzgO/EzsxFT8gFGVqfP8mPr+iyFSUPgY/ueHkxpO0QDpjuKtGfpK58IqT+Vofi
43WYsr2o0/6pQxYxHxtv/XXXwRWPRqTZcO5oiVrcKV13go1mB9b1MrbULy7zfsO4XAaNDDYIdh/H
yqreUcc45o8m2EhTbhW7MPYkHCrrz5/e+1mEqwhIfczMKlS1o0FPNt9YJIlId7XOsZbjnp8l3U+7
sK6TCvdR58y+PpVfzJLa+5WSqzJxICjHaW4df2pBPrcu+pd055qQSoYMx5GPkWE+H11adXNBJwtw
OJkqQJ/TyCcahnDbRrW37ViF+4xmEkJq+3aezOoAlxpqu5RsDpZtAZxv8xRtjHXnaoO1C9vmTxXr
387xH74Yx10OP8JxjeMXQ18yWrja2Y4SVbFOJjc5UUaKHZ+/mI8mCCwwzHkCo8u7LWduVCwjYZnt
itbO8LT1OzUVt47dfrVr+eCDNV2LvS3zkPXO5WLamV5IrLc7bZQ63ewg2o+WOm4+v5uPZiD4E+gR
HQ7lPLu36wWIOG0kbSZFQYDRo7dZpkYT30bTZD/6xPjnu2jOjKaAgWkb+K+PT6hOG5NeH/GJTmnw
vDy7Orau8zp4+PyuPvp4nMXChCSXg8HxMB6blIyhko8ni00HfLagzh6Yz1Rcy00dms7vQyaTPSqW
5oul6qM5D0UszFYW3/eHHuonaqQbfboLQ+2yLZSnOQk3MrmXRBkzXX9xtY8GPMcejcHOsf+dWjDj
Hm1E7+lOhhK/hGXa14OWKKvPHyb2rPdLBw/RBucINxQNw9sx4nbaSOhnle6cblDvY1hhGwXShxck
ep9RoLeHO6ILS78rW9A+U5GSBmfDynQQds0TRHgzTCQG2KBbZwOel6jrkq9Ot4td7d365thCX75M
HTzx0XxZB41qYrpntRkNaoVt9SRanExISxooGc5Dh6XFt2VEJbMgLBNTarMnAPc7+SXEAsr2RBKw
uKeK5BLookCFj7iPzx/kB8+RxhZbUOxxqCyPF8TM5neIR7bbZME/y1m0G1WiqApIcCmnp8+v9cHj
WAizy74CxSq77rfvTAPAqBpOy9Y+EM8qBQeyx9UnwJnFznaLZI1muP1ih/HBRwdOFM8LV1O5yaNh
0tfZNNZhye0l5rcoDhUflF1GMbOePV2bqruqHqoVLdl+98/vVQjknFSk2CAeL5XGgtbEJVbuOKtd
VBY5ugQdXSNLDvH4hfeTY4ZfbG0+epM8WsoAGkQWprKjp2vRcmiMqtwpKgnME/Y5ryj09nqo3HyX
WxykP7/DD9YcbpA9FChshKuvX+gvCus8qA3SBHi0Yx8i4TawX6tVWa10ZHH/yaVc1dUdiw2jc7yI
StuI27zgiCbcsrgys4pYQru1TuNOiC+mr4/GKABzhieIrKUe/PYp9uhiCujAnFXy7raLyhewIbdZ
w/uLw+raIR3jHx+OmMAwXWimgPgGiObtBcVIwV1r5mI3ayRIqvZwqIFISuoAX1zog4kZbbEKn53K
MzaO5X3+8r7kTO6JSrzHLgvNB7Jnts5c3X4xJHT+jKMN/ZtrHH1urpJg0IRtuEPVKxYvpTxpzMY8
aB200SAbGp6iOnjmUBNgawHoL+GroRigYYP9LaX41yGJKmLaPcaIDAav0ZrE0Aw+T4v5yzCia80N
R7+Y+uARmkCxzRsUGpxuyXzvw2AfmQ5qbXUkrEGADvASeniH2c1RXBSCVIgSMP1WxRrrcoAaw8sk
U9kdllgCixSWbDTa0VbUzbTPTHRavR7l5z3B2Dsg8rcxABafJ5yStk7d1ItQC+1QKAHJGGa5JvnH
RDGIAxOiZIypFCrL54/3o7H5Sl5nnOBrPp4/raqp2slibKIVfKrG9skhJdPQlY1O4ilY0vI/+OzY
c7PZo3yPMv7oWyCisqj0cCp2bRUtNaeLQUv3Q1t8sXl9X/IzqJWi8GdvQpnOPboMruBIr0e32KEk
vSYir0Y45PxepXd0os7pSvudqcEnLr44MukfX5cqrW2zRLw7wrsyr3I5mNREymkGOaziEqoN5Rq1
u5qtaZxzxqnMnNyYtK9WGZQwOlwFE3kFhNpE6msCvt/raqdsRGsUfoA6jAEntxg/aGO5yQ9T9BzU
R/RAKUSGldsKi9oLwdOhCG4gjDS+M5sV7tfEILR+luE64fdZtZl8QfgtrkhsmLdyXPKZTME/z2fT
j5o2WdsK0e4VuStfvIqP5nRrofvjjWeiWBiXv84RsQoVu0j7Yqe2TwTuLpHHKg5XonU/H8kfzUW/
XOd4Y9TLPs9Kl1x7x8xUnzi0zofztv78Ih8tiJZuL+Ao+m2Ak9/ejFppsqyIcd7RdHL8CVs1h/GH
MsWHGjXTF6azDy9GvZIzi4u77fgQYdVMRgXMQ0Q4Vs5JdN72BpFBUDnRHsZfPL6PJgKQ/FQwFsve
u80vJBfdSpBSYFGvr7XGtnwRTA8g3F/aGPNWZH3xJMVH48LmlMQBFi+VfdynmUFQ8nzZpyVjFmH1
0KCaz/Ww16jFr0pdiXaGrFp/lK5+IFsp2k0hyuawjItzJ3SwY5fGdGfjC0CjHYRkuHz+pj/89ZgQ
KSNRv30HOxvGoFHSiG3OUMkX3Q3vI62/yXSayf/BdWwI3OworcU383ZENb0yRRJRzo6TqKSaQyjD
pAyrsqu/WEg/2rZSnMK9RsaGy//eXkgfXGTcCLB2LcLxiCwYZyiu69I8AdJwmZXVbZ65X5RZPhrA
v1zyeMOazAaZA6aa75Rh3IZd+QLPG4WrdVKX/RdnjnewDGB7ghMpTTK2j5yFj85F7eDA/RrtnGlG
m763kfw5xO5CeBGOT/kWbr5UYh/afbGOq0VwrIhFnlWj/AGD8WBQVHkIKtKiOg3ZMtYWzAZRW9+E
s0umdgH8Kg8aZzPag3PvmMya5HsCAc+VhnS9dCltltpPdYCkYJcOYDeVzN7uAk+iXLds+WJgT14+
6fG6yyftRqK8ZLHXzC9G00dfsbs4dSlxMG6PG7BZJpsGzC87PyIU5nYWXqsaD6Y0T6mZPrQxIfCf
D9+PXvFiz8AxaFNsPX7sMhEhCWV8JnFF5mEvu1puZk6/Kx24buA1izD18yt+cIus64vb2MWI8+50
6VqTk7eanu1SNzTWEfi98yJihzYlZfNAUASQDagfn1/zVa9xtAlFe6PxUPlEOdoeja5QmTI6s1m+
s/LZ9aOhs26MSPR+AWT+lKjs7P4VPJUYSLZedcpO1Gb3eYeXvUVLtFWGAcnsF7/UB0VMVAlUfZZZ
G4Sh9vaLDkdzJmGbL7qZA/RsS+gHqjR90wR1s3VtS/cYKcinzGxNzAVhE/RkkF8bYvX5L7KwsY+3
6IsvfAG8cswxjsv7KtIIK4dcgW85gVPyKm6O9Wy+RmBZmKe8LntPgIR5is+i8cKMIrJQcvqocR31
V4M+qJuJEI1vkcHGG4y9+o1tcbEFcvJqm0g3KHvMLbrclwlFJlN2vzasJCLAQjFWtVK0u8iqCFuM
OnvlhKdameo3ZLuMl3y2OFEmPoSHyOnck0y1HwlTSb84mH90/3TA8KDbS4f+uHBEuS3JoCBz/1k6
3kT4c3fkXMYPsVCizefP+qNLob5Ea4AbnWXjaANC06mq8mVZckuSzmXlLJaeEZaKG2Xhw+fXen1v
x6N+qf5Cx6TKiJ/77QArFCvrhjzmcNADxPNaGsY4Pma4cgAv+lVhZ+JUAKC7akdtuNA0JbzWWsWF
iJLJrSQI74+t5H/xDV/gG8BWLR/3v1ECH9Kuzl/G+PfyV4bDnz/2F5NeBbrALhKBEb1Fih5M5X8y
HIRKKhMBZ0CrEATa1MT+DXHQbX6IjjLuAKBX9hvcFSQsTo0USgUrDX3EfxQBbi4j95fBpi5bXJpA
tOhpBGBQPppiK8S1iLqK5KwmKX56QkewiFUNuzXWKqGwCx5zQNQ7cW4vm1zZl1okzRozqV3syiFG
cqY003NNDmPuK6o08atO/Xw6Fpb9UtWZDVLQtuq5op8RWgj68ZYPk3FD3N3sYBUhTkkjnyXDQQiY
ZQohXcCQQl/vXqqxgge5L7teYH6x2lpON3pR42a0hr5VHzN9yGJkkIZCXnkdlWqRn8SOgk3SsRGu
9ygr8ZKGs5miL7X6opLOTaTZczlg6mBWAQGbG+h7PFI6cyxIbM7F2iFnPFMf4spu525byN5Bc9mo
aDpOYxEDcwT58nukYGewKzldmVpW2P48DQk/SmF3/s73Z8fnr6Pqvx/gFx+gTpOc8fj3H+ANmv7o
X/5TXWbx29C0P3/0L+Sc8xvNBdWm0wVGxFq4cn9+g47+G+V8E6Uhmqs//s2fkHTd/I0+9tIf1XXL
0Eybafgv4hwBEkzNJm3M1yMpy8FRKsRnKRFg6t5+g0s/lJavsfSsSCJER/R2wsfOhrQ2iZf6qy2G
tQutdPALyJ7biFG7ga1tdH4RJs61G+tz72lxEV8MGD9XfRY5DuzDTtwmQaw/WA3eGfhYxU3fWMF3
Ng3jlSScVO7sYTZ3stZzGKA8o1MYmOUKCF05+sOY4k5oiQZovIg5iUzZTAG5JUoFO7xh6ifdXGXV
unLjkHLthHfKT6GUsQPvk+In5dVYwmSdjE2qNMZlJJLxKiVBkrRi6Lhr3Pv6SR1MRe7xCgrSI5Cd
R/uefE8PUJh1ril1IP1WC/R9l+v6yTA7+t4dY84MY1b1j2rOLwV8LGhfuAqm49ooSJajAIrX0JEV
iCbbyqY1JDJ9PwaFVfup1ZakLgC+2sUs6/Zan9X8Z8wLh4VgjuDKzSFcY38KnmfLrCjciKF5kDNu
bGCiIwcTaTYPxQDC3U3V8SoYgXkOXVDcyobk4bYhy+aUjJvQxN2sIbgPIpvmdZZnOMaJ1CmJxyJU
6XpM+b0qC0OlB746yD1Vj4PR49hjX8+4WL+L0HGuggweFBa3WhWrgH5AAf10KDc2GcsEhdj7Ueby
MhWVe2WSEhqdJWCBdg3Pb9OXFaY6K662cxQNZ1Hnapsx6knXJjunvBGicq4Vg9GSpORTkVtv7nJs
tByqanG7+MX28cTbwYeCXqqzy8sUuKFyMxv5tLbsRJwYzTD4VZZ2xipG/tEgJclb7pm0Mr2IcQrP
efVYd6X2INXJ0H13rgBCm+ARn9lrOmsMN/DenGFyr0cZRh4pmO6NVsfh9QjjLVy7Y83Oxez171ow
Ngv5WTG1VRspw5Mzpw4WMOGeSYnimPBXNTwxxqSId/BJ23kPSk8D9B10yhkO0H7wBw0Lj66OTkGg
LPizliJyag6I5WR3wPxupmeRPrpX0lGEjmfWsu4KMeEuahR1CH09MxQVemJSUpyziIXStyH8AZeg
2QTLwuQpPAh0ySaRBo9VjwBPad2h8sEu6wHvByayZwDYrYY1e0hnE3Iq0rpdUNZKe9JaslP3WVVN
8QMrntuesNU0aewwfL7ZQajcTICQfS0Nzu0870/jHjNzVOUX5M2HZ1mH0P/3xFSSXvM0isSGchLm
qk2yG3Epd2gTY0zRE6wyNt1YKKd0o1r8baurAG3ncLiPWy1eKW5UnjdJhJ5QtoekE9EKQZJmge5A
8wBwNRruLYtjxY7PW7ktQj3YlnXNGknyM2gH1REwghPor/icw43S4ql+hjChZbtJjZFnsZx3qwlN
OjxmNdmXnWquJrc4wMk4a5Mm2APuaXzXKceTpaq+tsc4WxtthP24HLdI1hX8pcw0WVCTJTxvRwfE
whRrwpuIZbkgB/CmxWmyssNhC8TRvBf1glvsus6bp668HBz1AGhHAwuI/UNpXCiCBsntfRaQtSKt
cBMUJJEnZnGqFrJ5oalwoc5a8FjV6bCjPJvdFFbvXCZ92dCLoLxlkIt1RSSkvsGHmnlDHE1bw5ov
Ysz028wgkx1NYbaZRCo8gIKNL1K8uHGN44NE8vmxBAtB3qB9Ocv6vB2gOUst6n141PW2CsgYTqC5
nePjGi6tBvd83JQ/XGbbbRELZx0DwdiUdZsQ1202VFS0iooHMuSs75UlCVCcTtmE78oOv5d4OSlH
RzEl6qlYaQTMexnAjochqYadmoftXdLVdIWtQdmSv/izq61sO0VgTNqafIZeaMF3PTVJ1RmDiHja
xMiJaqDmswfbPiDtyg3OklUsN65LThwRN2gAZZcaJw7Rh/6oKPZ1J3EJxjNLE8HB8bZF4MuosGb7
YmqqAmVzSmzy2qni9uBixrx3KcvDBKE0z9obXcyuA4W9TMvUm4kG+ibtLN+IjgZoEGvOBheguy3n
Xj5K8nkesP+iFO4J4CrpeV8A/C1Ppwo9f67nzjVOzeK8sUYFnEB4b4dVrvrELHUbMrati1oL8FB0
Y5uKE3NMwjM3BXDhhQWOpqyNO9tPNR3DZ4VgGCsvdj+zNUq/p0N8oQd4DmewoLitJEkWdhmQOS/B
nig1bOxahp1XQeG4b6XaPDDiimoVd4M8VfX6YAVJeT0Cp7zQEV6vFqWq1WUMAwNDOiZXH4+ksdOg
GXt9Yyj7OrCTF70x8pcuX0yfkZ7Pft8GA0mRhjWdFAumDRxyZa4sMxZ3ZdT1hwjj6/PIBnst3co5
qwLtu+J2P+O4CL9R2sAyMpFd1BjmXWGYyjnfFAJkPV1SFJjn5qkK7sLa2I568j2wut8drTK35Ey2
oKGpFejx9G3qJ5f2RqmtbLt+qnIUzr2u7gGjppAQNPkSkprmpYlSItzUkx2mwKL0tXky1rMViKus
sep12gzpdSGsiyKE7A1etltTtVAnTwv7uPWHqMYp1oBHuQgnqEls05+JD72dyhVbKfYXMbgib0Am
srNFMq/gpGuVRz54ewJsdNnMVI7fGnXjjaxya5IB4ictTW8VzSpXOpyH75wH4l0ZO/ZLLeoDJ42f
4FboHcHdcBX7sciEuqrMNt6OqWqfuFMwn0mVWFFbrx7LcKbo5nYnQ5EGzJ1SrjlkpJRCemJQxynf
673cm5OqkV8g7uJhSs8yxrxXxJbY0JoEXJC0kS/VZAsxWJ6U7XhjzBhsxRwVmM+BgkfJ/NxyOvRb
vStvAmfsEcTMPOsg16cVTYp+bVowX6aiyTcovHOvVpzfg1D7JkhneFQrU79EKE0V1TGvK9Eyrszf
cy0X+3juCGQnXvOU5MjytKu0FzsfcBKL58ZJq2hF5iTK9KIZdg5YHa8xsEnHFR2X3rEwG5eDfcA4
H66ibEg2KrvHS62wA9Dd5UnNS6eFsUXLcxFNDYH2tmSICick8mzUVrVIxIUukzsowtYhoIC0XYA6
xI1pRXnoog5EcENqIlmIphWWnsGSfqZUjUWneb5vSctZNpuVKC5Lu8UeNLinNIh+mnG4q7Qc7aei
XgZDczlnsUeSBNjOxvYSmX+vMxx3czPeDnhEpWgvW6UAcMB8yh8McKUlE41ExZQ9YIcPcbEWm2RR
9CtTj83FTmiYZwVQqzMrrwo/smpPm2zOy0qaz0RKFul/wZkgY+N2+uLgRwnFouz69we/hTP+CHL7
qO6y/NBfRz7xG8YddN00KAD5UTf495nPdn+Df6Zhxad4DFHQoifzJhlrIcdZiL3olXNU+wueqf62
QAHNV+bhH9jyf3LoOzryOeZy4qQxy8kPS91xZVv0mMJUNYTb7CgpK3YRmpc6s93FaxX/l0dz9Ucx
51+YJa9owrXN//4PZaRfSzyg/y0dsw/9p6VK/E6XAm1cmStHFHtbH8QFoQ3iIul0937iCZxVtBHW
n1/vXcvLpMxFfCLZY4hT3gmmgEhrRIiqXC8XKVG5quTQmYCvvWjBruyLNrD0tc7W7hY3jvZFv+1d
n2I5zVMSpztiIZ89Lp5WikqmSVMXZKO27TPVbkpOGXacs0nM4wH/snsfgO/74pY/eMRYf/C+WWSx
vdcatXTy68Gx832dc+KGbdA+90Uez54b1+NVqMJH/fwZv7sghYelrMgVXYT3x/aIRFVGqTW1u4uU
oDy1yQpkam0JSHd05bse9Nbj59d7L4CkRoGMikIlKl5aQEcVcAhyBFMGIyS/cqT3iwqo0YBcVyQv
OYNR5P7UxeLCyZCr21MqDlVvFveFlPbAPJniGg/txj60kwYOpe7NrvfkghgXozt+m7SvQqag2h4P
eptelca3jxsBTdZxxR5vtRMmpNLsTJsOza1C0y84bcJMrTZhCa46r0IxnICynrLQw74rbvkGp4Pi
ZvWOA71lncRUBCHvSPMp1Jva8nAVMJaagE1mDmbngpJAHp30qpbl66LuxUWuUYL0qxRCzqrjZMTm
uY411Ena7GykOYoLpbaVet3ZankqlWk8iBZQUhC7ZMnMNT3bH06vy2lFvRSgCKuwlpzW+lKuYJaw
wJL1qbtL1F55SLLIDQ5VDaqaDWJS6YUHMUdhrdTmSAg65zRCQk+Q9jyet4bbG9cAD4czgAkZ3H/k
Ll6PQoCdyTIR1ETohsSlNaSiDO145aZV7fgjydmPXaLJRwoT+h5ldVv5Y8/mG+Vtf6U2TUlJoSLn
ZIm0cdeJqM0np1bHQ1lnQvPyPpCPetSOB6VSsEK1JMbFc2w+mfici30xueMjexeKtzS4yKJpKMwc
OqPmTqF70balucM2rIiDey1Jie/rSEt+yjqeozMT4IJqUdx2Li9tdir3Hiih+WQp1niIw8ZdV/pg
6pupjFvHd0clkl5D4tHhj7EaJaHe+ZEeD915nI7Un5OSAw14VvmoQd9pts3QZ7OvcJCOTvAnxvk+
JZuPsBy6lU63bg0teoj6wb13yCcRK5K/gd/mk8E46QvLeILzJB9h5/HxE0F/5k61ey+J9wo9qjGM
DHY+im+EY3laY8knkUWW4xUFDdLJeoucL06JjXwcCRnNAbGlc7XpSWQN0Q1DEmNbSMVtkMu9Drj0
PScsYY4uz98Ay+vrnUOLFrTQitSpqPGrwlUvXv+bNggKP4epyLwxRzuFe72O7LZfDaHrbrqqYQCD
qgMx3qYUDRHtB8GpaHpV+n0zkNJTjY4LSdQWNekSFNE7ryWlIbloK6uRAKTIdxlvJMi6JTWGuOh+
kwGP8wJd4QeKLBbqfhCtDdkozJUiOmmaNla2k9olw6qi3xscpCxwDkVwDvB+RDBdzrTZnR4Rmw3P
/QTIE95QM8dXw6Row0PzGg9DQl6/bUDFD2D80pJDa0/Is5pCnjfZRsNmuJVL3MwYUxMJQKxsXD3z
q4hAmuE1msZJ9AuTRCkfA+EuwG4OX7Qcb62crWgkYU5ZmjJdGGZq+Q0+42/IjyoMlpPltdMoLonJ
bg9DVJE605IR8r01UpfQKUAsuh+68Xja2wp+IacknwmxdEmro5wvnLoLn6uGaZOQAvukiCPrAu0R
9SZivqYzUQw5L3wkQ8ND5080vJzbZzeOyOZplC6MVwxu98QISMFZuUbfECtg28G9XjRtQY6HcddG
qKTjunoqhJ0QuI43BwaizpSNfo9BV6s9Q2pKKdZFgr/xmJfHA8scY1mDzRHvLCVglZ6XjKOG7EwT
0fs97OAu8ezQyZeM7X48zGMU3I8RewtpCPk4NemYcdAfnsaSg3fCAeU0JyTqFrpeglRg5sN6LdUG
KhWCmA773pELtMR1g2LFMlreWhQFqBMUq4bbILSO47wJ/mImqxsBk/ie14qC0CIyOmev5xTqSAKT
zUh2mKjB9lHR/zGHvUkaWgFM35XB2aDI8AraWrQPHffWhudyn7X105SPy+wfi/smd7tV0vGciH5j
njdJFYQlI7XvhLGRNJZFg3ou3cG+ga+c0tbqh72pd0q/HCSFz3dpQ7Mqa2fjEs9wOS6uhs1saPd5
BAi3HBtqSX1OKrwxkXfgKdTVey/Xg+KisBXjRyZ0/nvJilXfwSLXgh+uM8S1V1UyKDezA1mRQzFl
WCqiqXJGUHDHo8upas0kO3yb8MLtYqNwgHvp6irhlra2kOhwJy1oHsvRYS8iW7IU9SFW/FT0vNaK
Ms46zhqDycLIwvoClftEPnXiXIAxYVnIS3LflkSoZzVLXKKoTaY3SH0MGiIUxkMTAiwKxyWsjqFc
UGuLSg52mstcWlkac3ri8uf0Gr+N1UbuWTPwavwsc5kHwQbzO9kO2phYEt2MmL5gCI460ZZWJuOc
/I+U+b7uKbm+lrR7MGIoLJBEnLnEsfiJg7nBS1hMcl+3YVfC9uFbMqnibe2JdZzCGWEpwWw8zcRV
dP7rFGhHC/vShsfF0B/ULLpqhwLPfScH42zoOqJ5MpMmS90qzXMBpk56Qq8ZERql7SdCpccrMHDM
0zn2g3o1VWUWwYlBoHASk+1tbf/4tURh1tmW8zI7iUBRWL7smtm+yup61wMMu2qBo97mzuDShiCw
8kQbNKRNXjflxnguLDDSvlq75eOgkcVyqZk9v3WcS+516GcuWRA8YeN8l1nDamFRnMo57OKjoUjp
qCA6/XA0LNJkm6TC3m9ON4FSmo9WJJhYp1pJzgZZj4TcZF3SsGSI8HagOUrqo5pZZ8aMs4UMalvc
ZKVCrl8XKT/buqIl1Q0uNA6+YkGQmu3ew2RjWJA6xkpeIYy91WtqhAQhjkW6qW0DglA4xssT5aAN
HM0kMtXvINWwYNZMVTfB8kZJZ+M1dTkjLmt4jYqg4eMRcqbCnDYbVGTrzKHAc0/RAWUjz4mt5Y2l
x0p30wO/hwscD1EYOQeCHV2LpUq6s07RN6Tivpmg1oXiLnHYLYfbcWhND03JeADKZMLJNgKO/Fke
r9oB9dRgTdo2JxhloCARqVDK6uiCfFxqL0o0rfmL0HbDRNeSzPKc118dIOdFRPdFyrdRceMT+J9L
9S5i6UE2tQtB1XjTaCsbhB0m91FZqwJtJR4B99SYmsCvCDGHfhmv9DrsNkINxaqeBdWccaz2ZQ9G
PGwzcSgMphiPbQhNa6JJPJGyI2mtPP2pxIa5cfoy2LlzmRMaSn9ixRc4+MwKP4u6+qlk06U7GsOe
cc3GoKvUS5f65KVJpu+qh3tqNVO+w4pVrdkbBzej1U2bhEV0lVTRsB4N45Jqt3E+Usi75m2zLhN6
eMLKBxA7TynXKHoLPNFah252TlUYKiuP6lKdZHgnFat7JClQvyj7PCl9ICRsIMcKaF0GDqi/0nNx
YOcHNFMBu2tagXmi668BP7lGAhA5SvZgBGCokvnFrCxeCJDqMN2Ypj5EqxyZ9+KjVnrpK6zADUg+
+K7MR0tMI+sVs2FLZjxVLmVv6VMlz5s0Y5DmEbNNbNWMyLlflHMBqtjmakqHhBQjtt2rz49RR2oL
A7mSzYHDpLCAk+mdc3DutcRlxZM7ab5u+vuR6iC5quPh8+u8O/1wIdJnaeRy7Mdosxwff3GIwIRs
u6Rs5S4rFlxsh27+tmpqGhgQ6kGtG8vR5XU6/Py6747+yw3iTKHRTlXynd+TI3mmJ+Uod1DLradW
yanFN0CqN4MdMX+VeTEdLErYzBT9ssv9/OqLlvYXLcvydJFocSrmA+eXOPYxTU1C9URYWMTMgAPI
7NTarbPMuiRlMtu32Bjx5ciaY8my84ZxxOT++iv8V6rxRcUOF8tSg/j7it3uaXiK41/rdX/+yF86
KdP4jbQGjO8AC5BdWBiS/tJJWepvVOtQOQKsQe+qU+X7s16nab9RK0QoTs3HoKDnMCT+rNcJYgFV
10RBtxxH+DfiH4k03o5syknAeWirL7pPNM/U1N5+UQjqszkhQ+umaaTsPDnnoK17we8Jnp4TnjTC
+jpiR/A7fSDtNopS5aC51bQtDGWSfhY7pk9enFWQ00WAO+meAHsVuTZHDtTNK3jWIusm9NBlxFdJ
jbiQ5hKChpKOyqaj3LaWgk2YpiBHgGRHiikBVQDzp/QwJ9CYXQosgDCV7qUgqAxPk0HAqrLoFkbO
XZyomnZ4ckM5Pdl6RAANcyNiByI2mR9qwvk2NrURKPuK/NFpUfJEhtR0pWBupn+TTI8TXWDflWFq
+zrKzpe+DgWhhpmxDzVVXIeRdS1aBfdVmTXaHWD3Of1i7nwV1v7/5/36CiyKa7xVdcnXcBZh7i+T
Wo5pLFGCxrqZax36ud6hstVG9h5uOSKw0LWqtb1Yy92r0pbaWYEqnCYlSC/Tj1O1RyJBqxMKSLl3
564HrgMBV+uM8hlhl/JQVGZziAg9Xptxkpx3Zisi71VPnGW098IIiXVHDvYlHNu7NgNFyibwjEa0
dqtF2taO3Oeksqofv3wkH9RuiWT6dU7jpg0Mx7wJxN6Y/cicf3vTEtF9GKiyuGF/FzyK5e1jghXf
qH1RrbERe3YJhO88Gdq1ERVg1HOlnTcNAPjzsRvVHxJhAh4mcxgvwwIG91CSJRZM/L9K17QXGifi
NOQofQm/RpzpYYXhzgnuQ2PUtm4cZ/dpQcLu/7F3JsttI9u6fpUbZ44KINEPzgQgKTYSJcuyLNcE
IUsl9H2TAJ7+fklX7WurvMt3z3dFlO2wJZEEEplr/etvnLzQ92mFR1CiddpVPpnOZqG+hg9HHHZg
Dvp00lfztXLGa7zIjP0wRvZ+8SjwAisyNwiT8+1sE0iiN36ys9MvRYOBgmXV8iVNcEcuBlO+NPiK
Ax9SuneDMUGqYVLeXBIN5XzPQ5mf3UnjYcLkZp+br3qZZoi4VDreJs9W++QReRGmjMnGTYrXb0A0
oH+lr50IMT/0Nm5VAQHjad4Sqp5mNyUDwuvFKwRh1FXzh1e0OD1XUhX7+Fe0+5mIXlK1+37vz016
KsivvokSUge8yphu7LzlwwkMj7EZStZsv3RJprIwY3GvpQMu9oPBBRVpDDUDpry01bOp4VJeTpCN
rKTHmpcu5Nqy8FbX0XH+Qpxh/7hngQ+ThIMhC+ovyKcCKP7HtcMQNYpioIf7ZNDJkFBe95rR48M/
oxTo3BHKsK/WToc5K/Eba9gPfYNvpFyS1wxA6tyQQHlsB7397LZWsymSQr/C1+hp9q18g1FF+als
+Sn51AHZZBOxC3QBeM6r+bg+xOu2txEUL3T/97PeYWTtgoOBFGtYZCdYwbNdLbsJ2E1tqARZdnYz
GFt70ARF+UiofTZPeIyr5NPLsm2y1g8vjv5daxvXRlNHb7VKCfVIY/jsZwacLWYd57RPiVwtG6qc
DekS6ddKz69aeDhlOM4+kgBzHJ0rC36ou829xLv10Dsvv4DoLyKM/7dfqctvqgEUOZswDqGNq0f7
u/0KWKDX4rWL7kXXONpmMFy6gK7VPmYAWjcMQYUeogTVHrIlxYDfRnPV3MwdsfVXnp5yvJg8g2Mg
CrzZPAyRnvPJge3it7KJwwYr9C+dtfBhQKANUqsRL/7z3vOzD2Cp4xV9D+eysN+tn2rN+85IYve+
cFBUzJkxnwnCjnetExVd0FfsM1Er2S9wbEN2mxCC4HhV86xHun0ypBO98ewhhxBL/Wyigrx2oBoe
E4Fz6q4tvOihcFWTl1QxxJd/fu+X8/jdxYdQ6TIDEChWICm+u/hll3arJe37esTvPpB9H72xmmkh
ur4rHqH+rTfZ3M+3hauc3C95r6KqHLCodDpe4nGlLzrUw7I7XJIV6LP8K1LLBzyf27G6RV+eXruC
zy/J8CF7tZf928QxwS1Kra896XUHfV1JHMnbFXDXkjnxDZPbhU1mr8EsOrahcYw+CxiTeAhr3rFP
W7GNUHzsit7E2aNI5i+dU61XnZwiqHoJVl9Y3ENqEGL+w7g404vSwvK8b4Sxpd/1d2SffjWou/vE
rNrAzJvmUFhorCuXR52aYL67PHqRr8WvXaQl09bJ+csREsNxnTtxX4h+GTcl7huhL9rkVW/6dZfp
SfSFlTf9YUFyZAdRlyZzo+OYkhlp6cSGBhjointEv3qwiDJ/0Bslg7cg0Dy5ZfZi1mV9aONkPuQY
k4VdJ6ZQswpxncyy3+BHM58zY+Us+eeFQJHInf5hJWAAQM1gMOq9lIPvygb26nLs0f3eJwXIc7jo
PGBgfuzNhaQDXSIs7OlO+ADJmsQ7SrHm2UEO82HFACXHW7s/JFrrQnTAU7YFL5PBUuppHk5ahswl
jqvd0ObqccXM7KuClD6x/Q9fhbSmP8bUtbQNPjylu+kTYLyrinLsZqoGe4vx88I6sCqzCAqziIod
7FGYo/5ajnsv1ubNsjawP63y0yxrgyhRxK5FqAn4D62jfYDntgAFj/r42tocK6yvZNPV+EbgLt1j
JE+aiFukquRU9xWKxfC5n/O9reXTsplFum59c/lsgLhvzNozA95PUgZ9xgOByIvFmmGNHRLl5r7g
V1VuumnKj6j69P3qF4sWOOYK8bQVkAoFtq1+CBkseeQcSB97LSsYajXS9II6LbPPPVpMwJ+8dWJm
Dxijh6XJbhD0xHW9aih87mFwqgKHfu2oezNHVV86oCAKojaZA2yHOSl1Pm7OlkdAKhcKLwf+TIAN
x/aSCKJ4PTJhrA3QFMZ08YAFi25x6qxGZn4l8C4lT9twmvykERZC+eMvH2JktjhPxa3+FR0z++rQ
ErC6sLProVaRnxLbRGYvLARPeS7WJ81asHRhGGw+4WmO1x6zi/VDBmqPCZCbzfcdteUeXokPsNyv
65twcu/gER68hcSJm7kH+4kutFvlFrtCQlV6J01CB5pXIIG10yBtqTKDOe42A4xVDSQ60jfwvos3
F0uJoW6Z4NmUrQBVuVuFhczLs+uWyR1xZzLkMPC5Mtgef7g8SP/tbH/R2aL1M9gy/n1ne6bM/bkI
4c9v/YuRYv9GJePA8scpCVmj6pf/UiFYaHrwddJ1gz4XO2IqOTrHIfnf/zGd37B5hFtAJ0sNJxy+
6y8ZgvkbX4plC6J4W4e+bP4nHS660R83Sss3OO1hg9HkelSN7rsj081n6t+iz8hYUMCI4WOltYFt
y7xJ4DU5Q7VsMLGni0+cQyRIczww6vC90FlJDg6FJE1wB6u7zLe1TXbFXiP6D7sVolJKPcC5qn8t
Mcy6XhS7tKkH44xHoHUYYJNjTyCylp7AMQ8TqWtg2FkBWpUXpBSg/QTxT6L6S6Wmqo2+AiVNWa9m
oJXhXZMpYT1/m8D7DBXxXI8dJxhr4TVXonA5NBmZqG8xI6apeZZif94yyCL+nReWjc5DN/TefI+0
k/FWavAQZ8I8RHlJdWI2RGzcxqLK62NNVo93dHy3hySnGw9FpQbnRlJpMOVinsuGRIG7pZgBuPJR
IXyNr0bCQsTdXkf1/qDEWM+uwNWkrrVxb06J+WmVzC4qCMH73tQZmjhlb5xj0fL5GzeOHjMHPWXY
Aqr3yCwyZiBA2/1r1mHKElRWLR5SROxfzEiRMWaz48suKF/JDPV5iRUYP8a8AduQvFtZ8Gq6GQsU
IwkT/NF0kpVY9plPbeW8ppebzRemtnx2tOvg9thymWfHSstTlbgg4TmzA2+KjKCT6XyD7mQ6mAQF
HCo1kAIGVteTpAA145lLpvmsa/7m2w0t9JhRSJxGzA0I92VOqGYh3NK+f3KWepmZSkRgDnMumATo
fZGnH+Bu8BHqJeOnNGDsJAD1mO6GdjFyXUif4T0mpCayIS6WZhO26TItbYfSnvZNXib6ZxpEy9wV
5Uri+yTXtyQaFRI4VZCgCvbUtbd3C94VVlhE0A1W0Wcf3MkitJ70Qo1auxQPFdD7l8uUsyaMbd7l
M6GAO8BtftIaCX79s4hQi2jQTVAaiNZpwHSd1SC6njvrm4NrftOpQFsbrZvCdYGem7hn8WmCqU40
oa8LXNkMr3jAoVHRh8Y4k7jIQ+j6Mze4hlpFopgf06XmWcPkqMp8RSHzCR7fQiJhvRk8ltd1Az6L
fQ8ttZINmOEiTd43xE+mMGUOGcIkyBw6qixZMZEx9q8z84F4C37EvZvUOoGjAQdE3SK8L2DD2CPs
D6Pnhw2tThmCO9gWvQrjYY6y7WX82zVZ9HhZwpfp0EKI1KlWD3umFmnkMDCW5sgluQT7zbS9d+UK
p8ZKMuZFykXw8dsEcagbhoVN4Snqh6LMfMOyL4/EyIDwyknVJOmC7rc6GwcCvfbL6jJga+2Gzs8B
0HiwZB09ahmkmaBh/FsHWQtGUHQuD6dTw8tahUcuUmIj3pBpycfR0cKk1EkMOS/UDIAZFphm8pBT
RnJ9LsSTy1Bz0Vd2EBhIoBZJ7V9LTJWv19bhFiL65yfUYHZUPcQye+HoUpLfZe0UuxsNYyL2U1wO
NnrRuHuH+IXdtyFrO2uMlEFZCOXLWT8mrmdyt1KTJ1ufhyIKIP3whhjQzfelqGVyv/RzcxOTmbZN
F0KezIVnWcn0D16Va3DCjIKfYzkY0OU5I41sYMvQdSb7pFqNXEEmjvcNCz0NRJK3X3I9avdku8VX
0ZCIhwtrEPxHRjsvYXz/sffRkTIpYoukKvGvSRFiRZF6wY0qBFSfiLanOca1y4jPrMoiOZYRpN1M
X9MrkEwGgpPkLhVpREIPWW7dFtMT1lQEGDYFC81mC2W3sJ913DNgF1UG04sRe9fMXuSyybsSvlOp
16wXA0XAtq5YpRI/CScondY4p7VvPJSQDztUCE0cbSdfNaiuQXTW0crUtEfEUf8a59TjaWKzunF/
e0AGyNA7tY3sZOGosB+p59vdZc1bwuKb9IHPHIpWrf8Rt5rzmE7+I8Ja+BKo+niJSRrtQHQSmtMd
LTz7GwCYB3BiqvXoL70XNq3nP2rmyo38tqVlvcGoimkmSwm9dzceMq9vtaCdLNkB+mrGneXwdGEi
7mfhKLm8RDzuLk9cOXnWo6yGmWS41u6S3WVnreuEObRMvPbRSM2qeiTxask/29Jknygs1eoYRANc
WclgP/sFI+hsbMsPRjIKZuTVKw2Sf+gIiuYwaHV1OEcxOzAIuHFGRshGBi+eJ9ir8bgO5iSpDCbU
S7Ls2X7MUm6MeKSECOK6qo3QqVf/VEJKSQLhRvAtuj71iw9rVvyR6WnhYj07aPEjRym52wPjyKNF
4uUa5IrphcS47DYJWwysHinsLDTbznmtq/Kxjo3u6Ed4YtKQeXKmDjG7B4Y6h9pXB1HvVMVDin3N
iTPGuzMqYqZ4didzR6wKBAXDGM5wHutTPxZxOHlx8il1W4CspYp+bwex1UTdXvfMGMKOvlF3M56B
YCyNUpNkSy+HPhmbEwhjV0Z3eoI4xPcJqUJg0jR9u9McF6WZNQW42N9HIBT65wVeg8Y5UZdOdDCM
umRXzXjCcb7YrHCpxKaBK7vBEWOtQpUpQhhWa2VhU4tyj5YP/VxqNR5tc27u8kqQe+Sm604fZ3m0
syTPQ82VqIFEBTVptzjIjvY+yxIbrn60CfgEpD4hJ1hvvXlwj33mc8ylM/EGs9aQIiyNT5Yx1Tea
7lS3KfK7oysiVq/BLNehed3GeO+DNzUzxMHcHU/dPOk38Ct1M+jJTHwurDr7tLjlJytz2+KaGFnr
Q5vjlqsBjnihRTYvQ2pzeuvBAb8mHhm2PSgLpC1DbFvbTTdet3S7Rcv8vT6R2bzMQwmntSEHGfAf
2qnZZzceOOtyw/VyXrPBq3brKCPOcQIN4lR+wq2r2eWp2xHGIn+H8xeC57tfwbWX+8RGGGUUrdiZ
KgxADHb3ode5rI5foTWYy/klG8UDmZZRgCC0v/HSBLgWv2HCNcdyVy+adRX5k3vdAPFs47Z/aP1R
y4LOoTLa9mVbo6WJ2KIQBIS2TJotmDsgSdkZR+i62t4mI+eQ+6N1XSNJDblo1XbKW5txOxFmc9t6
W81Htp6xYwWskPzOarMN3jZHbc2NWw6BhZJvqnaEHTiHojNpYWszNCuz2gsNRzxPnRDm0kybOfZh
v+bcsB6R55c+mttN1nT+DXOsD2T+IbOsKv0+7zLvusYB6ZOYhXaN1QdJ5ZqHl2kgqV2/DhM2zZtI
iPUI0ay9ytKhfgIdhpNAhO+Usr7hdiFX8tAYm9pZd1o95OR1kb9Zu9G1FYsgLw9Sd91nhBIwJBRH
xUDZFU5d1+80l2UTLK4EN1qH8YqcuCS0Yb+GbP7xZrULDqI4GQ5TZb82Ce4zYjAU4Usv1G5lHJas
M5+jTm/aTVT38xMV8ZbquqMSTPVqs+R6vh1ay3mIWnYUdv6O3IXagByYCncPDcG8KpNi2fRiwXtQ
FoYS0qIEDhpzzPyRjYQhMtaitn4/ybwgbs0uuoVaHFgvu0/RkdH6Z6WFCmntJwSRShuZKJUkNOFm
gzS1akidjBjKEbwXXQ1KW5kueBNjRjjKRy3vhcexFwknwAcTDAdxZqdUmq7T1Tdpz3ORmoN8ZJZV
HFal6/Qhpu7IBFq3Y6KYc5mb7hylBJUx6tcNhDmlEE2/6UXzi3gUbUN8DRn1nChlqZb446nsPAJr
EURyeEUfS6VE9SW6LIKl/QgN1UWs2l+EqyAXqKq09qJoZdcCZ/ymdM0usteYxi26jS5y2EYpY+eL
SDa6CGajP9WzclFaWtwcEda631S24iK5jb/pb2NbH80vHihPuxNjRk62l3rAoK6M7PLUQgRqd3lN
ybXR7RJa79QJCGz2SA2aEH4cU8n2FCLOZHE2pRCjlqNuQPpfBOpGmEqooBRajavFX2P/f+sN/m7S
olpnm8Yeg1i0DbTR76Z0YxLBJhnSDLGvDymsrGtz/rxaaKyemDLA3rVIg+s2NdRWICCZc/h+Bzn8
ZE74N9MY3gGglHoj2LjyLt7x82XiAEeJId7bBO7Bva162ESjb0Qkr2G2EVNsRs1VaqZJfCInfa2w
1Oijc1xB2PL00ThbsIx/ZQ74k8uC/gONC2X7T1zWKnOM6iSziObUKP3amdMfDi6ZyFRkUREOqaDy
GUuklBttiptfaRaARr5HftXF4OUd9T8luPHe26Ra3JyEp5VrshS0QpnRLg0nTuuVGTckWWyNKlp6
5kPuRtrBUBxHwhms7DRBqxO3qCuRq5J7NsTJflAddNPilPJ2IarLSlkp/Mc3ESGDAUEIFgszX1f8
OLSY/DglAN7D/D2awDThIY+9kk80FE2A2y1m+eQKO3PfPpdWvty3A1hFm9DLp/Xc3ZdVG/7iHSnM
5zvwnEuInEYZ6JqWC+Z5WXbfzbA0u9UISHQT/AkVNnnh1w9AUo89EA9y/QuNUgrRv1pwig/NRH9R
SQQAeK9yJIewJVQPxpX95zdm/uyNOZDsYATApPob18eFkt6VXZvsEXVTocY4KBRj4EvZuTNVkdlX
H5uk8KzDUium4mzWfX6cLDEhMZhIDL+Q93V9oVu2LnWxwUj4SktponA1pHy/qAiKSIm+O4X1wKHn
ydbKCLQkh8s53qj59+u3pjQtGVCPq0IBqqWZ7xluQvKfMuY+qo57TivCj8lI9MgNRwxJB/TPl0P8
SBOAmWJAKcMiDYYMEOLfPKMYpLbpwqj3ykxs9kBRr5DrPeTerJmZd39RIaCzmbSPlVAM7LlMeFtL
Oq4fZ9/hasWmQXdiryi5s8Lij1wsfp3dYom3F3jIFIo/JbsMlGaUEND3dQwCFqZuM8XbeGq7/boo
0ZMtcsAbJ18g4nk0BK+XD/tfJPpXSLSLf9R36+JvflT3Sf36x/859MVzxSX9prQ8vP7v/6BzVN/4
Fw5t/GYIjKMwTMNYzyOH4184tItoEtkPw7K/JJN/otAWjjdE8qnQPwVTM8/+Fwpt8eNoXhT8jI3V
f4JAU1W8220UgQ9Pa5P3wPti5Pzj/tdCfu1K38f4nMxyDHiT+qOfwx6n8fCp2YT9JMtpuim0hrJz
bJ7wv9YOunTPoh6LPCzXJN80SOU/+FNZ3WH++whjOAY1LNpsV1uwHtZRMw8dxSfMXM3dsZQlaKJ7
boopD8SMUS9s5mffLG8cWdyYmgQDaaLNwPZL643ioZhGL4B7+8bYLT2XXMewdRvo41XdBrrmMdCz
BZR2fT3Vvn7nGHjU+J18rmc5BzYh24uFmTXE9DdyhPNNiSuzsq48uyb+FzxJgIHVm59XN9KYkEbb
Cd7b4w7Q5GZc1jsrW056zFexHdN4p89LM6C1btcXm4lWMRkvRDY8tcSt18wTww6GC/aa1h4De8oO
HV1U3UdrQFLP2RjMp3wqnl0KKtxt5T0EDcZ4xt1QQpWx8uINcBHIKx6ynVkguaexpwGLSZud5PQQ
m/Leq2ZqNOGQ/Fr4LzLK/SvlXQDYcMpHUR9WhVtrEiIO0WmhZadHoSCGOUdZkyz3srGeEjM/xnPx
3LXZM7YrZ+QL7MiO1eMKAlfJSt8Ivr2zCu7VYg671icZnfb3uAK+BvPAuLIS7LSi5kKJBM8ENApk
oqPg26a5P4QINGrqnXTZxpq6lkn5PBpIDpi84tMsobur12osvkBr1zvZ63eDkFdjsp6Qq2NpNumn
xq21kFyRNxO/sa1tpDd5Pp/wq7H3HnnMQXahGlnL4xoNEUQmp9ik5NlsmAkjs0u9bJP41nrd2dkR
e+rHzsIDANDpocQcZV4qrJ4SwsgJ1HquUJSRXje/ePV6mkSchlnSpee8dZ9SqFxea976MgVSkcZu
EcN+tYGp2nl6WFuMjqhAWajmPi65R5pOsl8+TAPF/HoC6Uy2UnI/fchCKNpYCXhQDEErShNgVH+s
YuPFNyUoAAwUqLLEp7rTQ9uND9ZcvJU64ak6aj2qtfnBjKDG5enQ7ApRg6A6WhIaaA3hC3Ddjco5
+771VLdVtuMIPze25e4G9X18TpB6l6VoOk+06MteJQoHGsSSRhDKnEWYAblZsmAvGU0fTCYCm2KO
o3BpLVxU/GHat+4yEfZjTwfGw95hnjTtNkfEuW3XprytSNTaoXGcjiVqrFBohfkyGP3vy9Q514ZH
IcWqqdMW/0qEHdnGL1sTF6xVPkcu9KAgbkSBgoPUAGhv0WM5w1vfrFbvp8S5g0Qm0dmq8t9pu2F1
zAXelw4xm2a6aYal27bWnEDchxydBSmw7dGrhyxw3PaMn9ZdVVv1Foubx1oz4hBAxt5Oo/2MLrN7
qSqIPpWmzDUhp3nukkGI8p1dmZbjBvpMdGcM9oA7Cct/zcRLbdQIGltsOZMJEtEsjJ3p1ty3hUcA
+1Py1COsK2bQMFj77ng1CxbdkrtPruacR9HKQzR1b5rsTpaT/yJa6H3ZrUjYOBcyyGTaiUmq+vfv
asYUKxPkfHm9tyZFyxyxk4aSd07tFs6l4fyiaH4/tVSv5nOgqeBFCMLvlfSoNMbKWXAjjJWjWWXk
R1GYIDomG/p3h+lPeqz33QyvhF4fyQvF+U9cfqXrzmaGBedeDPmzH7Ebqu04M+QSmshX6wN/0nf/
/Jp/p7Tzmh4HOCFumEG+Tz2JzcpPvD6q9stgJ1u7nx7QcsEBMa291OwiVJ+XWdip69nd/vml/1Zi
Xz4v1BSAGXQEtLc/3keKPblmi6cCNDpzk8GJulsiJ1HbxSmrs3xPoPOL7OdpR9zNdMymnufWJ4mz
S5aXhJiIuFpPROtx6sKW9ZnNhhgQbYUnT9Jh+6Zra8LcYq3W2Q2ubUDt0/1cxo+6nVA+ztZ59JB5
zTW+0bZdN19idPAhpP1l88+f9CdLCKd8XdBFEDkoxDv/PVGkPhRFq9onot9ZtX6n+ytDKfhZv3id
902LuqKXkCPXZnLPXP/HK+pLw5thOLNWfQbfPaOvxQBH1As24crxsw0Nws0QG+WHYlru3EEvPyRq
rGyt8Vs7sS+rUgXad86Eb4a12zOileOD5jtns5uuEo/t3kY6F8bwsem3xfwU23ikQcxqlPg1PY16
199X+fw4oy/ajSK1jkPqlVuJYd4JlP0tSm0nqPKCuzh79dWsZW9RvT56yJLWoefwbsw9nfMe0D8N
4xKXLQbkp9ylbRDjeucurcm4m5+N9Pj3zs6X0DWosf75Qv5kh6EfxbcPdQu8xPcO56ur1a3FRG6/
SgYflBMzO5vdCIcZgbn/59eiUP6hA1b3DH9IIkxhcDLQVP/+3W7WiSUFoCQOwM6ne6tPj+Sx/mLD
vDxJ33fZvAbjImHhQWmIv5srIOnNh0LXcVT1p2bXp7MgvH19UTs9Fkek13fRMRfW3tfEWUZ+snWr
gvC56HOfZV89vE0DUU4dGrzM3E8wwYPEZ3dqlvLGMOK31ZHmFg07eWWmsyKYNBljMHG/hhu2nbzm
kzfw107vxQdrgSOFQk8GqIsG5HzYT4pOQJj1W3E1zkwJdJG+2RVLsE3zmwk+Z27HC8QrKPOLIal+
jQbvSlzIJn24ryuRbC1z/YXDvfWTJ5Z7QZuL97OixYsfb0olmmGul7LaGwWNwpSUaZgOIxU8APON
kXAFUsotDJK8c2kjDYx6WIkI6m6HjLUc5UwknGrcyWiV6OeMegOM+iSzxtzAbqG/n5xzxIQvhMR+
Tpi6bhBzwgMAZNgQI/+oC/my9nqQuulHkAWqqpYP3GnzVZ7ojwuFWNBESXNlFvLKb+R9bDtjkHWs
TwaLajI1ycDXrGxTRgUuUPb66Dfd9M019t9ikj95SDgz1H/Qv+ne3l0jGbduMUgSQCSIMCUOsIjk
7Vho9qPmVwG45EX9/TnxOIXZ1mDNKLbSj7ektcwFVJLAoE701dZwevz7o+wYcVL5BvcH311M3RYa
pEmwTWUZFWBcgD9TAI515AR15aPhJDR46zsrJuXYPwCmeF/73LjW8OQr/BIwzFfmCVVtbsymfymz
9X4ulhPENw5jllls5s+RVFWqFGG26jcQdTfZXIuQcnU7DZm3G7ill/ZytWZ0CUgSQl+JxjEzDLNG
TrsmGoegWIfkMMOAuDRBUYWhnRxgAFXMX1NSDzYeUbgh3EcikFb50A0x0wvLh+ExPYjcuGOYjoCR
as1w0SJU+bJRf9BK/gZzFhZkM047A2uyrXqM+tk+1658cGLVQED643nCH6JoqZb0KLvBcQX1QsNX
d5r91GY2j9gQtde+Pb9gc7ORIPygNulNatKzYJ3KkVFYT1kywbWwnNCs7T0krKM2ZUcMO9uAwGLa
n6E40hRfYQZakeY0sTB5Ohw53BSG/XvSy+qYG/Z56tG4i24JVWOESWl6JduuPiHVOheD9YSZ56/O
Y+cnjze1DnxdlISsKP3dOVmgQW+ZmGKx7y4vVT/d9zrn3kQjGdk81qr+urTa9eAbu8Gn0rs881Uy
7BYJP7fN+DY0tZt8IIzOz/2NN3Wmi0ybPDWSX4inncdlX0DQp0HLsXyLrXRLGmb8AuvKv2FKlmxW
HA7IIUe2XrGXE5ttnoXGHpMNy+NkUm7pndmEjp4Svx0POOV6VNYxjSHnYYJ1YJjBnDu42fgwQOoJ
OsFQx6Ml9Uf4v+N4b9nIUuvCmbdpl5ubVq4n/AFgZUFALQ0NGK1eXpwek7mOeZBLd7DPU+c8cYjQ
ZI4PJt4xqpof3L/O1/8ibL9C2JjfsG/9e67nLTl4PyBr377hT2TN03+zGTnQHRAHfwHE/oWseagb
EVKA7WMjzlxCgW5/YWvGb3AuBWMKw3X4TUkV/mJ4er/Bx9QBdU3BxFRZd/0HnmN/y/5xOQo8pCjK
2oxq472HUyS1eEoq2z4gOwbUEtmaQ4pvoiPBJrg6LjYaGnRju6aDVWCQxXP0Clw//F6fP9kV1Evi
H/rPOgYjpM7hn/7dlfz/aK94dwQ7UmGRKWk6FEI/HiA+sXGRIX0Lj1irfrYTa75r9aS6ruyZyQPE
+4WzVFdSB3yLf1FQMiF7f3yp1g7o3HZ0gmwuDNzvy7woEZBPx7Q9RHH0VLYRDB85pv5N7ne1s3Ea
270Wulexly6Oe5otP/1kwMD8fV5J23THHrJCsy7mMS4Iispx9Lwaim7EC7OtnQ8uHiBLiMGyfYhk
OSBcMpudpTdQ0zvqgWwu8bPGwaW8TcSC146LPwdmu8xfA4mnywYIBwNSkjg0FB0D9p1T5ogvMfSu
oIbUFjBYwAQMi5EtTunjfYLjKFwFq1IOxSahTTFWH0mIKhz6TGrpn7Wu07a4mDyM7OdAoWsLsE/W
a3XuLEZ0GvbL2DXU5rRfGHiEubaaQcZsHmtQV07slrSBYZNUSViKeXmqMuUFg9uucW3LLMK/ahk+
k1KPIDXVC+b6upHME+GAHhNvM192MgFlmX0QFc0SRAkCOLcEOmsZsZppamzYOfH3r3WHiSkSx40H
IWkrR7NLdxPGcUuQ8ihh5ubFcxC1LXHfK1ymB2Osky25yQhvfM8v4g305OF+RvoHPmVKuiWcN/Ud
xDBiNapogOgaUB0a2taKV/NUzR1UojhOOdTJoFIV22pxWzPN2tuTEBpm6AzHpW0/UQR628R2qjuc
2+cdHGmhPJIZDVmY9WJ2ps+AqlnW7bpB2jCChXYF0RC7H/KsdjluzWBZ2EpiSn3AprC8X7GdwlGp
HjmgMxBDzx7cZ5yZmv1a6ug0imbYLylCvd3AkBfflEwwH4ciNg/h1Fa9ckM2TpHmzUeks5gAZThP
ezKRTVC4dvKHJfXp1qiN2Q7Syi3/YJaETxKWJmbQ2inW7L4BUTggusE2Qaw6J9vw7H1MYg1npDFP
R7sJOJkc+dHoynRugtat6imMIB3HYYbpuoG98pC/VhmjLzJLuuxK6LV8hXBYGpgBJSUKt4Y8Bf2m
b/0ufZ5SUpP2fsWU6bbv6W/WcTUPhW5m05PyLvOvF1vUz6tmDmMY+ePc8VS02vBSRWOGx65PkmFI
08q5PYxdpW3x4F1upsWoFvIaXGSE48TQ+eNi1suyX6YWdxItqhTrrurKeINyJG5+h2JL7kSuVUjE
8CSqVGBhjrwFqhVHAZ60XSLTZtNCE3vuawacaqrJUp/1+gCzNb83sP9kM4QBF+BsXN1m68g0YsSW
HZ2Oz6t16rMtSWR/7KIVc39UxpGaPlr9Z9KqMyvo0ol3P8fuuscDe92ntUQQHtk4v0yCQaVvT5B5
aGlMb9tD9dLo3ebxK7m3o35DMq2tn8GiYDw0SHmfoU369gbm3orFFVu5zyeHOwWraUvxyz6aa8OE
dZ1YH5GYaWkd5tJE53c1RyIqsNC1LGN5tscROs3Rm1Kd33K8wSzW0WLEVhbUxiqnpwrQPsX4VLOr
53EZSpZOt/anusNaue0N3jEskFrbyRFWRGBpXYNwVBS3sKzx/nKUV3XQExQAEYkoa6uuebAQ7ha3
KEnbkrADp7Y3HhzHw4zHq4CrDdZ/XWKgl7Elrtjli7JBf4Dd5XS22m7OGOXb0bip+s79HcaNxBac
usoPi3itjE3tOYsewJ7yUMa3rvxSG1p9Br31yw29ax1Enq6k7LPY5rKvv/bG8MmcpXOY4JPZVwbM
lg+jg0pro4FYTVeIRlsrMDz6FYYPfsR0I4t2xqjnN4k5RQwpcFi+xhu3ox0YZxzWk9F+sfGGYyxs
GsmObmibiVpbQ4rt+drCge4UJVNyPborhsVDC9VnRmtrb725M07/l73z2JLbyLr1q9x159CCCSCA
wZ2kz/JZjixOsIpG8C7g8fT/F1ni32Spm2rdsVYPJKpZhTRAxIlz9v62Y+TdMaCxIlfcQMZjxj6z
8JaDeSPAhVcrqymkDdmvbX1tfbDT1dzJEvzA6MysfoOXqg3reKTZ/GI3hSz4beG0H857+D+F418U
jhyibCq6/1w4PnWv8Y+F4x8/8B1+cU4CAixBAIjOuNS0yu/wC0v8RqAphAvLhAZgCib/3wtHhrKW
rgol56fvFaMODjJNkplZeeCf/r2J7Lki/KExBTuG9jOHeuTzoFyZGP9ck+ElxJw/s7AGGiqRrX1i
EOYd2wA+mUI4x2yatJo7QmTbuoLMh3mGlZ1wMpmbEhd/M4JZ0WjDFEnZ9mytiefZvStqq0U0WuUT
Dz0zgtHsh+VQkG0djveGnBEarvtgYFj9FIdTUNSHvuCW9iKqDw5eeWjcBoUYiotKpaoN1syuK/93
p5YIGg4jLe1pOEayt5LwGEp6mEy8/GZ4qAc+5AejrCQ0DYFtaBulo2LUJ13h3Pp4ItYml0W5XJse
hEI70ifDZebkVgisMmOe3OAhiveNtBdnPZZe+FgWdvy4dJVz4E0xrmLC/HmkIfXop0Lh7Sji9DRV
Luxb1RwXGNW7uAr7V3i9cDdahPGrJFMwOc2U9IxqQLPLAX6RdnmRAkF3Je6SbGRZGtnBm0vyiwrS
a9OSgUocZYNxxBqqNfGZEc0Pxmz1i7nBY5OSdCBq15Z7O9F87SE0q645QJYKLWAgBX7YbLr3cjNR
1/XUViXfQkFrvBiO/6wI/xXCGhcdZ4z/vCLcfStL7LrDa5m8/rgy2G8/+F2sIX6DbMnRUYNPiOnV
0JPvpkF92sSXQMDv+dRocbl/rQz8Jw9nCvZ9PbT6FxbHAX7NEgPe2qctqM2Gf+dICf3m/blJCkFQ
GdMTbbb33p8pmVy0S1GbM5xd3eXqrYr63c1HmiXhxHCY5inO5aJIVLEbO68JVuigMaL7FZX40hAt
toYqwdgXmEbuMil3ET5Da+op8b7U5Bzcjp5Hh29mnIkSYrIIXgD8rRNAW5Czs9gsXm7X+HNgRW7l
giACIQD4py0K2gXehV09Y7ZRFzMYsxtO2uZWGsvyFNoGJgCBPXCrArNOt3jhmgfMaRORyfS9/Y01
mfIVtI5XrolCAnxfsT6iHKgDZBv9FNIzLg+JXJJvBl32L+NiJNcTP/PRnau03wQA5K7iIucBtySF
G5kBQZtzSIhQJxNMdIdMM78ciKm5Taq4u4YJYuytMF3WoRmKfFV1w0RYbJjtUhmlw9rlQ1lP09hD
FfZ01FABhg+0pYlTy3WefMXHbBkSaTX4HvOi9KJ+WwLKPth2E21BEQUoSYRFulJQ3HWG4+3o+hcn
c8krVmefxHTsNwSnmFl5gX+1Bq+IoTobY7ljZEHOifKL61JakbmdpTfS0MrqhVwSfA0cUburvhIf
wX10DxZZqP6ew3yQb2ycZFDWej/bl6p3nqc8s3cwh/09vpx0Wg9LGF6jPE02s2Mi4KmACbju0N5L
D6TeliwaOHCaCNdqNpwAEieHO2gLkEFH0ewFGDnR91SxrWbLIXTtXywseU84hKbbgZyXdQCQzmj9
bu2eGXUxtDoiKvMLZLohGMm0PLkmVLtM2B9g6XobBMbZZtbsu1JT8OYeHp5n0IocQeSZldWtsyxN
70PNz+s1SS/UTD3K1X2WUqEXgrykuDerTXjm8AUayZcGobuDlpL9jj7xiwV6ATGSJvmRVmrdc5NT
i2nQX8uEYoWjytkCMxg3Gf30DUlVp4q7bY1k65LQx3hVaHwgWN+PC27a1aKxgjHdo5WrUYNjC3Qw
6pE5WOx+KIJAEpKtGh1hSTT3bl7X1+ATgwuJxWiTwucjrINQifyMOBwa7psz93DSCMSaYwu6pjjZ
pGdCIv0RqlGq1ftZAxSHKBHAFD2yoiLryQ/Zy3e0AEZ9qLYWgXAifQMyjm94xtmAnPxgA/UcH9wW
TadYuZhDrGdLcC9sTTdNLj1lyhPWoTD+MIkFuGFvpbmzKwONZybnaub6Q3IT+LNNq6qGAZCDPR7W
cIOw+YKRpj0+BU6ZHkcdVAgnYEmZSeE8A2eg8AQMD0OSiPGhezvSRufzbeaYQ/qSZZ1aSjLNspIR
UOwy7JxrL1g2Q0uTgx5MEkUvhcXQAlWOlfD9GFXB7YmIyNxO82LhI7GSibdP3JWMNjmbtL+lC91l
EeN7X7z0VTl2X2QWWJkHS5fskGGV9111wUkTzDctiaxz+IcXZscUMqVRrmITAvJjmfXoTEyATR5B
rUTX8GBZ01v/7Z/a/a9qd4fJ/6926kd26m9t++3bj9s0ZbH+qe+dX+s3TP0o/+nU6mr8jy06MH9z
LNehrcsOjoxD795/bNH4+tFSmmyYNrIVE+Ddv2p48Ru4OS8I2PFd3wEB9ne2aHTa77doG2a/xWAP
4h55n+9VBzCXAHGObnk0hoyj+X4gbiwdtiHpyFBrCtO3VlpdPF512gBTtA3DKm2KwXsuD00hEqYu
YVtsyUi0blptpCENJ9t62lwTRV7rrkflbIvImz4WLGMNa7nrgJrDmmNrk04PfAzYNsYdGcqvfVlj
5XFwl9J3ijbAlBsy77H8YGfp9/NgmpjcHRxBSzC1OzemG5BTncKCmquPZNP7WP3b4thPEc63xNv1
LQ1Ss0MGNaRJdAsWyT+Uc5JDZXNwJw2tYHnlwak+xlbf7G26Qhft2dMEltX7DG0Hp9N0dj0VKoqu
K5qXTxnGsquJAeJ9Pyp7U+byNPRWcE2R3mz8Ioo+gQnFd0Nk0mGR/bDJEvRVYWqqPc5iRq4JoGZt
zqrqSh4VfcidB0tvBRvEui1lcBGV2catpuzOIDtrJfGPr5Al+lu6x9Wq14YwRZ99OzbCXLN4iasA
WNGxbxfjEBoLuXxZbFww+663md0s6xgu6qZlzbjGfExJ0/gGrrQRbYgFXHlrM5e4isLC3Qu87Du7
cVx+a7uc6sFur2VikF/U24+eNsDNrDXbdqSrHMqsPS0ZBcyIc3HnkfywMWpsdEIb6noOS7jPPwFh
a/c0tNNDP0T2Hu92+Dz4SbVL09D76ifIwFEG2Ol1xA7MkEx7+aYJW59f5MMmiX3/gOVIAZUioG7G
gbAF5IOgX5sDMQMGn31Vjr9HJAjuFrPE5dmEeCB4bsRJMOzLr+a0forZJ558JAGvgBU5WJaLa14b
VTZc+gZu+aow+ZKTAD9eHZHTCAjK38Ta4Bhqq6OjTY+QQ5/isw8ScVVz8Psq49zWGBd+6Qy3dqFA
9TacbBETYyFeJ8QbykNvEJq7U622zmDqw4G5aDMmmWG79OzPhKjk7GJt2rTP/s1GWzmxo1I4LQH+
TibmJgwXuy8wfYOHBbaLPbxlYA4gainuaLAdMH5kq7gvm2vl2a9V3sjwqsECHF/WVv7BS5S8B/Ww
p/lrGcc26UVo78Hp4dBcDcFYBl+gyTdoqMN5uV0It7xre9svvqDUIs5KlAgP/a5/cuvJuVPMGAjh
yhkNiLBldKp67G55GYANlDZd4rDFKFfHXo1h3AA6uMZ1EB1qITP1ZOejyKaNSwXZwaf2ZAXUvnX9
1oCVDezsloWSz70YarhhXoria1vBNnxZ4mbs1ibW2JsG86j8YLq+3UDtcGfrVMJrC7+mIWpOjA3B
ihUOyqUwUE2RiMWd62bAEIoeQYUSVkZAheb6ml2QfpZGOBsHvxxo1rpVPhqryu/7bPOWpKBjp8T1
GBW0MmZCPjI6LdwpJl3OowUwb1iVDW4xxgniK8mWXbbnQDMQpDrT+t4MRhIwQSfTM9iWbsYlFwjq
+M+12cKJqP0AtedoFcwRUgFrH/22LguBDtDTxe5UREnqMHsOyuoWBrpdkSTfN7HTXWIyds1NVQEs
iOQkIUDEpXc7Dd60czWdwTTzAcOpy2e89vDNP+ajb18qYpjVKqsU5sulCEY0rI53XQaiOWYJKe5i
csONm+WiQ6blyD3IlXhfysHfV7HK7ko7v1qiwJIrZbnV1RS78WVY15I2ZSfALQlf8lANCRbLvuyt
Vcf86cLHY0uNkupnFW+uFXnJVuFGNXZEIJsPMudU5dkUtWtnxGrlGWWJvruv7v1BMrb2muGFpqlN
2psTXM74yFZ5o6wNYI1o3ymgHISe97m5Ktpl/tLMzWf2KHVDp8oDJxySbEB72l/ZZmM+RIsV7kgh
8Z9cwh5OQhghm0OZH3OoqLdV54PeNmbzYgC7/WWBzYOS0dq0Euk6S2d4wMdqfsyklWzIAfBfBquZ
KqIc7PqQus10KRcJ5MzFpYmNGIvBOKefYo7eF25T0X6Oph3AJ4Ee3eRE1DmxxbBkcMQ2JTDuDl0f
p0u08W1e1k+LrLrj7A09BinAbi4x1Q3ZsJwalhaO25hX8S3kD1QOarL9S+z7NWdoh56+AnqAqGfC
ryPclW0ltKnsML6r52jkIBVnW5EG1OO8gV0NqQKP7ShilsZFfHRwzbMXukH9Ovh2d23Jxfo2oNHf
ud3ibDMrtA5e2zgfjInr2UEVbejQRTtyRuqtKrv8JjPH5rnnObzuVafuXFoTV0hlyzVZdekVsX/4
+5x4uMkqF+czKupDvgyfGl8kV7OI4w8hWaA3YWiB3Ulbj0qgWDip+pW5rgrHvGmBe3XrhCf/zk3l
tKfpoV5RStIW8LINNNnuhMR1Klai8L1jQcbfKYNbc2mlWfV5ZP62qqfC3GZzZR5jM/qApMWDyUPk
IwHdxC0Ys4N/JFM+s0gg7WVoboWK6ms3SUya663uiakIrrvh1BuBiwGVESMAosXBN/Rt1MLUgfIQ
GEwe2mHy6Fegm11DJpohH0Y2WrlCy3dxC3pWxG8zRx9CBw+1GrpNhary1Z4IjpvAnDC9M1NWAsV4
Av/CgKFXPjjYsGG803RMovix9eY6Of3TiftvOnEUm7+2TT0nKiIx+6cu3B8/9L0LRxY40gAH3xOQ
ccp4SuzvXTjnN08CmtQh3q5PLhxape8lfgDwy6W4px/vebZl/tCFg+qFpxIxISFl9pnq9TeEHeg3
3pf4XN6Rkl/JqwA8+k6k6g/QAyqO4Qffn0soFUPlr5UmVyzl3Fwl6D+55T/NpQ/eotekC7OHdSc0
/QJDcH/jVB6MYM3GcGVohVuFgPku1uwM8JP5Y1XCxFhx+jk2YfcYAlXQd3bzajo1vesNqM3oCbpB
+WwjTriri5G7e7AN9dUNS+g/MdNcwFjua2k22npot+6rUwMRXeEbDp47rzK+ZZOcnkjFLaZvnIsC
mZK/JcabuJJbhe6PSX96aaZZ7e+9gRhuZG0Yk1aR0aMS72j/b6AQGo+GgCBL9Da5mLUPxEiS68uc
Sxs+pO1MN5aamB1nsf8pz3K2zbYbfD4W5mUHVMrRVVpb/brPPD1ksJ0KFuc4ujurMcUqbLPPoljK
y4iJMLGQi0AUKrKPKkXu6Fqh2BjSg/EdOuMz47dZ12SUEqLVKq+6qO/CYDElc9ZYHBlPGC9dm+PQ
pvHzFJttzAkC2+WqWYZGPtct8c9rSXYt7hpFkjgtjBD3exhoNbhcRGffNiABoYy4MI4Uy+xrz0AD
FW/O9FhEgohKjbSZRp3zgyCRzwJAkfUYZJi1ga3hiI8AOdBHrF1+fefkFDxKY5pasJL9WnYtUCin
LmFK+e5AZeQDHccPpRqoO2PZV5eWyuHgnP81p0tD37L2qIBQXPL3AEnyM66D5eSq1ngeG6plsXa7
Ap4ZIGeNMCT1oxuEbuzE7N+bM33NrzJG2Ygbg2erJ0ZjpQi1oLamtnvkFKOZYiQ77EdZ9aRDdwEI
Ig2xqSdYI3vRkdyKbr1dLoNy5vpzQdiBHVnMqFKx8Iak/lCoLfF4dxkpKheGP/MCRvb7aEublU/3
HFuWjxr9FoVDVmxczs8IMjDCio0vK8++CQcNQ2o7vIXHrh5wvEZV2n0FaUBRggwAFQiBs/BEqwYj
dJ6muHAro0RISRGkMUHC10KEydNv3l/QJK+wDvMJqlFLnZYGocEZ1zRNMV/L0iLCop1LYJgBWmYV
Amq485PBIzSFK3qyx648GBCwYFdwb75FK6Qj6LhRZYASHOFyqBCjPUCSVZZ4NWdNIqJuIQrCJA6h
sS0OMI07qQN1qStOZ5hU5jRxdQQZgO6UFGBgXI2NyWwVOTlvay7YzuAeeB9El87G8/lV+oy/okM+
i6Rc0xnhxbq1x11mUCzdBCpHsJRnLYVMiyYdRh5q3+WBVOwqw7Cov1KsN/ozSWezvenmoLrEm0yo
s6r4czBrU/Ub+cyAvbnPKg0qw8NFvMeYs0LJFA+yKExr3mn+w+/LomloqWfoe8qyGZNHruEX+6of
GExKq5hIgauzCZdz1o2bLrCXQ4tc/p7de7ob0rl+wVbVk8RT9eSj53GJmCUQQX3V+f26ql2kSK5N
JtmqtXHU9QWJ6etZYdJAZRZepjr9iC/T0xRqCKcY2zpoYKqtX4AetuEOFc/0MHAX79PRL3YLDtu1
OUQaz9K1X1IDrx4nZnhyxKRMD75nFGtpK25sW42KN8MHcOWZwuDdFRkQ9aVyoXl0aFqcjRuULWwv
dL3LYQpceRitQH5p6hQCHbEFvrNl1oq53W4zhA9RKo6Asvl8Z53mpaRkBempbrlgMd6OlivAlZJP
AMoH+wBuMiugYhL10ZkSBxmrH8drfD/RqbTq8j4fKrCzQ4aqYSWz2H4KqkXusJvN34QsnIsQA+wh
HXzra+7Ks7tkkjvy2tKrRnnJN6eZxkcMcvMR3kGxndM8XFeJ8YTrVT0ztm03BC13xJsHsNtmi1aH
Df+PMEkC4PJgKnemX8zbMjKXbwCgMp6AMW8v6alLbcqXs4ApGTovc5a2lx06NVAzYD2O/YIFlimo
u3HhCADRmDoarkm4yCs3am6Up4pviJZjIqx9EptX09xA3+sm/4bD5T1cKHuijW05ap35QwtfmLZA
c1qEEx8HM9h3+gy3gD/atE1WX+Nbq5Dj9OFdOShWk1mSDG3U/b1Vlh+daMQk2AXtEu2HPnGuatKx
7Kewdqpn1HPqgbP2XexCNZ41dGCMWus+RCzwUEo4W4Qkdv5tg32CAVVeb0EcmR8je5yIKPMfFxpf
H/qWDn81ucTQu2NZBTwfNYKsQaG0y5zxAIycgXdt37UtqZIeLHWCi8zYhHG35GugyZ15auOq2k62
NLd5qizU446akDZ1tFlQ/ZXmhj7++CmkMs/XluhdcqKLvqf/0eQ5aixL5DA5m2rtT2b3aJeZ/5LY
gQnLP3EYrqSiB/Jm1MfBQ3G6Bl74idSl+nLM+/6ms81Po/Kba+DUc8dJZ6q9tUTTd0WSc7oZRGA/
zFgsLmew5afM8rrf0cqpT3NA+ucrB7V8OJH7EwJDUUt2jPKshMymPtrzEp7i2Ao3Gc6EFaXgdDV0
jNZyZnccW9UFGRDGrVIdTTIb8zbgouIbPovpqtHJ9qE72ycQScMLna9wExWxdxfUgUsg3BjJFYRm
xOYmCIgbuhPZNaQ9u9wwLzJO6PHcjRQ9UUtFTudGeNNF3Rblp6TvSNCu6qewrwmjMtVzx5a4BTDk
6pbfi2VHx5RMxCtjdsXHcYycgmduVnRVW4subxxftpGIbh3yDa97qWht4Y/JpI1NyLSQn8qqnog+
izvBO/SttR0LdE5YYfuOzc8A/cmtYibxVUE23wHY/IcwFXIV5R4BVXYl1kw1sg1DnnxjobBgLaTl
GHNGYqcIwmUTwQBnqMEWvgsQ+8Mhs2vn5EfCg7unuodKiZ6Nnhhy3k/MgG2ZgEJ1A63YzF3VffTk
mY11WSojgWw0wVIqZxcBZVE8JGmF+Sml/NjZJaf3yc5T7NymVsl1HifruY3jOyzN8NIcc340lRou
59bRElh+cCBd/JoVaICA1ibtpiuCk0PrZ1+XfcwfbVFfOsXSAA6jWbkmZX3cMsTh5B0D5L7o0dWd
iCMwNyoEHI/A7qrKovkJbCl+Frfon+M+/ohsMlxzXvYpKKYhehrqoFnJdurYcVvnwquL6TCZERxJ
rJ50WYly0/rJkWZSgRFx7csebyRBpOi2vaLL1vXkAhSCVAISEz8MUswi39ej8J/rgDc+1JN6CNNK
7tqpCdMt2yEZ7uByN01Oz8oPwxU8cAtGic6bY0rOCH2O0O4J2lxgeuf+clKi2kF1mRw4/cF0LYsp
9sGPuwMZJ733u08aIv56z10OcdDlX2opIUaqINzmurSqi1atcDDiVRZWUa3JPfW2idHU25Qe0trv
/f56rC17E4IdW6NQpH8upX0JNWS4WWD8Ok/sbzghS5y8w5pBd3GXdokDf9Ot7nGgR959HsBQXLtG
oFbYeigLylF8zrDuRrvAK0seIJNakMN4Brt3eoiGfLoqMzQDxLsH0zpt/fDUUgZco/uuWXlnJwJT
P5QVZtWUGksELxFihvslxBa2KqJ412T9fOW2rnvTlHEDnadpjE1fuf2FU+Xd5QRdaO+XyXRnuV37
GI/FRTM2l7W/TJsGkP5t0VbtF8S+5n7oGnVhDW64V5H/TKE27mSrNoNU4pSiAMpX7pBlDP4xw+YX
bYzLcZcEy4IaXIBXXVd5WRFvYXvLfe+Y9ecpKwgxZsnLSVWGt7lyaOrStqa9m/WEXnyZddfXgAl+
a8QYeLZRnbj9Z7+rH+t+LukTq7euMaIKxziGE97R2JH3Fe3l+txoLs9NZ6c0X7tRh1S4FHKADZoe
mH+C2hGfcIagPI3lvQ5jMD8kQA/BXiASKMO7qoaHSFriigCyNak5H0jurNbCUX4k77CmNnfsfsfu
jaz4w6Tu35gKtEDtBwEbZgxU5Q4OOLAllhDeOydRFIzMHiLqWqmUOI46XNJNYvtxmWE4B8r6Kw6X
y7Dv3QU1khubqCNNOoLuOxdDHg8z8rO2OpRMDK66mNK9ZWF+RXdL2xdOyRfkLkLcRIPfQyJRcNMQ
LFtGXFynbgrX84wg8ppSqNtC6VRpwwOmqmw6Z0MM7HTIKgpAsZQhZVuhsznBLwYc6EW3PNgEtsIh
mEBpJj2s3o6oiVdgCWP30GJYaXcLuQdjuy492qifFs4TBB8C28cxHJI1lTiRBm+yYjwW0oGpms/t
V26Z8ncSl8sHh/goLU3VKcEQt+oXE3LsdBVxNiLepGDrXknLCE8LOox2F6C/bffnkLmZv6hQ+dZg
SVVsYXlqLR+asj4Ln4mtv/7S31t2A+w3ntBxcDABaM68+9IzKuTQa80K7pc+L8N/5GzQW7Cn38Rt
/9FiqX/Rz3cXF0JERRkAfc1+f3f5ihNcQ4bkgWQcvuLaL3CMlQ3fzzl1tE00R50gYQ4h9H3/im/2
56v7puMz20W0FICAfyfOJEHcIrFhqmBz1QzvRlyJCRQo6kedfTohE1p5neQQYIwFx7Zff8YWo+t3
7x0xKpaXwLY0r+z9ex9TlyzNUFUHRsr8dsDIjFNk1kDKTluOzcLSGORBzPBXonPwnip7Dn5lJPND
JCbr8Z/25n/X3gT59cN39ycq1IfXNmaS3lXlT/oFCAT82HcBsuX9xiLpep6r7e4AWf63wYlR7Dfd
WOQet1nsvisMA3TGtjivrzxqsJ/+V74g3N9cwSkHPxsuElbdvxe899NtJjjcIpM4G+YQS9g8Zvz/
P9jvl2ppkFn1HqFZ8NvX7K/9iZCCzltNY9N++uGDuXt7cv9P2Rd3VVJ27f/7vz8/UeeLYZHDcWcG
oNT+tHhH7qQFgZ04xWT2vZzR+nM3BM+Yh/XDpJe8yJTiNRhSdfj/uDRELETgHrSP9w9zYmTW1FWW
OCF74NKB0pDEeWTmQPnHSNGfWFVaU9Fyg+BEj+TXl/95n9TvXNqCFrWPMYov7v3lbSeJygCp1Skv
DJpzvkGNsja7nq0nqfTlJt3u+fU17Z+XkD8uyq0iGK1ibzwH/v3w3ZY1Xp6oDuwTEc4sG0wAj3bh
0dWUKFqe646sCJFgUmHt7tlK4q7vvnr0Rve5gfh23WAj2dd07aZDaygw38tC1LPn2yx5oTuY1uVw
zhJIFg3xA0TIBjzlJX2sX7+Pn9l7b2/j3HhnPIC44D1m0ocg2U8ytk90LLlXetAeU657cn7LKgcz
qrqcMjLWf31Vhgc/rL9/XBUGAgMEHgz++fODQSNRppOrrFOKWfDxDbApy/h3M52a06y5p64gOsCV
AW3hMyT/19f/udA5X59Cx/ElE3fum/eFDr6YMkNDbp3OTMhEPzAzNq27aIDA/utLvdtr/rgWuzoN
Cy74J25KOMuuNM3eOokkmO4NnIfZ7i0mJHRIFZkyIV4H09NPp0mX+Y2lDsUZ3wE6mb/4uv/dGwdS
x2qJLcD5011rC6MKGiLOTn3X8JAIkgSqK7srzAFrHZjHX7/3f/eQaF0ZzyX/wyf8brRj1UDSDWew
mX8yiiznmD7xuXPb60yEQunG3UCPlHwQ7vIzo70YgilazxrNC5h4IbTII3Uhor8bbTPTpu2ewZO3
OmY1JCySLFGeszVceG7jRYDkMN/9+k2ckU//KpTOX6DEFI0Eja0Cr8U7OESaR2Hvz4F1CtFINbuF
avxwvm8QAtUvSoEGyn0mF3BFgqtzKHqULJRu7Rw0BzgmtLiSTJDrvowLFE4rNNuvvjL/Kjb536yC
EvMN9RR1I8eUdy/TIG5v8EJhnVwQM7TpdYPcqmmQWzotgez2v7qz9Q7601OMzJW7mj0XBSBCu/dX
LLrITs1sbk8jnb1LxiPuaxgwKQtx70U4/YgRUY5HsAG5JFT26FRjVACIoR4SXJk1J725++pUA3e6
TlcwDR6CxGH8g5sYRoP+iFp2DSJBEkAG7SBppuMOvwLmKo625A0tM7OcX3/dbxX2j983IisOHYwk
YSHDI3g/j1z8LJCUotGp4qfWQT0vRDFII71FtzR3h3IAv7pO5ZB2G9s1cpqsA2DVXRAzflhBwnHM
9UwHcm2n9rA1i07uwPga3SH22t6iVRnNzgrpD80l01logZjxaDzVRhF1G1NWFSbdaNbp6wGRaRvs
+jwZaTv2W7YAryY2hUmA8Ovy1KOiufTbIr2yC7+6GVJ6wRu/Usj1IcEZHy0Qwthm5/yLiXRyk1MH
wBmE6Fzz+ob46wyjwbvo5rjckPiJkpeZKyynxknrO8zrqICmOICEJaqWFHuJaZAWmzTq577M03Hj
hFI+BMBjTJAVEWRoQvEYJhRupJZVQF6EwuJq+5+BUhAgUhZtlx0WtBA2U7ZeqKNNtj3ndU4nV3bU
U27XQ3iBxz54mMeBSaakZa9OMJEsAfanK13kFDZSS2LP6/pORkWu1qhJ4nDjp1i6orhn2824RyRd
EsIHdD5KA5Qi2lIaEI1idYyJzrFCLQmgybr0SYSgBNTj3trjVjuHnnC01kk2OjAFdBlDzYn+nLzC
b56RNgI70PJrBtO9KesLsgNg+XsOSQvGhHN5F81VEcMuSib/KKIkvhnAOH7xy8xj3mHHJo1InIwA
OqMbZQv81aD5sKlxViWm5SMIWyCTgz9h6vTtz3NXkdVGoNpeBna4w7NVfUI74n5EpOSuGo/oOW6U
6VvUh6keG0flxuz5etZx2KEXj2oXEockp7CICiKToGpPE6R21CQr0H5fRWN66wlLV/1ouH6SXQ6l
zzTloixh1TzKgTC/gBsAeKbcFJKISRRjM1wrD1gN+e8kw8HxGm1oLplIDJiKcPpnD0NqZgX1R6IZ
PYeXm6Wl2jBpKPydgT1+ny8o8Cv6Q7CGNd3SjHyKIVZw8dr4I9OdlhnwTMsqzJ8mo+Ubm0PmusU8
MwUbCJBiZKanZ8nMXbmKfYvNVJQNvwP9F7QH1IzY0ayFL5X2qrE2TeVvxoAwA4QuTO6RFrFkJyI6
9ZLh5XqZPfEaMjFZRYlJvdrp4KC0GEEbhkvwfIZDt3R8jrQ2WXgE6xBhgrgBFYhGmpcxo8iicPj1
c6MHvHR0qkvKuvC592DHZcTHXmYlmdoNXDj+ks7Y6ToEeAhxJM3MXAT4uUnz4L9Ey8R7QqcG5/88
SVykni36Lh+OIn0kX5HczN+gCZHeoKhkieFc7WsufnAVyGq6x57Fpp4YrKjnNZIazr8KXTbR83Ax
rPz2axPoj/I8k25bHWV0frWMNhifOUAg7yoirGysPsl8h9eYf83gj6vbc8RJFNHUAdFoQXKhMpz1
KH7AC7A9iwZ6nSjj5KlO57LZnrupHkkwoHqcbT57q9BzZR5JrpTFQ/s1qbgZ4Py0Xwc105xhhI28
IBvcV1/nuuANa7/WuY5ECqLmJc0Kqt+JbNn7c6GwZA35UVOae2/qpHNEk2p4MWjP0q+MARiNJdIh
hbwxzBuUiIybqxC5lsqz6orbiO+OljvFe9Ww8bQ6wyzkFZmpSRFeYYNHGpER+9RrFOycoQnZhnZA
lY5rLESmAuHz2LSKVz7wM6RbYWZklGIoWkznAqfXpUq2MF5/O/w4ek+eSS4pNnDKBPAKI2vSlcSc
gpoTDwyeK1eATnD0jHpRvMDaRskNqrwc021dWOFnaJxcvDw/QlboEoo1YM6kDGLn6TZqPPlibL/m
ATFsnCB8ijv+GEQWG3ApXNa2Sh9VYBoke2tGUMAy4Bw9vumbsnXkkbdTXToM5O+TuZ/nlUFyaIHq
NFEHxorWTadvT7fMrRszStmZMli2apsOlKuCyXd/XY+RER8KMkmp0rySuxYeLQNbGl68GNAANOFE
pltxFiT2aUjkY5r5Tb7tdCjXW3rWuSMVF5hGV1MNJ+ttEYDrh3snIUdvTbJacOXNdP0a6IeXtacv
X4zIBc6qgryz6pfUIvGSiZk6UO43B6gofKtY98mEYSPncxgpQYOSyDScRNPdNEfeq/IhCWYgDTEM
JAvxb5HLE69Uyys534mCiVx7ec7aci1q9O2bkERETdTeBXAIxqNf6S8obWCt7uyKNCryU4LnpFum
AEYG7UWYsx1Fke331EA2It6H2aTT6aQp8g4m/ECwUo4hYvItpEK0nXEAzBZRdmEaEPCTBFpQUfOg
N0wO787vkJ2IGrn1WIFUBeTqfOBdRqN+WeguPw4RR9SEpdtcjRxpH/uG/1jh4HC2na7SFqx6+VvF
eN4258XkjqpzcNOOf1ZxuDUkKds3IFfbZKn2PScZ/ampepgCvFIW+AWlX07s8S4yHY5V9x3Pa6n1
UwwoeawgzIQb6SwOtoccRYKLMvErBDEeLng/rI5xqwB4xNzyyLp1xluchJ6zHQcGNHPiouZx4U+5
95MagV0wM0EaYyjTff1DsaKD+c7AeCa0xIU1lVFtsZSM+UUxePx03sd284AbdKRi/x/2zmS5cSTd
0q/S1utGGuZhcTfgTErUrAhpA1NKEXDMg2P0p+8PjMzKjMips9dlZVV3c0OUSNCH85/znSjjjQZ6
TONWeln7JjPVdvQyschzFImXK7ndcV/B21md1PIGfFuLlov7kJqsC8vC2sYeO87l2Y3ipXdt6up2
P3nJ/HPLNnR3eT5ts492KULAbigbO7v2ep9HxNcBINuQGY8injF3fnsgirHwv9bekDE7aod2r1HP
uskXk3cMd+jx8lS4E43xYWZGBvNNyP9GU1JR5yxqQyYXLgZDJAOgrnNxMymQbF5jIkKAFcTfkyx/
0DdZFQIHoG2quiROBHqx16z3xplMW7vnkTMeHeFWNGLlMd8sjwaaexMnmrWl3G667dOK1d5KjBsS
l+qOmzoPtU5mtV9MHDSQLVc8O+uQU6vI483uoovjBbs1mRZvXMQgNqAynGNrHlckCVkUqrgd6NfW
mK1uyn75bdMeRtjGamZeN65nauNmmytBzVXtOZjwqMROzN/dz4PP023anbYmu07UtuUspB4GMBfT
vuuHUtwYS8jkQA2FcW71pZrX8bvF/5RUPO26QcfNY+f0HEJiLQueL+b3kmABf68XjGQ1Te+h96fi
Bkfzu9AijdrCVO5hfpD6ofn3RENl+jW2CMF4C7HYcrlSr4aKhmRrwlOHH5kdaU5GteqQPANOKLP7
nKV0wzlJzQdaOaOadlqfWlu9hB+CYbtizj1MxQErc3pt2dIwVuyaxYGb/bRf3CoQL+u6vI4qq/oa
TDnnBXcp6ASNwBPWSrPzN9MkO/0IhBrLWBqBPV0FmATOBTW83GByjOZaZS4dER4fXZNjrHmIU5OP
py1q/rcJDN4ky6EOAgUQ4rw1tnscv6xLzcAZp1iOdI2g0C+jkHh3KZ3sF3bC5aKcMWE4jVbAVzUQ
DaMMveXXw5WC2GRWnA8w8vCbTpfNJMJ8/gJmoMq+VJwx2V2wH2ww/cCuwen+HAFljMPLxTCm/rGG
Hpwu9SIda1rlTriW0NMYl+EWvEqWDsGxDmgjnTAhGbR4fZhq9teutXiGeJyIZrom+2fLrGffFzGr
lXIT8/FS73JZN4M0Y3HENmttLkgI7AMs6nVEpSv1Q9S/RFgGHsfJrl8uZa9Vx7rXYkg7d0vHYxJp
2VGrnK0bLyuzUhU7EHc7sTcdkXyxB1eXJ6fu+cZ1S9LHyZrgCvLOcsJoqlO/uOKKrPTtg+dhvzxw
YZu6BSvIgBTIza7qZL/NbdP0uatgJNQzZTzSx4tk5yytmug8vCVeqrFtRBHVf7vLvMplyvcoUKzX
F7Ne7Ux8H9RSkvftyOzoxVeXuXOISlbo2zgrPH/jzp255ZXFIxmb6Ql2uLoSEFefsDhka/BCdBw4
3HbUFmdl74WeW+hkUO1au201t5pWHKdLf2O11rQ3MbK997XlfKRBr77knCq/QtOQHLdHZsGcq0yU
C6lfGRzKdjniymeMyi5NmmRQRNjAZm828Iaao4OB60zxgL+OUzf5VNRd/OByxp9WfUHWJ5OOvpt9
Zz6Tt42eBAnz96qZ+UlOScMhJ2Warm9VqXFjZcAGjxdscUtAJRjcl4us8N+A6j8FVOm4QfX7a5TE
p0S+V6VMvh/wfPtXvwZU3Z8uMrHBSNqHnPy70o/A/IkH2kVSty0fsWbR/n+d8kCTYa5pY3gnp4q/
nF/jF9CMbf7EAuihZzD+XMYG/yqk+qPwRmMoWioDJaz6l2aS78VsBhMiA5/mfjtstoUx3ToGABk1
z6x6XcvV53dv0J9Mev7sBT1oFoG96G6u8YOqmvFX12ZdOCeLVM/aWNow1aJeu7nf7OOZk//fv96P
Ot/yB3q2y/vFeIUIwQ/KYpC6SuIxtE9eJdy3dLlaXA6r0sHN/Pcv9eMQi5fio2Yk4CwsQ7wE37+X
EMtw9GeGfcqWO3jiMaoi5MPS5OKEPneKO7mXpaxXy0Xt71/6T/5KniRGiICMGKP9SP4fm2yYda21
T9JEloYYydUXQhgbHMfn4h90+D9MBfhDeQLhn+BxR875UWScqlwW3pTYp7FimMcVkBMJNdM6h+Gh
89gtSmQ4cSSTzHVnbrkkswZWXFtAlyFrLB3J//bPd5nfuS5CLrkOXAHfv/OpQa80Srd98kebP/di
TNYZp+3+P18LPyeDVx5hHpwfHqg4tfQclJJ9suSInmBr8sOjY+O+X47Vf/9nLQ/M78VcHAbo9vB8
HTrjff3HSU/CaZztp7dPQyS+fjM6mwj2f/8if3x0eBEGvJcXY5X64alF2LbhvOX2CRhddUr9gcuM
v0CQDc7e/zTtNJZ358c/aWnqM7G58Bb+GIn3IyK/SjOsU2qC/11fBihGpHH6vriz/SbjRuTOfEmX
gdMs6L6Gj2z9g33kT55g3Nkse/ryVV0OGd8/MBHQ7ihyM/s0+Z15tLLSoPZ3ORrVmuQJ5eJTbLLM
5Kw+K+jq68uXF1c9XcqB/KcJ9J99ArB8sK8vnzQz8O9/mSwPyH9nNV9e8j33l3PqJdzBTSbY/PsP
G4cRnB78pNYf5uxT7XPF9hrrlDi8vcEl1aLlC0rMX+z+f/9i3y/1LN9LoZXu0SmFU+WPj28tOiLT
Ta0dIzQCymZgEb6UFl3k6mLyL5coxN+/ovH9Ery8JJhfb0l98dWx/zDMp9/NNhl4B0c9Qkkg7cFB
X7YS4NaoTfeJhCG2udwGhI92lsRkBwqmBydPKznO4xxuQFCy/V1WkG9Sz6xQU8JIEP5fJ4ss8/e/
Mumz774SOD5csAqkx1wscwTdfuxRASiW2lNh2UeZ68VWV0Jtq8TVtrEhs55cdDEzU+Sy0FZ48dN6
djcGP+wOkiyyAA59bp4YXVl7IyBAH8oquo+JwKUbfrvVmswwxJqTISqMY3DNIy/MKf1y6aHzpt3r
Kf+sXZQ0D0t7ixWYfvHRTJuXbplaYRe2jm3KG0iNTTrfkrFES8S2EjzD6NagSAVRY+wN6fCjpSfa
cV0EVCdS9Z5EVhjjoXd3ednwGotA5UqBNttA0ArtwQbPjZBE9klUPCG1zRUKzb4DH8WR2z1eZnOy
i2minluDYr0sF90HU6TmxavpIjhChZnvAW6hGZudRmIHv1PyaswBH5mnLJfWvxF96BlQI89el7lv
GWFU5rh4uN9mI5Af30xU7oBwWyCTvtcqMvdD4zX3rQuyiORCQ5ttTJ20KYPBCcfAYYe5qI8aFvoT
mgYzvwiZwppoc88ZFz7PtpnsLgPyy+j4ckPtLh2FAZkH5oKxejYHpOU6WOSAC9XPmFr5kdEXYoau
hdtQyQjzuw+H4bmvl7JEMvXWIYhK3uViuXarjvcNiAHXsssuV7JTEz8GlUn6SrTpYvUi1jp73nJR
Fa7NZKKclXcUy8HkMqO/iO86UZj7jGnaRMxAQza8CKRN0vDUYN123jx3aZmf07SGeFsRc6RgIvLc
4+UqqaFvyZ20B0bEMDz5ZSzHy4pN27EvupXg+1fpMUWGBZW8Z6Ex+FrPlxJZBH2UCyIh7DffAvpG
afEsD1z5niX+fCyMHYVoBIOn29pYEKpd52HumHP25ZCZGvf7msT/tfJy8Jp0uTtvQ9U4by7TNCw7
ZQsHC5JBS8OiMvdKkQNYm7Frv5bDUD76Kpmv82bI142cKiNEEzD8rZHo7THJKyiGYFf5Kfk0EbVT
Vb/WZeQ+UvmTgCJzmYuFnpPOZ1/39VNhC2qhiiwIVokjEfoZe2BaV/NjBmkf57qoobnqS2KZZxJs
tC7LOyQjHwt91BcIBm331bcVuATT689UA/Ulc84U0kefsTKt1KLqjjp88LDD8PHZzTMKnOE0uO8g
CwnU0yh9xaizjbeLkQMmQ1/j2U+rcjdUfXUO0oHmZnowxWu8TODIwsOjcgV+43KOTgbI0mbny9F9
ocQGln9Zq1eYj9XRsguiFtNoq1esyNkGQojCNTvwMfpYfWByjeVrSrapWzNbJkGit95uOYziSJ2Y
ea4Xi8Gm4QwYknovtmS1aYkTtNeUMLXueyS/A3aW+pC2Qm5np5+/RFSKboSWaHfE0IrPSTbYq3wu
afYoE0oAGpmQsmjfvM7m+4HQTUV2IVb90Brboq74Qb6G/szAEudoRLd31sIFWLse8yciDk3gWU7Y
Yu6Jq+WTr8crTrr+npzc7KzLZBhDO6KyBUJdEK3JRwhE8Vqu8o6oqKKHfGMWVf9UE1WtV0Mpt71D
1U4p9Pfck9VnmrNNeCcGaGotstZ9zu9BpXNxx65E8Z1ieb9y7WYM61jnE/VwIVyhP5S3WL7qW+x1
PNQajb7d22V2qJkpXwm5jHY2Vd2Z6YneNg7YRGrR0Fltu4+41VmQKkXGdKZREGJvxySr9eD0bPx+
csjmJ2JCUK0anRkyozi1YvRfvUQGA7OL4uXN+FY7GbAf+70TkQs1bdLDbb78NGOq5e6bDw+nBAez
hSqqTdyjpGSstXYHhJuhtvnq98Jp9vZk4wu7DJ/qmsd2VXkDc5MMre7FrJqY85wAGmJYlVlBShCy
Ll6dFE7717ke7GW02JFmIAa7KVN7/IInBdA1zRzOJ+b5waEVgdznRK5FWE5x0odEYMXPcujeUmTV
jWMDC1tFxKTk51xpvfaQqBpEqG8K/zyglq3cPMk2YhybfYrBe0vNFmyIgOq+MPDs8Wlw2uKeEcVX
M1efJ9M2bjLA33vWVaorzQBGi0046yPuRPyhkmR8iHuPT45vfLpp0GWB/cXeSNeKSMAONbn0jq6D
FLSexrwuVhKf+LzKABuM+y6Y9JPdVPM1CEbr3lVTooVtkfVG6PIppDicmDIRX6WqHiZCfj21rX1D
yjW/aUh13ReJ36zaypDv9qDlmwqgxM/UIg6nzq0VilxkJm4ofStZZdR0h2OvRqKDTc5yARdvnRa+
fcSu8HNUa+PD2MUZPrpev26T2HnNRhfqYUvMhb2SgE+Ihh2fA0Sz63ZyrKMWjBQwiiGWb2Yy1hTB
YFMoCTecDFfX8F10smh3Bkse4cMSThMuShMMvA0VdivwAj66WU3qrbTUQ52I6Eqfe3XXCb0KgyEe
X/q8a/qNLqWdHKdkmpwVxArNJUQz+tnZnRC4d4Ho5Z5brnaVeqp6gqhqAv+mdJ1WJs3TM3RRfzyP
7PBfjaGR131dDzuyv/MJo3SRr+tARKj2BtcLweK2gy9tJIyUl/bNePCGu9gcRugraQSDHXJV+5JN
HfVcgMivAHmzjJJsolekqaFerwEV9RHQi8q87rxZOSEOKsPf+LlnsyAa45fKpHttG9B2ySwAfde2
G3Nj5S7J195L7mVhNE+9MctnnxjvZpig/qp0YiriuXZo68je4aRSb23Vo5eQMVPiA4MO+1CnU4pI
2X2SA+pEoB4U95QyR8ImvRYlN/jDpie9HTWgGx1misRqrK2vWS3pm7p0to304IRVZhLIXc+z+xWh
cvpU+1b3PjqAw0a3c5OtzqBXrhh+MXVJq9xrIXej26tONYAIBG6mvdfVXx0xxbcyxVYQqkR2UPom
UTFdLps1qBJ6FWwsaCB6yvZGy5kLm7obdesgXtBcap4mHEUVLZoOqQqfMlOdKa7tDZ8BhlfYamKV
3qALezpNSmV+UwZ5TlcRGVSMwxafGrEJw4YHPOZT/zwJis9/Kaz4rxb6D1oo9fYL/OKvtdDDx5v4
rqLll3/xH6O78RM3Mv5jcPF2CQX9ZnQ3vJ+YvJFkhnR9YWr/qoIuXneukDohB6zxKE2/qaB0tywe
XGAQBH/RR6x/g+rjmvj9JQwzINY2fi3Gxrii4YP8cAc3oqaHwOGeqT/RDjF+o+ZUevNsboB7zQsM
ejKLzCqPkx64+QOqnhP8jDz0RVCe+wCFC7CbUbGqucb0iVK+5ISDdaLOyvTziJOL68PwQoms1qTn
wFpruRk3oYjZh570sgFFR0Avt4pTFiRyNwywC86eKQgsjk3ubxMpykPBDYCSVqxcQHnp2CjgIoDh
d7YiYXHdMI+4y+qga8NUH6Or3KrrK9mb3W52h+bI1jV+KCN/tYvO/7ADSc8HaLGdTobklU1nqQku
3INryTfmYwZ/L3WP2DvMVpzULKa9Xlf2lg9KO5epFk1rzxu2AkGujVZtYMYDNRFMg4ph60hKkkJ2
hZTQmzA/DfhK7B66D4zOeiUTod/Psqzuu74B59Xpn3InCZ4mZ5pvphL6YW0Gn3B70ZCnz/RcDMWd
nWqcK/rWPLdF0R56znUrPU2Sq2KoxoPjiuQ60PK3oGsc7INwlGAfZKeG8/gur7ThZ5l50WEmZ7VF
6Mm/FHnSbij7ML4QpGAL9SVhmsBMvvS92W7o+Z0+ExodKRNJOGo1tR/DGMr9V9OkVsahJZf3pvpE
Q+ynRuOlMTOpxQc5vESd5mwsq6w2ePQ8AnceW5E3wp+AGjw4RoioVTx4arKxleqiPixP5FMzSHdL
dQjhVlTMbM8kk0IQAdqX337w1njNBmunD5YLAC5fOMRuZsT3dmZkt+Ak1E00Cn0llN1cCcvUluqX
yeFVoKgESOM7O81b7n5Qlx9GF2yfU9TzlZhd6xq8MEXBIhpvx7Zpt6WU03vn23kZ4ranwjnT6q8B
p7w+jEfb2BVeOl61Kkr2xBDlVRf5qoKlMcYfAsvmMsulndJgPBzOfe0xBQtY+ZPO089jSQeE2waQ
p9rShLvXuAMhZV/2z9Y0cxpsrNkkKJw1lPXAMOOaJobtIEyHCpwCykBVmMFpKAraJrqarjuqV6p2
GxD+Thp+KQ9H4VGqWT7FrUenypCZ4itUiwrnTh7sPRKztEBrH65y9NASgtiqFsVuiEEFEuek6G6z
apqBvFQPPiXDnIVD653qqExuSV+ILXXn+s+DaxB2Tgz3PWsidVQTzSord+AONbacBVqjGz8HlW3d
alkEGNPzoy2I2SBeldk4nyoKiLuV70fVES/LWNNAqAkysaa69Rz6iVUTlCvXncp1N1nmAbdoe58j
X+6wk/XPjnAqAs+loFwDrQGcSpyctNqCggF1rFj5oM5wjWLjD03sUyt6+ciGtsO8gS+SwmuJ5k0C
GOtpmBpKjMbG2ArGM1C/Zz6Szo6uhV+2t67bYPH228ckw0QVWP2+5YB2M/Y654PJOzo9X+swpSj7
kEQF4ebRhWFdmNrGGA050UTjzw/g9+rrQg7mo2k26WuiG81aWzL9/djiMJo57R1K6iUfprShArCS
KCe1fl142kYvq/GO1Hq7sCVT6Iw+jreejxu8hsCGm1gsCk2wpgNdP6jG+DBGxz3XtEYfTGMwDwV5
JSqKJO7fsobsyYe8A9qLJzbBKerVM1XMptU9qEDMX0BT4oal82A/p4V9B16wgGFjCEr3LJPmjsTJ
dtyi6nUCjgIqkepANjE+xqxmb5u6jFcu+KdrfSrhG2KfOwSxGNd0sfsvVqWL/cwpZKVNebBp7W7G
2SEd94VNUO3tINC+GGlDk/wocJBS2/yVBu7qbGMfuJeNa6xqu7jc2N5iVcSbxiDib1YD9ScDiZtV
HTXixVRxd9UW+b2sqv6I2xnyS9vWJxPHC3NhhyD55Ktb3UiCGwlrsAm7PlI0LrntrrCpyeMS6a8l
xIx17wn7SzwDbyL39M6ldbnYL6bNCAz5qnUd7UpodhMCXhk/1VNAy6FRq3vXH4N1B8LqpfcF3w3L
rdfK8fODkWTTdSl6jQUrHiluSuzXLCf372NOPxtRWe4USO+3sYjt9dQBhe9Z0s1xNvcOJY0FVhx6
eyikmta1rnywc/m90o0Dpwc9DFoyx8QpECs5+jnB2ksGXPxZDEPPKVZpX8hwdktxm+ZyLkOticdn
PXabY2A13jHGrOWzgkbBnnVTW2EvuZKeZt2DPLztQTNxZ9PzEzTODPJ73z+ms1kc6YiHGOJyrA6M
8spVqALU7N5ntNisJogwfmhZEVyvMvYhGrj9NoaiupFWX6x0P7oCn5XtKiz0hwhUIpBUPVmPdWEf
+EKJbV/gyoq7foGp5M1m8qPiKnZalu8xGt9Eotc7jZDNSQ3Seze8PP8ZkI12dmR7J63CeVC+/aTP
tjxnKLFX44gTEvlN7XxuppvG8YYnwJf90XGLtxQ/50HAtSdUn1QATmZuSSoHnzdpsTwmZsT9FrXz
XsZldUu5fbb22bkGWkPvjLg2X7jMjVcBuzLNtEY0fKJ8XluAg85VUSfp0UycbUWHJJKkfpO59vOk
jXYIFCbfJMTiQw8cwCP8/XrXd35zU/sdNcKyxjPURF9o9mQJjIVAiQrqcBQy38sqX7wa9niq0Zc/
D8Gi/kiAFbXKm7UNCOGr0+SPoijLlZml3kMG8W/bGVkHBimaQze1rgdW1U0tjNdI2houelvcpHV1
BTpmvp7c6Qoipf2EuFUemxR2JJ1Jwy5BZ9gmUxa9tv08QfFM2tdJK+kmCehTqWhSPXhjioPFla+j
wboS6AUeetrbMju+uPXetN6hlnu2MFj5qToGwYxuRfPA1DGLZhpPNgHqgp1X8Ur4erUSupc/oUmU
DxyqslOJp7xHsY+8MBkzP72pqs7YBV5cn/PYpgrGqnfwW9priGzlukSA2InUZoAgzPjKW4x3rZn2
+zhKgdUPY+reNpBmD8LOje3k98iwKZT+0R5fuSCDNvBap96NVDzdcL9MVxkJt2Ol2nLr+OP01vt0
RIWyURxSMuk66DlxU4buDODNqdT0XmaifnW5iELOkG9FjHjGL/K16ItmmxZw5NFDtfYwSx3TeZpp
+xjmD+SYJivoabCzkjYUM1vhb3IxTRZ0Z2l2/BF1QKDtUpGcL9yWju1AR6zO0hvOvauOjjtgGYg4
OuXwGzVGxnEZAKzYhOu1YFS+jyxN/4otw8H/D6Oh7+gRrtwu3qAWt2CEaEWXeXYHCimzQkmm+xRF
Ul81pZkedD7qV9SVeG9OUUTzc48Uh0MhO7ak7Fex0OS6gYkDO44b6WeyJG2wNagaDBOl33k1GxL8
5jg9G2NnvE+1l9+oaWJBGMx8ZUX0MUSlykvjwZ9oVovW0eCL6j3p8XuCSfqWZJhERqwhumQcuskP
qsdxHnjXyEBMSxgiuOQi0pbUABf7fIlMYLYGoxQkmbeel1yF1i0Ri2FJW9SX3EXAb8gZwfnMv6le
tRii2mwO9QHRbGpDY8lw6Euaox+g/DQ1/9+VdKsXi28eFYLtlrO5RjtjAJE2hk+TeE5NQqSeyo82
0o3ragmQMG9WfIOxtJy93n1UApG/aR33w2ZcFYVQXetT5ATjxlFBe98WtOGlbtEe6emlGWMUAqcb
Gl9YibHf23nnL6vBvObUZ64rmyOMOcpiaQzM9m6bwzfPHfOkl9I+tkvmKnF0TNuoGGvHnQsrpHik
PulZXT1NyWB/kkYG9F8mNaIfBAhCPXqerXTeOVp7fWeV5N38gvRxE6c+b6sOieVhGoN4PaRxEq0I
5+rXlF1QW9xJuW4BdTShpGORfue49m98dmFwVxOQjlQanJFlTQXwVKTpY0yv50vH0ZM7kxzOjAji
h8JRcusvb3ZEZdFOCzpuXw6a9lmLhrGlNm8aNm5f64c5lc1DFBV45WkuSXc9JOtDJtvyvovBscSN
0Ty3ojU+G7XffC6r+DkqPP3KNusRuF2pa3vMNzX+ZHpXwn7QTxjf6odBTLJcRwgq3nU/CfsOyMob
XWg5YSA1obNqQmc+POps+4mKbcYfUHZusnzOP6UUuDwRYYp2vkmRIWxKw9xxFQLk3vbjx8Ckf1Wb
dnySRVyv+Y3KbQphBzUUBi8qfOfMIVcPzjoMnMDSCGf8mbpGnRO/5pAWqSaGhZ6fQbVGWb9v44CT
WKNa0lyYuTfS14wNzUzBYSTIcxBKpVeOGJJDQUbunKPJMoUAAock+XPuV+pJxHbkhK7B/CS0ZhYN
HfX+U8ZSYfLkjyCckRJvtLlS67yvo11nDvl9uZyTLMVz1eKqDoFSxke48UiFnHxXSRLAHEkjuqG4
llXcP5eDrOG0V0AYSfKUurOsYPEmmJsRZUsmadF8rjq4czcGHDQLgzQj++vGYBcgmCEB/vTE7XCr
IomoD+rs9PHWCGghdsm18QMHbf7UgXacHnHJp+yvWseFt7tlFmjRr9X3nunVIPLbaTzxlrS+v63i
RtCgKo2KHuX/Q4GXFJiNp7OKJ/DlXsNcq5iefyf//InT68dhPIMvgpygWT1OZag7P0bba1hypNeM
8Rxr0llrAcNewxz4RIqD5vvrKH41C2uxo2PAcLYamTJHGBvfi67rXm1k1W34U3cBVLEM0ODf/3Lf
ey642iy/G9wAA2sYsbwfXS8FgjBEanM813V79mrOitE+Gf6V9+zbi8C+QaanQU73fnwDnLSbuPQO
4zkxqaznv66Wb0uv2l7+lv9Kkv8kSWIuQ0X8a0ny9FbKN/l7+Ibx7Z/8okkG9k9Y5jyPT8qBqIEH
6jdNUqfjD0Fy6Qnx+QwdtM9fVUm0wV+8mHSJBAEaF8uD5WLA+3fEDZ69H1RIYDIWwgD3F4fSEvxs
36uQMH79PI0n91SY9cKDcz1jXLvGOI8M16RWd/DLTBUhmJAnq6IzeGDDWbUO1r9grTq014ecMZ9W
HKV0+f5vNDW1drT3o95wV72F5yD0IAHX50wgt3pbUhoFsN8OAqSYuBt7o72yqXzq4i2U3MK9GuxG
vmfxeNfZiUcXEoOVFWYCD+s2B9qtbOCV40x/0HyljCvViaReTPfwhsNFXYIrahBAuionI3dgf+kt
2kUL8W2fN37f3KIkZg8tzqsXmSuLq6ZsemMFKy6tT27ZimhDEvYznVl2xUvMrtpMQY65osZGVbKC
w6ik8N2/IU7nvjSeN7LMVOMrm3x6qxzSy1U/s5+zKXaA4U3u8ZUlNGpyK63eZarIDym33VeqVJrP
prRM6jyrJHivAv89n5bhPhND1KRiPvA/Ee3xrnWTOIm+B5RsUOxqETO1KOIIByto7vq0FOMKxqu+
7kY6BEO7ZocNGcBDZbMjdymVdoY9yIjilkCNZEJRRAezncedUt58F0hzZrKWwjibE4YaGN+1ZE+I
LfngeXDu0gwlcDNUpnbDhcffTY5L7K+ajKuR2OyjUB5mWvozbitle6uBvRvYFwY3CPqD+UnDtmmH
LnnTm8qm5i2o8wqhyPMOEB3UKWcvphaktwlrm2VPF/VyfkXp3VqjpfZ0b0yc4aNGvWpzUW99bEA7
Nm11oM5RveuF6R0EN4kHpc/Rudea6qrS4r7Y2UpD2O2VOxhcPAYbsmcW/vp/u8y0B3GtOcu5BAp9
4SUNyYzALtsjk+94LI9FJGHzr5kKN2mwNVvtnk2f0wh3mlyOipaGyNDf/7ui/j8hjZh9MGP56xX1
oeo78b/Wb1nV4fv+cvmZh4//+d/L0IR/+Ou66v4Ey4FF7BvS6DK3+YXaTs0nrao4L8hZ2/jAlz3x
13XV+QkjvMkEZmlewhH3n2V2sbzDOWGntgLGxwb/6F9A201rWUZ/M6E6TJTwueo6rYl4mHW8kN8v
swHumy6KGu1Egn64Y28oiMu1zqHIVbZhigG5gEaYe2azCG4V5e7GMAcHtgGxhvw7Ps6ZW2D/NfGB
NZ2/zxIdY1iUpuWqrIwUfHgpNlkX38e1tSdENgA1XMre7fJ57LPbJecVZmPsM6tejkRuSsBE2gE8
5ZIrtp3pDB3s3HwAaEaarzZpO7Di4myPg4TVE3CExPuy5u6af+haH86+9ZRW6Vfrsj1EPbYZBkxp
5Tq7ZnRslkkksfskVf2x4l5wmj0xdOHEeGQ3WIqOubxEAxld71DEU7FJU9UdbUoE2QEAMFPzoIiS
8naC4YWzSwhzjtbDRLZ1cfgw5p31ct4rvdU3em1Hq9ppnCu99fd5bt7XOs0m2NmM6yIDJBpNxTql
Vwbpv6PvWSwOiQadvNOxRvDAoNeXRhs2cTYiepA3ykD68mEVJ4UZc+s5mnfkGuWuAKAVYW979XYC
Mljup5IDKHrdwlnJ1UPjMG4eZ/EczIb5NBaOe5iYIr+URmWS1ERB1qknj851O5swdCuRtPRKaOSK
TkMZYUkoWyvLeiTzytfeiUdh3qEzt9fUtndlSuN8WUm10p0KXyC6ftORVyQl11ilfw7iQNc2o9/Q
KNfC2Bx3hYln2PScacdAqCxRqG3vZipKxoBkdjoWe60QHUByaQ1hFyfOFQYnfZUaE1YVLVMLvmAI
ClAaNB2dtTmxam2tYa+P1a6qW9W21xUEdeLOFNH4TFhDfpD0AnKJU6nKI8VYndu+VCSY71vFZTAL
AwnWme6YtqPId7yLSDruyqbyvZiyIDUM4zaI4NEolu+67e4DOVN7/zTqvdQfNDJYPjxqsFUFpJC4
6Cdzy0XAnxJ+AfrD9el6TMq5brAWRGW/AgBofKoooLobp0YVeAmhHiyjlJQWdC2e8NWSmFtpvcSP
S6+R9iwyJ8nWpvKKOezcYrrO4J4gnAbNh6PiRq2rxozuy1yAjGAlaah9yWrxHIHHLM4akq2xYsql
07o0ugMNNN4YrWj5qZhs4ZSjktQQ+6rMtU2iPCtejX4/P7SRYMxraS0D3GQBtjoNGIhG2OY6j4v4
phFzc+M2ib/pBiYHrjDKcccvoF9j53OoYWtoI8R2sU+wz926XMvJeDbEgT3cOpDpub3jdwoM6CE0
dB2E70YHv/ZABTkSY2MYd5OzNjRQH5iu4Kh2g8oK6CFWN3M3FeZG6LK77wevvG38Ot559KALYKY3
mPvixyivpxMgaRO8hhar/ybAvm1e/3DF4Fi/XA3/ekM8V+2fboi//MPfNkSHrY6tBsAc+ZTvLhps
iJy1A938Tz7s1w3xYn/AFm5jc+C+6v3O/sBeaf1f7s6tOW1ki8J/JTXvonS/PJypOtxtx0nGcZKZ
vFDYJiAQktAFIX79+RoJB2HHk0y7zlEdvcWQRmp1796XtdeiCOvw31xDJ7z+lRPRdAh0Tk5ESK4c
Dlww2w5SDi74hzPyVPTP45QeVP3tnqAIq+Kn8zKb9CNi1nWZXiuZ6cHg4AC22brWctPl/N7/pSA2
RJDia+N0GytvJwRNtJoqa6hk4BZ34Ki4JuEzXiRGfgnW1+kDqbSvojxUPm7CNO5F4Vy5ynxUEKl2
2R+3GIhPS9fLwm4e0c6uxZsICSqKCXaakjuP9tpQh2wrBCE2gbh/g8ngviE+t+acwYtr2yCDSAcq
zfibyR/FfvN+B+7OYR67JhLh4w2FBlpb3FXPCexLzSTlCiVxfzHfPOQWgVaOx4kKRbLsJbA7XU8Q
JRwUmdrfbVVaptFpAc2nDDjntSFISySkQDMKCaKRElrhF6/cLgdpjKLunoRksEveJytwXMp8lcGA
khnDACIaTkfa0421ze+vNZFOJn+eha43LpEruXHw2CG+0fbjeAWWrYgoLBSg1sZIrrxPSo/MNIp3
A3QXtG4OmAZYWGxgFyyjP/epQReYYlJIQXoJ/uB6oXloxxjrG2oTxSCbOCPk2pCMK1bdSaDTu+5F
Sc+EfqGvT9SR4i+1nrUoP1vZtqSPSzxEvMr6GaW5flDmoAEtxR4Ebn63Tr2+QSr7MgYZeAUouewZ
MPBHQmnAD+KhRQ9FHzEXhUSs43Q3lj32Jh5sTYhOuSs0o/39RPlcGn4Egg5p2xS/pGvku92QVKHX
VbbEWzoJzltnGe8vUo0KJaHdZgirnzXUU6XspzvVJCVoQfbtzke7nIz5hiBx4GnLr/EuNq/owr9A
OmcN1BXhyDyFEdkI5qOFQXuvt0FNLcD4r5abW3Lbn93d/u1SL2BWJ/U+VEJfHWgAdUdOvJ7ureXX
5SYzR0s4V3vFsggHqrdULje6NyO0WfY5mcFSQhwRUAC3AavS4z3/w4uW0ZDu4pLzcRL06C7vbV2N
xgOaPDiDrIuNvtS+liYabSC5r3bK6m5fmrsBdN+QddNcP7ZCUAn7feh2wQqBK6dvuE/xxxyD9KBI
B4FFTw3420pL/lTSbA2TN9LYMItv0WQuNyPN5Q1GdB0N7eU6GU6M5adEt+fXobpYDw33bg4E6HI3
p72B5KFyC6getZ/chpTcCXz/Zr1FvSFMbZWTdVGOYt9LboUKZJ/umtXN3nHNfprur9MsCYbuclUM
KLPbwz3oyz6+tzMg4kd4T1fUD7D9E6Vxlg0giQKoba30/gKVxG7kLO0LTQdA5M/d7ViHTj8jUL1K
FTXvK6gIf8otg1mkaayvm0uH2qBXoBBxIPKnfp1aS/VTOTFVMPGkN4SkyRAJBKdHYzYUCvtV+HGl
GOWHSZyrl1qWFhbUXoCFeoWyWgzs2C2oPa/Ji6COMjAo7Ay51fwtvUAGX1TehpEfjKKV/U4xV3f+
1l70EBYOLmgOgSDO3Sp9Z898xvvUoms/WIKrVL/BrEzLQhFZl/EWDO7Szj6qrn+RIzZ26RKfd4kz
buwJPeCFCkBngYfQ3ReB3Tfp1ujqG+8+zwLoa6AZ0PIPATRpXZBO2ggXcbY29+UwSPZXSeYgLcX3
UyccFTZMN6EZhkNnDjRgTW24X06AHMHE41JZ86ebiBr83N1/TCOIF2DnoFIERI3OmDzrwTBZwhdD
XSUJNywp0AHX5IEoSutTb2PQC4heYm+7Tq2PE30xJ2GA3EqpdFW22mhnbmZbWK/otSHot5IlOKVA
0y6pFUKiHkAhtxLcSGW2iiGyWrvjBfoSUaB/te307XJuLi+QlvvsFik9976dAfM37Isc/cBbz9t+
CSb0EsWxM7OBa/e2Ez/rFXPkZbX8yjGz5F3s6nCkUjywILu7FkXsUE0+BIsJ1QyDLPpks/mWJLna
9z1z0rX2eTQyzdzvT6wSrHaRBW/LoEio7cJfYhkAAhCOxnNefPVK17stzXIM37t2tbep8271cjMk
OweQ2eUXw/3+drM1/Q8pyKKlxiG0I1NCVOexn7V5MExyy+qqFOfjFeSnMFv5V+UmvZgnuKokcZCY
zHIdXRuOF4Qp7L+C1e7PYpKDoS2dhygnTb6YB0ADYEAagYqjGyycWD148r33WbD9oM6pJGwIwrnx
4jrGze5l5FB668kNjVTRoACwu9uA1cGgAcdYKF9yj5rURtk9GH4MSzZSHhfudg/7kQ8YrqQZcoz9
9S8XW7MYzanyE8AoVi9He77rIjc18veGNQTZbgzh7afDxYy10dxZfim2vnWxV9zbMkuv0hWpq1iZ
fzOU2LkE8T9BTyLA941tbWhFUDFo5lq9dGPKLRFSRdDXR5NhYidRv3DLvRHeUU8Ps0+mn6H6xZpV
QEWNdwWciXGPjgc3Kj5nk+3aYStuCMRg8WD1rd33EyvxirgLF+xKbLJouaYNZ7zRI38LL0KM7Own
Iy9E8023LJOU6MVKI6z3Ct2vQzwUitiIZhdHxElV1JRUMdSyiqjCOsAKq3jr/yvfVJciBMP14JDz
+SOfJeXNLAWGnx5TMeLTA7/zbfTPvvTyQHW26W8cdg2nGOe14bAfbupwxy+NEUwzP8sfZv/6TXc7
QIphRwYRfLgoMgQ4o/XHiivSUVAy4HlXn1e46JNJ+tE0vPyE1Xy+/J3GE9zjK2fiPcDy06Cg0AX3
wM/MwdkI3+fA8DrUyIlV6KY9XDzj6Rx4xCaQEJOQI88vruoH//tzMH1Y+3B84mf499lpStKyPKKc
n5mEsyFOJgFcOjVWBPvAoIvrbCFomtehb4t2dpP2eXGdbvuX9sPLL/mXF8LZE8we87JIS5xXyH51
NxhmB2ZyV1Rwq2ckCm2sBHYDaVkLEc5qksjbMustWgkEtmSZ5VaCS6GPHgS4AqqHPF8JquDep3Jn
/69swY+XgEpvhOTT6x3HBpGm62TKT9+9C7kNWqUkICCxOVxte/fQZ6jnFY1f3QGm2tFo9OPl1raO
bd6YBa/Dz5DZgcy/pbMAs4TsGjA7umfAlKHVk3C2FDRN67BGaMkhzyWuyu60yAw8J0f8q0vBcDoW
PSGeAWfD4Tozho7boYVIBYZYf946c+DAjCm5FEytA2mUZhkGGJr6VZ/uBwdzAXzBRcejbebABVsh
+fR4RpQaHJvGs8fd3nh6q0M61xZiVNXnrZsEHb9F9kA08Qoc8sjQyDy7EVyLNUATh1B1OVzVD7bI
HKBIp/6kl3x2tp44iHqHWjasMx7lp2d2gmtQCMeFNsGbHa7WmQPBzCPrJpuQ1WEL4B0zH5/ydEeg
v840YTfhfGqbQeDgdmXjRSyCWOVAFL6/5dPnx0vCGLIV8JMOV+ssAnxJT4gOf/VoxCIQDXrwGwmq
PXE98ZIgdiWuBuJ2uFq3F/BsXLwaqUABqAoCJjaB8/N7wTOIq0GegoOpZqF1dlEHfSh7RjILQBkh
lTyueN716Y5wrA7YWxX6wNqZbN0sgOUUPeBSa0E4i1RUXduqo6MzZ5EzUnfB1xlavSPaZxcqrTqp
WeB0MDU0m0CBV2bhPHDQ1Q7YcKYbHlxxtS5wACTmVsaq0qd8TOz8Qk7RUDuIqIh+7tofOrOOnkaW
RXOJr2rr2bqTUldJesruCNIobAk85zN7YHccVSO+PGYTW3c2gL8wZdcAVpFkId4gnvFxpTesIhE0
MA8Dgq62uUk6GU5ZN8m0OwaOMsnC2k1io58+Pmh8iLYM8vfVL7UoVgAVI/34htsha4CLWJs5lads
PD55VM4CqFFrC9G604BZEDctdRoY5AZgrabjsjoMnvESSSBha/TaV26dZ6DDUiNrCQyyxUCg8RMr
Q3BeWPDwHOD/VlWyNdXVOoOAWyMdN5JHonZiOChZHq7zHeF1ODKF5GhbKwtAyz3ZM9E0OrAb4RYc
s2ksrlO74IhsG+kmTxAhiat91hGbXRkrCf/I68DWK/qsav/nzFcGq9+xLbqiHHoxxdU6L5G4STQS
SFlHUWkweNEwYx8e8vyMcIixMZ20LdZmoXVeogGptvRasKgqsetRZH52FsinwCOmi8pr9Xkb14I0
CoG6K0Bh/AHQv4frzC4gGtIBnMVycVv4/LZW3ZSEReCMpB1SqFNUi53N1bCLVN1cDIJNm+ThaqOn
IFqPZC0CQhkit/q8XQSLwieIIZvfcRr8YJt8Z5PDTXYWDPJJILMp5D/6Q6drgVw+OQScBWrwrfOU
cGdl/UXOBRdo6tEPegJEcZwOguCilfn7KmnZKhAAAtlVQHyswyNBW2F1nfkIwlNCUYL2wjq4qKa9
RXtBtEnKWgSDvaCSKKGK9+y54Iq1QsGJgnw1S62zi4aJyoHkWqDmYpBKwS+uQ6iz2OEAR3DIp9FF
3zaLANWpPBxDo8qMNhSvuVoFmNhTiwg+DxE4HYvwPff8sxbhJzbMI+izt/CDhwPc05+lz6FCf/SF
IwLu6ec1xFG0FQscY+OLAv1Z/XaFcRP//r1Rnj0cfScfHo/Cw+/U/71+wKc/3fit41Md/zj2Z8k0
uV+Uhw/K+jbfTddARv8dTO+m6+kp/pD3gv35fif/+q1xnyfr/28GTldn4wrJIelxE38fhc2BDyAh
+YFXT1k3DihE2ZF708D/FiWh37jrCuYpPXYURMn0ocFfXMEG5UcOw9l95tO3cXxrYmVXMBzZwfuz
YFpMk9npyBXERXrkGlH7Jvr2pkdn8/quOe0eNavjrz4LyX70el9a3UNm3X9ovM8awC17/6NZlMyb
t1wDPmRHHjPjvn98dvEuNYOU5fEP/3wyfkig/WPmhp+a5AsUvmlVSo93eLjlChYpOxcX4YM/PbMi
FaBCeuSoaC6LqjYvO+yPGYEkJ/mKO8vvV2Vjkqsasuw9v41yP30yzVVNUnbs66kfNqwHFZjXOF6u
p6ggTMOH0+moC4jyt5ym03ukHWZZ1ljTdYlOenz/fuHPp81+igoxJz80ZwG8ZY2VXZfW5MdOoU2C
szBu2Ka6ZvMao0d5cj60KIpJDx2F2ZkNqUFpsiO/m90l0zPviQK7qFvID72dNs8tSgEiCS4/cPFm
PF3HKZQjjY1ZlxpeY/zLWZLOGpaqzl2/xuDXs51/3/CjGFwkQ19j8L+iZHUc6RAfVFgl6aEPJA69
aRJxUjY3p3FIZL7ODzylTTqyREgePu8XfnPGTVbLcZ7+uUMChSeSHs2opq5+yk7I+2Q2P29ZO6QJ
ZQf+MAvDFCrf6VmYgFStyMLJDn+ziB5mby7SJ2dbld6SHb6i13puIdaZo9f5gacL8cjfJbkQb5n9
WZrOGparLgnJ3vrtbNfkcqzTKLLjfsqmi+PCEDalzk7JDvt5lqw52RojA594BUP42SeyOVvedW+L
7E1/mXLuhPOsuTVpbBJqPdKDz9LszbM3D96DVK70+C+JsUsu7C9lRJvp/HiTh3ViIxt+/MOPjOxz
mabH6szT/NOx8fO5/9ZMrolv3AezafL7fwAAAP//</cx:binary>
              </cx:geoCache>
            </cx:geography>
          </cx:layoutPr>
        </cx:series>
      </cx:plotAreaRegion>
    </cx:plotArea>
  </cx:chart>
  <cx:spPr>
    <a:effectLst>
      <a:glow rad="139700">
        <a:schemeClr val="accent5">
          <a:satMod val="175000"/>
          <a:alpha val="40000"/>
        </a:schemeClr>
      </a:glow>
    </a:effectLst>
  </cx:spPr>
</cx: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chart" Target="../charts/chart3.xml"/><Relationship Id="rId7" Type="http://schemas.openxmlformats.org/officeDocument/2006/relationships/hyperlink" Target="#Table!A1"/><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11" Type="http://schemas.openxmlformats.org/officeDocument/2006/relationships/image" Target="../media/image5.svg"/><Relationship Id="rId5" Type="http://schemas.openxmlformats.org/officeDocument/2006/relationships/image" Target="../media/image2.svg"/><Relationship Id="rId10" Type="http://schemas.openxmlformats.org/officeDocument/2006/relationships/image" Target="../media/image4.png"/><Relationship Id="rId4" Type="http://schemas.openxmlformats.org/officeDocument/2006/relationships/image" Target="../media/image1.png"/><Relationship Id="rId9"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9</xdr:col>
      <xdr:colOff>1247774</xdr:colOff>
      <xdr:row>3</xdr:row>
      <xdr:rowOff>123825</xdr:rowOff>
    </xdr:from>
    <xdr:to>
      <xdr:col>13</xdr:col>
      <xdr:colOff>904875</xdr:colOff>
      <xdr:row>17</xdr:row>
      <xdr:rowOff>57151</xdr:rowOff>
    </xdr:to>
    <xdr:graphicFrame macro="">
      <xdr:nvGraphicFramePr>
        <xdr:cNvPr id="2" name="Chart 4">
          <a:extLst>
            <a:ext uri="{FF2B5EF4-FFF2-40B4-BE49-F238E27FC236}">
              <a16:creationId xmlns:a16="http://schemas.microsoft.com/office/drawing/2014/main" id="{DCF8AEA4-C1B7-48DD-A4CD-D2BB3AEEB6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1104898</xdr:colOff>
      <xdr:row>3</xdr:row>
      <xdr:rowOff>142875</xdr:rowOff>
    </xdr:from>
    <xdr:to>
      <xdr:col>18</xdr:col>
      <xdr:colOff>9525</xdr:colOff>
      <xdr:row>17</xdr:row>
      <xdr:rowOff>57150</xdr:rowOff>
    </xdr:to>
    <xdr:graphicFrame macro="">
      <xdr:nvGraphicFramePr>
        <xdr:cNvPr id="3" name="Chart 5">
          <a:extLst>
            <a:ext uri="{FF2B5EF4-FFF2-40B4-BE49-F238E27FC236}">
              <a16:creationId xmlns:a16="http://schemas.microsoft.com/office/drawing/2014/main" id="{A447E94C-FB42-4B73-A0ED-FE22FA1E97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1219200</xdr:colOff>
      <xdr:row>18</xdr:row>
      <xdr:rowOff>133351</xdr:rowOff>
    </xdr:from>
    <xdr:to>
      <xdr:col>18</xdr:col>
      <xdr:colOff>28575</xdr:colOff>
      <xdr:row>41</xdr:row>
      <xdr:rowOff>76200</xdr:rowOff>
    </xdr:to>
    <xdr:graphicFrame macro="">
      <xdr:nvGraphicFramePr>
        <xdr:cNvPr id="4" name="Chart 6">
          <a:extLst>
            <a:ext uri="{FF2B5EF4-FFF2-40B4-BE49-F238E27FC236}">
              <a16:creationId xmlns:a16="http://schemas.microsoft.com/office/drawing/2014/main" id="{A7F6996C-B3DA-4FFE-9311-3C8FA4AD84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9526</xdr:colOff>
      <xdr:row>0</xdr:row>
      <xdr:rowOff>90957</xdr:rowOff>
    </xdr:from>
    <xdr:to>
      <xdr:col>16</xdr:col>
      <xdr:colOff>47626</xdr:colOff>
      <xdr:row>3</xdr:row>
      <xdr:rowOff>66675</xdr:rowOff>
    </xdr:to>
    <xdr:pic>
      <xdr:nvPicPr>
        <xdr:cNvPr id="7" name="Graphic 6" descr="Bar graph with upward trend">
          <a:extLst>
            <a:ext uri="{FF2B5EF4-FFF2-40B4-BE49-F238E27FC236}">
              <a16:creationId xmlns:a16="http://schemas.microsoft.com/office/drawing/2014/main" id="{90948857-8CEC-4F64-B415-170E7DCFCE61}"/>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963401" y="90957"/>
          <a:ext cx="800100" cy="766293"/>
        </a:xfrm>
        <a:prstGeom prst="rect">
          <a:avLst/>
        </a:prstGeom>
        <a:effectLst>
          <a:glow rad="63500">
            <a:schemeClr val="accent5">
              <a:satMod val="175000"/>
              <a:alpha val="40000"/>
            </a:schemeClr>
          </a:glow>
        </a:effectLst>
      </xdr:spPr>
    </xdr:pic>
    <xdr:clientData/>
  </xdr:twoCellAnchor>
  <xdr:twoCellAnchor editAs="oneCell">
    <xdr:from>
      <xdr:col>18</xdr:col>
      <xdr:colOff>257175</xdr:colOff>
      <xdr:row>35</xdr:row>
      <xdr:rowOff>28575</xdr:rowOff>
    </xdr:from>
    <xdr:to>
      <xdr:col>22</xdr:col>
      <xdr:colOff>200025</xdr:colOff>
      <xdr:row>42</xdr:row>
      <xdr:rowOff>76200</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BF82299F-3B8B-4CF3-9A64-DF69C381912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087600" y="6086475"/>
              <a:ext cx="262890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190500</xdr:colOff>
      <xdr:row>26</xdr:row>
      <xdr:rowOff>133350</xdr:rowOff>
    </xdr:from>
    <xdr:to>
      <xdr:col>20</xdr:col>
      <xdr:colOff>323850</xdr:colOff>
      <xdr:row>35</xdr:row>
      <xdr:rowOff>28575</xdr:rowOff>
    </xdr:to>
    <mc:AlternateContent xmlns:mc="http://schemas.openxmlformats.org/markup-compatibility/2006" xmlns:a14="http://schemas.microsoft.com/office/drawing/2010/main">
      <mc:Choice Requires="a14">
        <xdr:graphicFrame macro="">
          <xdr:nvGraphicFramePr>
            <xdr:cNvPr id="9" name="years">
              <a:extLst>
                <a:ext uri="{FF2B5EF4-FFF2-40B4-BE49-F238E27FC236}">
                  <a16:creationId xmlns:a16="http://schemas.microsoft.com/office/drawing/2014/main" id="{0D4E38C6-F7E9-4481-B1FB-F8415A9D086D}"/>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5020925" y="4733925"/>
              <a:ext cx="1219200" cy="1352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123825</xdr:colOff>
      <xdr:row>10</xdr:row>
      <xdr:rowOff>38101</xdr:rowOff>
    </xdr:from>
    <xdr:to>
      <xdr:col>20</xdr:col>
      <xdr:colOff>295274</xdr:colOff>
      <xdr:row>26</xdr:row>
      <xdr:rowOff>104775</xdr:rowOff>
    </xdr:to>
    <mc:AlternateContent xmlns:mc="http://schemas.openxmlformats.org/markup-compatibility/2006" xmlns:a14="http://schemas.microsoft.com/office/drawing/2010/main">
      <mc:Choice Requires="a14">
        <xdr:graphicFrame macro="">
          <xdr:nvGraphicFramePr>
            <xdr:cNvPr id="10" name="month name">
              <a:extLst>
                <a:ext uri="{FF2B5EF4-FFF2-40B4-BE49-F238E27FC236}">
                  <a16:creationId xmlns:a16="http://schemas.microsoft.com/office/drawing/2014/main" id="{A8EECC10-3D42-405E-9EED-69E5B439E63F}"/>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4954250" y="2047876"/>
              <a:ext cx="1257299" cy="26574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209550</xdr:colOff>
      <xdr:row>19</xdr:row>
      <xdr:rowOff>0</xdr:rowOff>
    </xdr:from>
    <xdr:to>
      <xdr:col>9</xdr:col>
      <xdr:colOff>981075</xdr:colOff>
      <xdr:row>41</xdr:row>
      <xdr:rowOff>28574</xdr:rowOff>
    </xdr:to>
    <mc:AlternateContent xmlns:mc="http://schemas.openxmlformats.org/markup-compatibility/2006">
      <mc:Choice xmlns:cx4="http://schemas.microsoft.com/office/drawing/2016/5/10/chartex" Requires="cx4">
        <xdr:graphicFrame macro="">
          <xdr:nvGraphicFramePr>
            <xdr:cNvPr id="5" name="Chart 1">
              <a:extLst>
                <a:ext uri="{FF2B5EF4-FFF2-40B4-BE49-F238E27FC236}">
                  <a16:creationId xmlns:a16="http://schemas.microsoft.com/office/drawing/2014/main" id="{5C5331FD-01E6-4387-AA03-F9D7E382CF5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19150" y="3467100"/>
              <a:ext cx="6724650" cy="359092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20</xdr:col>
      <xdr:colOff>180975</xdr:colOff>
      <xdr:row>10</xdr:row>
      <xdr:rowOff>47623</xdr:rowOff>
    </xdr:from>
    <xdr:to>
      <xdr:col>22</xdr:col>
      <xdr:colOff>161925</xdr:colOff>
      <xdr:row>34</xdr:row>
      <xdr:rowOff>104774</xdr:rowOff>
    </xdr:to>
    <mc:AlternateContent xmlns:mc="http://schemas.openxmlformats.org/markup-compatibility/2006" xmlns:a14="http://schemas.microsoft.com/office/drawing/2010/main">
      <mc:Choice Requires="a14">
        <xdr:graphicFrame macro="">
          <xdr:nvGraphicFramePr>
            <xdr:cNvPr id="12" name="State">
              <a:extLst>
                <a:ext uri="{FF2B5EF4-FFF2-40B4-BE49-F238E27FC236}">
                  <a16:creationId xmlns:a16="http://schemas.microsoft.com/office/drawing/2014/main" id="{BAA35D8A-D572-49CA-BFE8-9068CFBE4605}"/>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6097250" y="2057398"/>
              <a:ext cx="1581150" cy="39433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61914</xdr:colOff>
      <xdr:row>10</xdr:row>
      <xdr:rowOff>152400</xdr:rowOff>
    </xdr:from>
    <xdr:to>
      <xdr:col>0</xdr:col>
      <xdr:colOff>519112</xdr:colOff>
      <xdr:row>24</xdr:row>
      <xdr:rowOff>71438</xdr:rowOff>
    </xdr:to>
    <xdr:sp macro="" textlink="">
      <xdr:nvSpPr>
        <xdr:cNvPr id="11" name="Rectangle 10">
          <a:hlinkClick xmlns:r="http://schemas.openxmlformats.org/officeDocument/2006/relationships" r:id="rId7"/>
          <a:extLst>
            <a:ext uri="{FF2B5EF4-FFF2-40B4-BE49-F238E27FC236}">
              <a16:creationId xmlns:a16="http://schemas.microsoft.com/office/drawing/2014/main" id="{CBC8B609-0ED7-4BD7-A380-0BCE0BEF2A90}"/>
            </a:ext>
          </a:extLst>
        </xdr:cNvPr>
        <xdr:cNvSpPr/>
      </xdr:nvSpPr>
      <xdr:spPr>
        <a:xfrm rot="5400000">
          <a:off x="-802481" y="3026570"/>
          <a:ext cx="2185988" cy="457198"/>
        </a:xfrm>
        <a:prstGeom prst="rect">
          <a:avLst/>
        </a:prstGeom>
        <a:solidFill>
          <a:schemeClr val="tx2">
            <a:lumMod val="75000"/>
          </a:schemeClr>
        </a:solidFill>
        <a:effectLst>
          <a:glow rad="139700">
            <a:schemeClr val="accent5">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t>Go to tables</a:t>
          </a:r>
        </a:p>
      </xdr:txBody>
    </xdr:sp>
    <xdr:clientData/>
  </xdr:twoCellAnchor>
  <xdr:twoCellAnchor>
    <xdr:from>
      <xdr:col>1</xdr:col>
      <xdr:colOff>209550</xdr:colOff>
      <xdr:row>3</xdr:row>
      <xdr:rowOff>76200</xdr:rowOff>
    </xdr:from>
    <xdr:to>
      <xdr:col>9</xdr:col>
      <xdr:colOff>1009650</xdr:colOff>
      <xdr:row>17</xdr:row>
      <xdr:rowOff>38101</xdr:rowOff>
    </xdr:to>
    <xdr:graphicFrame macro="">
      <xdr:nvGraphicFramePr>
        <xdr:cNvPr id="13" name="Chart 2">
          <a:extLst>
            <a:ext uri="{FF2B5EF4-FFF2-40B4-BE49-F238E27FC236}">
              <a16:creationId xmlns:a16="http://schemas.microsoft.com/office/drawing/2014/main" id="{3633F6EE-E085-4F72-96E6-83D6EAC667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18</xdr:col>
      <xdr:colOff>323850</xdr:colOff>
      <xdr:row>1</xdr:row>
      <xdr:rowOff>0</xdr:rowOff>
    </xdr:from>
    <xdr:to>
      <xdr:col>22</xdr:col>
      <xdr:colOff>47625</xdr:colOff>
      <xdr:row>6</xdr:row>
      <xdr:rowOff>19050</xdr:rowOff>
    </xdr:to>
    <xdr:pic>
      <xdr:nvPicPr>
        <xdr:cNvPr id="15" name="Picture 14">
          <a:extLst>
            <a:ext uri="{FF2B5EF4-FFF2-40B4-BE49-F238E27FC236}">
              <a16:creationId xmlns:a16="http://schemas.microsoft.com/office/drawing/2014/main" id="{98FD90C9-2786-4624-B0A6-FFF5B72982D4}"/>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5154275" y="161925"/>
          <a:ext cx="2409825" cy="1219200"/>
        </a:xfrm>
        <a:prstGeom prst="roundRect">
          <a:avLst>
            <a:gd name="adj" fmla="val 4167"/>
          </a:avLst>
        </a:prstGeom>
        <a:solidFill>
          <a:srgbClr val="FFFFFF"/>
        </a:solidFill>
        <a:ln w="76200" cap="sq">
          <a:solidFill>
            <a:srgbClr val="EAEAEA"/>
          </a:solidFill>
          <a:miter lim="800000"/>
        </a:ln>
        <a:effectLst>
          <a:reflection blurRad="12700" stA="33000" endPos="28000" dist="5000" dir="5400000" sy="-100000" algn="bl" rotWithShape="0"/>
        </a:effectLst>
        <a:scene3d>
          <a:camera prst="orthographicFront"/>
          <a:lightRig rig="threePt" dir="t">
            <a:rot lat="0" lon="0" rev="2700000"/>
          </a:lightRig>
        </a:scene3d>
        <a:sp3d contourW="6350">
          <a:bevelT h="38100"/>
          <a:contourClr>
            <a:srgbClr val="C0C0C0"/>
          </a:contourClr>
        </a:sp3d>
      </xdr:spPr>
    </xdr:pic>
    <xdr:clientData/>
  </xdr:twoCellAnchor>
  <xdr:twoCellAnchor editAs="oneCell">
    <xdr:from>
      <xdr:col>11</xdr:col>
      <xdr:colOff>695326</xdr:colOff>
      <xdr:row>0</xdr:row>
      <xdr:rowOff>104775</xdr:rowOff>
    </xdr:from>
    <xdr:to>
      <xdr:col>13</xdr:col>
      <xdr:colOff>19051</xdr:colOff>
      <xdr:row>3</xdr:row>
      <xdr:rowOff>80493</xdr:rowOff>
    </xdr:to>
    <xdr:pic>
      <xdr:nvPicPr>
        <xdr:cNvPr id="16" name="Graphic 15" descr="Bar graph with upward trend">
          <a:extLst>
            <a:ext uri="{FF2B5EF4-FFF2-40B4-BE49-F238E27FC236}">
              <a16:creationId xmlns:a16="http://schemas.microsoft.com/office/drawing/2014/main" id="{998B979D-1986-4487-A432-4BCF0F1C57C5}"/>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9534526" y="104775"/>
          <a:ext cx="800100" cy="766293"/>
        </a:xfrm>
        <a:prstGeom prst="rect">
          <a:avLst/>
        </a:prstGeom>
        <a:effectLst>
          <a:glow rad="63500">
            <a:schemeClr val="accent5">
              <a:satMod val="175000"/>
              <a:alpha val="40000"/>
            </a:schemeClr>
          </a:glow>
        </a:effec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559240</xdr:colOff>
      <xdr:row>0</xdr:row>
      <xdr:rowOff>162801</xdr:rowOff>
    </xdr:from>
    <xdr:to>
      <xdr:col>4</xdr:col>
      <xdr:colOff>1067568</xdr:colOff>
      <xdr:row>5</xdr:row>
      <xdr:rowOff>178129</xdr:rowOff>
    </xdr:to>
    <mc:AlternateContent xmlns:mc="http://schemas.openxmlformats.org/markup-compatibility/2006" xmlns:a14="http://schemas.microsoft.com/office/drawing/2010/main">
      <mc:Choice Requires="a14">
        <xdr:graphicFrame macro="">
          <xdr:nvGraphicFramePr>
            <xdr:cNvPr id="4" name="Category 1">
              <a:extLst>
                <a:ext uri="{FF2B5EF4-FFF2-40B4-BE49-F238E27FC236}">
                  <a16:creationId xmlns:a16="http://schemas.microsoft.com/office/drawing/2014/main" id="{AE8198AB-F861-43D8-A26F-F20E4A87A60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186826" y="162801"/>
              <a:ext cx="1800225"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507346</xdr:colOff>
      <xdr:row>5</xdr:row>
      <xdr:rowOff>87696</xdr:rowOff>
    </xdr:from>
    <xdr:to>
      <xdr:col>4</xdr:col>
      <xdr:colOff>1044249</xdr:colOff>
      <xdr:row>9</xdr:row>
      <xdr:rowOff>112877</xdr:rowOff>
    </xdr:to>
    <mc:AlternateContent xmlns:mc="http://schemas.openxmlformats.org/markup-compatibility/2006" xmlns:a14="http://schemas.microsoft.com/office/drawing/2010/main">
      <mc:Choice Requires="a14">
        <xdr:graphicFrame macro="">
          <xdr:nvGraphicFramePr>
            <xdr:cNvPr id="5" name="years 1">
              <a:extLst>
                <a:ext uri="{FF2B5EF4-FFF2-40B4-BE49-F238E27FC236}">
                  <a16:creationId xmlns:a16="http://schemas.microsoft.com/office/drawing/2014/main" id="{D65A4B9E-4697-4E2A-B490-08DBFBD67C2B}"/>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mlns="">
        <xdr:sp macro="" textlink="">
          <xdr:nvSpPr>
            <xdr:cNvPr id="0" name=""/>
            <xdr:cNvSpPr>
              <a:spLocks noTextEdit="1"/>
            </xdr:cNvSpPr>
          </xdr:nvSpPr>
          <xdr:spPr>
            <a:xfrm>
              <a:off x="3134932" y="1215368"/>
              <a:ext cx="1828800" cy="857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444499</xdr:colOff>
      <xdr:row>9</xdr:row>
      <xdr:rowOff>129958</xdr:rowOff>
    </xdr:from>
    <xdr:to>
      <xdr:col>4</xdr:col>
      <xdr:colOff>1051035</xdr:colOff>
      <xdr:row>19</xdr:row>
      <xdr:rowOff>10949</xdr:rowOff>
    </xdr:to>
    <mc:AlternateContent xmlns:mc="http://schemas.openxmlformats.org/markup-compatibility/2006" xmlns:a14="http://schemas.microsoft.com/office/drawing/2010/main">
      <mc:Choice Requires="a14">
        <xdr:graphicFrame macro="">
          <xdr:nvGraphicFramePr>
            <xdr:cNvPr id="7" name="month name 1">
              <a:extLst>
                <a:ext uri="{FF2B5EF4-FFF2-40B4-BE49-F238E27FC236}">
                  <a16:creationId xmlns:a16="http://schemas.microsoft.com/office/drawing/2014/main" id="{6B6C31CE-D5C4-4DB4-B8A7-33C6FDA24062}"/>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3072085" y="2089699"/>
              <a:ext cx="1898433" cy="18954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21896</xdr:colOff>
      <xdr:row>0</xdr:row>
      <xdr:rowOff>164223</xdr:rowOff>
    </xdr:from>
    <xdr:to>
      <xdr:col>3</xdr:col>
      <xdr:colOff>536466</xdr:colOff>
      <xdr:row>29</xdr:row>
      <xdr:rowOff>131379</xdr:rowOff>
    </xdr:to>
    <mc:AlternateContent xmlns:mc="http://schemas.openxmlformats.org/markup-compatibility/2006" xmlns:a14="http://schemas.microsoft.com/office/drawing/2010/main">
      <mc:Choice Requires="a14">
        <xdr:graphicFrame macro="">
          <xdr:nvGraphicFramePr>
            <xdr:cNvPr id="8" name="State 1">
              <a:extLst>
                <a:ext uri="{FF2B5EF4-FFF2-40B4-BE49-F238E27FC236}">
                  <a16:creationId xmlns:a16="http://schemas.microsoft.com/office/drawing/2014/main" id="{1524CB2E-0222-4DED-BB18-18C4A98E1413}"/>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21896" y="164223"/>
              <a:ext cx="3142156" cy="55398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1862</xdr:colOff>
      <xdr:row>4</xdr:row>
      <xdr:rowOff>76638</xdr:rowOff>
    </xdr:from>
    <xdr:to>
      <xdr:col>12</xdr:col>
      <xdr:colOff>2288190</xdr:colOff>
      <xdr:row>7</xdr:row>
      <xdr:rowOff>43793</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B9CA8E57-6279-4437-A216-1C4F1EC26E68}"/>
            </a:ext>
          </a:extLst>
        </xdr:cNvPr>
        <xdr:cNvSpPr/>
      </xdr:nvSpPr>
      <xdr:spPr>
        <a:xfrm>
          <a:off x="11475655" y="886810"/>
          <a:ext cx="2286328" cy="591207"/>
        </a:xfrm>
        <a:prstGeom prst="rect">
          <a:avLst/>
        </a:prstGeom>
        <a:solidFill>
          <a:schemeClr val="accent1">
            <a:lumMod val="50000"/>
          </a:schemeClr>
        </a:solidFill>
        <a:effectLst>
          <a:glow rad="139700">
            <a:schemeClr val="accent5">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Go</a:t>
          </a:r>
          <a:r>
            <a:rPr lang="en-US" sz="2000" b="1" baseline="0"/>
            <a:t> To Dashboard</a:t>
          </a:r>
          <a:endParaRPr lang="en-US" sz="20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39.595785879632" createdVersion="6" refreshedVersion="6" minRefreshableVersion="3" recordCount="1000" xr:uid="{33E046CB-8111-4A98-9109-3D0EC88D9785}">
  <cacheSource type="worksheet">
    <worksheetSource name="Table2"/>
  </cacheSource>
  <cacheFields count="18">
    <cacheField name="Row ID" numFmtId="0">
      <sharedItems containsSemiMixedTypes="0" containsString="0" containsNumber="1" containsInteger="1" minValue="1" maxValue="1000"/>
    </cacheField>
    <cacheField name="Order ID" numFmtId="0">
      <sharedItems/>
    </cacheField>
    <cacheField name="Order Date" numFmtId="14">
      <sharedItems containsSemiMixedTypes="0" containsNonDate="0" containsDate="1" containsString="0" minDate="2016-01-04T00:00:00" maxDate="2019-12-31T00:00:00"/>
    </cacheField>
    <cacheField name="Ship Mode" numFmtId="0">
      <sharedItems count="4">
        <s v="Second Class"/>
        <s v="Standard Class"/>
        <s v="First Class"/>
        <s v="Same Day"/>
      </sharedItems>
    </cacheField>
    <cacheField name="Customer Name" numFmtId="0">
      <sharedItems count="362">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haredItems>
    </cacheField>
    <cacheField name="City" numFmtId="0">
      <sharedItems/>
    </cacheField>
    <cacheField name="State" numFmtId="0">
      <sharedItems count="40">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haredItems>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acheField>
    <cacheField name="Product Name" numFmtId="0">
      <sharedItems count="763">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haredItems>
    </cacheField>
    <cacheField name="Sales" numFmtId="164">
      <sharedItems containsSemiMixedTypes="0" containsString="0" containsNumber="1" minValue="1.0800000000000003" maxValue="8159.9519999999993"/>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164">
      <sharedItems containsSemiMixedTypes="0" containsString="0" containsNumber="1" minValue="-3839.9903999999988" maxValue="3177.4749999999999"/>
    </cacheField>
    <cacheField name="Amount" numFmtId="164">
      <sharedItems containsSemiMixedTypes="0" containsString="0" containsNumber="1" minValue="0.44479999999999975" maxValue="43515.81"/>
    </cacheField>
    <cacheField name="years" numFmtId="0">
      <sharedItems containsSemiMixedTypes="0" containsString="0" containsNumber="1" containsInteger="1" minValue="2016" maxValue="2019" count="4">
        <n v="2018"/>
        <n v="2017"/>
        <n v="2016"/>
        <n v="2019"/>
      </sharedItems>
    </cacheField>
    <cacheField name="month name" numFmtId="0">
      <sharedItems count="12">
        <s v="Nov"/>
        <s v="Jun"/>
        <s v="Oct"/>
        <s v="Apr"/>
        <s v="Dec"/>
        <s v="May"/>
        <s v="Aug"/>
        <s v="Jul"/>
        <s v="Sep"/>
        <s v="Jan"/>
        <s v="Mar"/>
        <s v="Feb"/>
      </sharedItems>
    </cacheField>
  </cacheFields>
  <extLst>
    <ext xmlns:x14="http://schemas.microsoft.com/office/spreadsheetml/2009/9/main" uri="{725AE2AE-9491-48be-B2B4-4EB974FC3084}">
      <x14:pivotCacheDefinition pivotCacheId="5134179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s v="CA-2018-152156"/>
    <d v="2018-11-08T00:00:00"/>
    <x v="0"/>
    <x v="0"/>
    <s v="Henderson"/>
    <x v="0"/>
    <x v="0"/>
    <x v="0"/>
    <s v="Bookcases"/>
    <x v="0"/>
    <n v="261.95999999999998"/>
    <n v="2"/>
    <n v="0"/>
    <n v="41.913600000000002"/>
    <n v="523.91999999999996"/>
    <x v="0"/>
    <x v="0"/>
  </r>
  <r>
    <n v="2"/>
    <s v="CA-2018-152156"/>
    <d v="2018-11-08T00:00:00"/>
    <x v="0"/>
    <x v="0"/>
    <s v="Henderson"/>
    <x v="0"/>
    <x v="0"/>
    <x v="0"/>
    <s v="Chairs"/>
    <x v="1"/>
    <n v="731.93999999999994"/>
    <n v="3"/>
    <n v="0"/>
    <n v="219.58199999999997"/>
    <n v="2195.8199999999997"/>
    <x v="0"/>
    <x v="0"/>
  </r>
  <r>
    <n v="3"/>
    <s v="CA-2018-138688"/>
    <d v="2018-06-12T00:00:00"/>
    <x v="0"/>
    <x v="1"/>
    <s v="Los Angeles"/>
    <x v="1"/>
    <x v="1"/>
    <x v="1"/>
    <s v="Labels"/>
    <x v="2"/>
    <n v="14.62"/>
    <n v="2"/>
    <n v="0"/>
    <n v="6.8713999999999995"/>
    <n v="29.24"/>
    <x v="0"/>
    <x v="1"/>
  </r>
  <r>
    <n v="4"/>
    <s v="US-2017-108966"/>
    <d v="2017-10-11T00:00:00"/>
    <x v="1"/>
    <x v="2"/>
    <s v="Fort Lauderdale"/>
    <x v="2"/>
    <x v="0"/>
    <x v="0"/>
    <s v="Tables"/>
    <x v="3"/>
    <n v="957.57749999999999"/>
    <n v="5"/>
    <n v="0.45"/>
    <n v="-383.03100000000006"/>
    <n v="2633.3381250000002"/>
    <x v="1"/>
    <x v="2"/>
  </r>
  <r>
    <n v="5"/>
    <s v="US-2017-108966"/>
    <d v="2017-10-11T00:00:00"/>
    <x v="1"/>
    <x v="2"/>
    <s v="Fort Lauderdale"/>
    <x v="2"/>
    <x v="0"/>
    <x v="1"/>
    <s v="Storage"/>
    <x v="4"/>
    <n v="22.368000000000002"/>
    <n v="2"/>
    <n v="0.2"/>
    <n v="2.5163999999999991"/>
    <n v="35.788800000000002"/>
    <x v="1"/>
    <x v="2"/>
  </r>
  <r>
    <n v="6"/>
    <s v="CA-2016-115812"/>
    <d v="2016-06-09T00:00:00"/>
    <x v="1"/>
    <x v="3"/>
    <s v="Los Angeles"/>
    <x v="1"/>
    <x v="1"/>
    <x v="0"/>
    <s v="Furnishings"/>
    <x v="5"/>
    <n v="48.86"/>
    <n v="7"/>
    <n v="0"/>
    <n v="14.169399999999996"/>
    <n v="342.02"/>
    <x v="2"/>
    <x v="1"/>
  </r>
  <r>
    <n v="7"/>
    <s v="CA-2016-115812"/>
    <d v="2016-06-09T00:00:00"/>
    <x v="1"/>
    <x v="3"/>
    <s v="Los Angeles"/>
    <x v="1"/>
    <x v="1"/>
    <x v="1"/>
    <s v="Art"/>
    <x v="6"/>
    <n v="7.28"/>
    <n v="4"/>
    <n v="0"/>
    <n v="1.9656000000000002"/>
    <n v="29.12"/>
    <x v="2"/>
    <x v="1"/>
  </r>
  <r>
    <n v="8"/>
    <s v="CA-2016-115812"/>
    <d v="2016-06-09T00:00:00"/>
    <x v="1"/>
    <x v="3"/>
    <s v="Los Angeles"/>
    <x v="1"/>
    <x v="1"/>
    <x v="2"/>
    <s v="Phones"/>
    <x v="7"/>
    <n v="907.15200000000004"/>
    <n v="6"/>
    <n v="0.2"/>
    <n v="90.715200000000038"/>
    <n v="4354.3296"/>
    <x v="2"/>
    <x v="1"/>
  </r>
  <r>
    <n v="9"/>
    <s v="CA-2016-115812"/>
    <d v="2016-06-09T00:00:00"/>
    <x v="1"/>
    <x v="3"/>
    <s v="Los Angeles"/>
    <x v="1"/>
    <x v="1"/>
    <x v="1"/>
    <s v="Binders"/>
    <x v="8"/>
    <n v="18.504000000000001"/>
    <n v="3"/>
    <n v="0.2"/>
    <n v="5.7824999999999998"/>
    <n v="44.409600000000005"/>
    <x v="2"/>
    <x v="1"/>
  </r>
  <r>
    <n v="10"/>
    <s v="CA-2016-115812"/>
    <d v="2016-06-09T00:00:00"/>
    <x v="1"/>
    <x v="3"/>
    <s v="Los Angeles"/>
    <x v="1"/>
    <x v="1"/>
    <x v="1"/>
    <s v="Appliances"/>
    <x v="9"/>
    <n v="114.9"/>
    <n v="5"/>
    <n v="0"/>
    <n v="34.469999999999992"/>
    <n v="574.5"/>
    <x v="2"/>
    <x v="1"/>
  </r>
  <r>
    <n v="11"/>
    <s v="CA-2016-115812"/>
    <d v="2016-06-09T00:00:00"/>
    <x v="1"/>
    <x v="3"/>
    <s v="Los Angeles"/>
    <x v="1"/>
    <x v="1"/>
    <x v="0"/>
    <s v="Tables"/>
    <x v="10"/>
    <n v="1706.1840000000002"/>
    <n v="9"/>
    <n v="0.2"/>
    <n v="85.309199999999805"/>
    <n v="12284.524800000003"/>
    <x v="2"/>
    <x v="1"/>
  </r>
  <r>
    <n v="12"/>
    <s v="CA-2016-115812"/>
    <d v="2016-06-09T00:00:00"/>
    <x v="1"/>
    <x v="3"/>
    <s v="Los Angeles"/>
    <x v="1"/>
    <x v="1"/>
    <x v="2"/>
    <s v="Phones"/>
    <x v="11"/>
    <n v="911.42399999999998"/>
    <n v="4"/>
    <n v="0.2"/>
    <n v="68.356800000000021"/>
    <n v="2916.5568000000003"/>
    <x v="2"/>
    <x v="1"/>
  </r>
  <r>
    <n v="13"/>
    <s v="CA-2019-114412"/>
    <d v="2019-04-15T00:00:00"/>
    <x v="1"/>
    <x v="4"/>
    <s v="Concord"/>
    <x v="3"/>
    <x v="0"/>
    <x v="1"/>
    <s v="Paper"/>
    <x v="12"/>
    <n v="15.552000000000003"/>
    <n v="3"/>
    <n v="0.2"/>
    <n v="5.4432"/>
    <n v="37.324800000000003"/>
    <x v="3"/>
    <x v="3"/>
  </r>
  <r>
    <n v="14"/>
    <s v="CA-2018-161389"/>
    <d v="2018-12-05T00:00:00"/>
    <x v="1"/>
    <x v="5"/>
    <s v="Seattle"/>
    <x v="4"/>
    <x v="1"/>
    <x v="1"/>
    <s v="Binders"/>
    <x v="13"/>
    <n v="407.97600000000006"/>
    <n v="3"/>
    <n v="0.2"/>
    <n v="132.59219999999993"/>
    <n v="979.14240000000018"/>
    <x v="0"/>
    <x v="4"/>
  </r>
  <r>
    <n v="15"/>
    <s v="US-2017-118983"/>
    <d v="2017-11-22T00:00:00"/>
    <x v="1"/>
    <x v="6"/>
    <s v="Fort Worth"/>
    <x v="5"/>
    <x v="2"/>
    <x v="1"/>
    <s v="Appliances"/>
    <x v="14"/>
    <n v="68.809999999999988"/>
    <n v="5"/>
    <n v="0.8"/>
    <n v="-123.858"/>
    <n v="68.809999999999974"/>
    <x v="1"/>
    <x v="0"/>
  </r>
  <r>
    <n v="16"/>
    <s v="US-2017-118983"/>
    <d v="2017-11-22T00:00:00"/>
    <x v="1"/>
    <x v="6"/>
    <s v="Fort Worth"/>
    <x v="5"/>
    <x v="2"/>
    <x v="1"/>
    <s v="Binders"/>
    <x v="15"/>
    <n v="2.5439999999999996"/>
    <n v="3"/>
    <n v="0.8"/>
    <n v="-3.8160000000000016"/>
    <n v="1.5263999999999993"/>
    <x v="1"/>
    <x v="0"/>
  </r>
  <r>
    <n v="17"/>
    <s v="CA-2016-105893"/>
    <d v="2016-11-11T00:00:00"/>
    <x v="1"/>
    <x v="7"/>
    <s v="Madison"/>
    <x v="6"/>
    <x v="2"/>
    <x v="1"/>
    <s v="Storage"/>
    <x v="16"/>
    <n v="665.88"/>
    <n v="6"/>
    <n v="0"/>
    <n v="13.317599999999999"/>
    <n v="3995.2799999999997"/>
    <x v="2"/>
    <x v="0"/>
  </r>
  <r>
    <n v="18"/>
    <s v="CA-2016-167164"/>
    <d v="2016-05-13T00:00:00"/>
    <x v="0"/>
    <x v="8"/>
    <s v="West Jordan"/>
    <x v="7"/>
    <x v="1"/>
    <x v="1"/>
    <s v="Storage"/>
    <x v="17"/>
    <n v="55.5"/>
    <n v="2"/>
    <n v="0"/>
    <n v="9.9899999999999949"/>
    <n v="111"/>
    <x v="2"/>
    <x v="5"/>
  </r>
  <r>
    <n v="19"/>
    <s v="CA-2016-143336"/>
    <d v="2016-08-27T00:00:00"/>
    <x v="0"/>
    <x v="9"/>
    <s v="San Francisco"/>
    <x v="1"/>
    <x v="1"/>
    <x v="1"/>
    <s v="Art"/>
    <x v="18"/>
    <n v="8.56"/>
    <n v="2"/>
    <n v="0"/>
    <n v="2.4823999999999993"/>
    <n v="17.12"/>
    <x v="2"/>
    <x v="6"/>
  </r>
  <r>
    <n v="20"/>
    <s v="CA-2016-143336"/>
    <d v="2016-08-27T00:00:00"/>
    <x v="0"/>
    <x v="9"/>
    <s v="San Francisco"/>
    <x v="1"/>
    <x v="1"/>
    <x v="2"/>
    <s v="Phones"/>
    <x v="19"/>
    <n v="213.48000000000002"/>
    <n v="3"/>
    <n v="0.2"/>
    <n v="16.010999999999981"/>
    <n v="512.35200000000009"/>
    <x v="2"/>
    <x v="6"/>
  </r>
  <r>
    <n v="21"/>
    <s v="CA-2016-143336"/>
    <d v="2016-08-27T00:00:00"/>
    <x v="0"/>
    <x v="9"/>
    <s v="San Francisco"/>
    <x v="1"/>
    <x v="1"/>
    <x v="1"/>
    <s v="Binders"/>
    <x v="20"/>
    <n v="22.72"/>
    <n v="4"/>
    <n v="0.2"/>
    <n v="7.3839999999999986"/>
    <n v="72.703999999999994"/>
    <x v="2"/>
    <x v="6"/>
  </r>
  <r>
    <n v="22"/>
    <s v="CA-2018-137330"/>
    <d v="2018-12-09T00:00:00"/>
    <x v="1"/>
    <x v="10"/>
    <s v="Fremont"/>
    <x v="8"/>
    <x v="2"/>
    <x v="1"/>
    <s v="Art"/>
    <x v="21"/>
    <n v="19.459999999999997"/>
    <n v="7"/>
    <n v="0"/>
    <n v="5.0595999999999997"/>
    <n v="136.21999999999997"/>
    <x v="0"/>
    <x v="4"/>
  </r>
  <r>
    <n v="23"/>
    <s v="CA-2018-137330"/>
    <d v="2018-12-09T00:00:00"/>
    <x v="1"/>
    <x v="10"/>
    <s v="Fremont"/>
    <x v="8"/>
    <x v="2"/>
    <x v="1"/>
    <s v="Appliances"/>
    <x v="22"/>
    <n v="60.339999999999996"/>
    <n v="7"/>
    <n v="0"/>
    <n v="15.688400000000001"/>
    <n v="422.38"/>
    <x v="0"/>
    <x v="4"/>
  </r>
  <r>
    <n v="24"/>
    <s v="US-2019-156909"/>
    <d v="2019-07-16T00:00:00"/>
    <x v="0"/>
    <x v="11"/>
    <s v="Philadelphia"/>
    <x v="9"/>
    <x v="3"/>
    <x v="0"/>
    <s v="Chairs"/>
    <x v="23"/>
    <n v="71.371999999999986"/>
    <n v="2"/>
    <n v="0.3"/>
    <n v="-1.0196000000000005"/>
    <n v="99.920799999999971"/>
    <x v="3"/>
    <x v="7"/>
  </r>
  <r>
    <n v="25"/>
    <s v="CA-2017-106320"/>
    <d v="2017-09-25T00:00:00"/>
    <x v="1"/>
    <x v="12"/>
    <s v="Orem"/>
    <x v="7"/>
    <x v="1"/>
    <x v="0"/>
    <s v="Tables"/>
    <x v="3"/>
    <n v="1044.6299999999999"/>
    <n v="3"/>
    <n v="0"/>
    <n v="240.26490000000001"/>
    <n v="3133.8899999999994"/>
    <x v="1"/>
    <x v="8"/>
  </r>
  <r>
    <n v="26"/>
    <s v="CA-2018-121755"/>
    <d v="2018-01-16T00:00:00"/>
    <x v="0"/>
    <x v="13"/>
    <s v="Los Angeles"/>
    <x v="1"/>
    <x v="1"/>
    <x v="1"/>
    <s v="Binders"/>
    <x v="24"/>
    <n v="11.648000000000001"/>
    <n v="2"/>
    <n v="0.2"/>
    <n v="4.2224000000000004"/>
    <n v="18.636800000000004"/>
    <x v="0"/>
    <x v="9"/>
  </r>
  <r>
    <n v="27"/>
    <s v="CA-2018-121755"/>
    <d v="2018-01-16T00:00:00"/>
    <x v="0"/>
    <x v="13"/>
    <s v="Los Angeles"/>
    <x v="1"/>
    <x v="1"/>
    <x v="2"/>
    <s v="Accessories"/>
    <x v="25"/>
    <n v="90.570000000000007"/>
    <n v="3"/>
    <n v="0"/>
    <n v="11.774100000000004"/>
    <n v="271.71000000000004"/>
    <x v="0"/>
    <x v="9"/>
  </r>
  <r>
    <n v="28"/>
    <s v="US-2017-150630"/>
    <d v="2017-09-17T00:00:00"/>
    <x v="1"/>
    <x v="14"/>
    <s v="Philadelphia"/>
    <x v="9"/>
    <x v="3"/>
    <x v="0"/>
    <s v="Bookcases"/>
    <x v="26"/>
    <n v="3083.4300000000003"/>
    <n v="7"/>
    <n v="0.5"/>
    <n v="-1665.0522000000001"/>
    <n v="10792.005000000001"/>
    <x v="1"/>
    <x v="8"/>
  </r>
  <r>
    <n v="29"/>
    <s v="US-2017-150630"/>
    <d v="2017-09-17T00:00:00"/>
    <x v="1"/>
    <x v="14"/>
    <s v="Philadelphia"/>
    <x v="9"/>
    <x v="3"/>
    <x v="1"/>
    <s v="Binders"/>
    <x v="27"/>
    <n v="9.6180000000000021"/>
    <n v="2"/>
    <n v="0.7"/>
    <n v="-7.0532000000000004"/>
    <n v="5.7708000000000022"/>
    <x v="1"/>
    <x v="8"/>
  </r>
  <r>
    <n v="30"/>
    <s v="US-2017-150630"/>
    <d v="2017-09-17T00:00:00"/>
    <x v="1"/>
    <x v="14"/>
    <s v="Philadelphia"/>
    <x v="9"/>
    <x v="3"/>
    <x v="0"/>
    <s v="Furnishings"/>
    <x v="28"/>
    <n v="124.20000000000002"/>
    <n v="3"/>
    <n v="0.2"/>
    <n v="15.524999999999991"/>
    <n v="298.08000000000004"/>
    <x v="1"/>
    <x v="8"/>
  </r>
  <r>
    <n v="31"/>
    <s v="US-2017-150630"/>
    <d v="2017-09-17T00:00:00"/>
    <x v="1"/>
    <x v="14"/>
    <s v="Philadelphia"/>
    <x v="9"/>
    <x v="3"/>
    <x v="1"/>
    <s v="Envelopes"/>
    <x v="29"/>
    <n v="3.2640000000000002"/>
    <n v="2"/>
    <n v="0.2"/>
    <n v="1.1015999999999997"/>
    <n v="5.2224000000000004"/>
    <x v="1"/>
    <x v="8"/>
  </r>
  <r>
    <n v="32"/>
    <s v="US-2017-150630"/>
    <d v="2017-09-17T00:00:00"/>
    <x v="1"/>
    <x v="14"/>
    <s v="Philadelphia"/>
    <x v="9"/>
    <x v="3"/>
    <x v="1"/>
    <s v="Art"/>
    <x v="30"/>
    <n v="86.304000000000002"/>
    <n v="6"/>
    <n v="0.2"/>
    <n v="9.7091999999999885"/>
    <n v="414.25920000000008"/>
    <x v="1"/>
    <x v="8"/>
  </r>
  <r>
    <n v="33"/>
    <s v="US-2017-150630"/>
    <d v="2017-09-17T00:00:00"/>
    <x v="1"/>
    <x v="14"/>
    <s v="Philadelphia"/>
    <x v="9"/>
    <x v="3"/>
    <x v="1"/>
    <s v="Binders"/>
    <x v="31"/>
    <n v="6.8580000000000014"/>
    <n v="6"/>
    <n v="0.7"/>
    <n v="-5.7149999999999999"/>
    <n v="12.344400000000006"/>
    <x v="1"/>
    <x v="8"/>
  </r>
  <r>
    <n v="34"/>
    <s v="US-2017-150630"/>
    <d v="2017-09-17T00:00:00"/>
    <x v="1"/>
    <x v="14"/>
    <s v="Philadelphia"/>
    <x v="9"/>
    <x v="3"/>
    <x v="1"/>
    <s v="Art"/>
    <x v="32"/>
    <n v="15.76"/>
    <n v="2"/>
    <n v="0.2"/>
    <n v="3.5460000000000007"/>
    <n v="25.216000000000001"/>
    <x v="1"/>
    <x v="8"/>
  </r>
  <r>
    <n v="35"/>
    <s v="CA-2019-107727"/>
    <d v="2019-10-19T00:00:00"/>
    <x v="0"/>
    <x v="15"/>
    <s v="Houston"/>
    <x v="5"/>
    <x v="2"/>
    <x v="1"/>
    <s v="Paper"/>
    <x v="33"/>
    <n v="29.472000000000001"/>
    <n v="3"/>
    <n v="0.2"/>
    <n v="9.9467999999999979"/>
    <n v="70.732799999999997"/>
    <x v="3"/>
    <x v="2"/>
  </r>
  <r>
    <n v="36"/>
    <s v="CA-2018-117590"/>
    <d v="2018-12-08T00:00:00"/>
    <x v="2"/>
    <x v="16"/>
    <s v="Richardson"/>
    <x v="5"/>
    <x v="2"/>
    <x v="2"/>
    <s v="Phones"/>
    <x v="34"/>
    <n v="1097.5440000000003"/>
    <n v="7"/>
    <n v="0.2"/>
    <n v="123.47369999999989"/>
    <n v="6146.2464000000027"/>
    <x v="0"/>
    <x v="4"/>
  </r>
  <r>
    <n v="37"/>
    <s v="CA-2018-117590"/>
    <d v="2018-12-08T00:00:00"/>
    <x v="2"/>
    <x v="16"/>
    <s v="Richardson"/>
    <x v="5"/>
    <x v="2"/>
    <x v="0"/>
    <s v="Furnishings"/>
    <x v="35"/>
    <n v="190.92"/>
    <n v="5"/>
    <n v="0.6"/>
    <n v="-147.96300000000002"/>
    <n v="381.84"/>
    <x v="0"/>
    <x v="4"/>
  </r>
  <r>
    <n v="38"/>
    <s v="CA-2017-117415"/>
    <d v="2017-12-27T00:00:00"/>
    <x v="1"/>
    <x v="17"/>
    <s v="Houston"/>
    <x v="5"/>
    <x v="2"/>
    <x v="1"/>
    <s v="Envelopes"/>
    <x v="36"/>
    <n v="113.328"/>
    <n v="9"/>
    <n v="0.2"/>
    <n v="35.414999999999999"/>
    <n v="815.96160000000009"/>
    <x v="1"/>
    <x v="4"/>
  </r>
  <r>
    <n v="39"/>
    <s v="CA-2017-117415"/>
    <d v="2017-12-27T00:00:00"/>
    <x v="1"/>
    <x v="17"/>
    <s v="Houston"/>
    <x v="5"/>
    <x v="2"/>
    <x v="0"/>
    <s v="Bookcases"/>
    <x v="37"/>
    <n v="532.39919999999995"/>
    <n v="3"/>
    <n v="0.32"/>
    <n v="-46.976400000000012"/>
    <n v="1086.0943679999998"/>
    <x v="1"/>
    <x v="4"/>
  </r>
  <r>
    <n v="40"/>
    <s v="CA-2017-117415"/>
    <d v="2017-12-27T00:00:00"/>
    <x v="1"/>
    <x v="17"/>
    <s v="Houston"/>
    <x v="5"/>
    <x v="2"/>
    <x v="0"/>
    <s v="Chairs"/>
    <x v="38"/>
    <n v="212.05799999999999"/>
    <n v="3"/>
    <n v="0.3"/>
    <n v="-15.146999999999991"/>
    <n v="445.32179999999994"/>
    <x v="1"/>
    <x v="4"/>
  </r>
  <r>
    <n v="41"/>
    <s v="CA-2017-117415"/>
    <d v="2017-12-27T00:00:00"/>
    <x v="1"/>
    <x v="17"/>
    <s v="Houston"/>
    <x v="5"/>
    <x v="2"/>
    <x v="2"/>
    <s v="Phones"/>
    <x v="39"/>
    <n v="371.16800000000001"/>
    <n v="4"/>
    <n v="0.2"/>
    <n v="41.756399999999957"/>
    <n v="1187.7376000000002"/>
    <x v="1"/>
    <x v="4"/>
  </r>
  <r>
    <n v="42"/>
    <s v="CA-2019-120999"/>
    <d v="2019-09-10T00:00:00"/>
    <x v="1"/>
    <x v="18"/>
    <s v="Naperville"/>
    <x v="10"/>
    <x v="2"/>
    <x v="2"/>
    <s v="Phones"/>
    <x v="40"/>
    <n v="147.16800000000001"/>
    <n v="4"/>
    <n v="0.2"/>
    <n v="16.556399999999996"/>
    <n v="470.93760000000003"/>
    <x v="3"/>
    <x v="8"/>
  </r>
  <r>
    <n v="43"/>
    <s v="CA-2018-101343"/>
    <d v="2018-07-17T00:00:00"/>
    <x v="1"/>
    <x v="19"/>
    <s v="Los Angeles"/>
    <x v="1"/>
    <x v="1"/>
    <x v="1"/>
    <s v="Storage"/>
    <x v="41"/>
    <n v="77.88"/>
    <n v="2"/>
    <n v="0"/>
    <n v="3.8939999999999912"/>
    <n v="155.76"/>
    <x v="0"/>
    <x v="7"/>
  </r>
  <r>
    <n v="44"/>
    <s v="CA-2019-139619"/>
    <d v="2019-09-19T00:00:00"/>
    <x v="1"/>
    <x v="20"/>
    <s v="Melbourne"/>
    <x v="2"/>
    <x v="0"/>
    <x v="1"/>
    <s v="Storage"/>
    <x v="42"/>
    <n v="95.616"/>
    <n v="2"/>
    <n v="0.2"/>
    <n v="9.5616000000000092"/>
    <n v="152.98560000000001"/>
    <x v="3"/>
    <x v="8"/>
  </r>
  <r>
    <n v="45"/>
    <s v="CA-2018-118255"/>
    <d v="2018-03-11T00:00:00"/>
    <x v="2"/>
    <x v="21"/>
    <s v="Eagan"/>
    <x v="11"/>
    <x v="2"/>
    <x v="2"/>
    <s v="Accessories"/>
    <x v="43"/>
    <n v="45.98"/>
    <n v="2"/>
    <n v="0"/>
    <n v="19.7714"/>
    <n v="91.96"/>
    <x v="0"/>
    <x v="10"/>
  </r>
  <r>
    <n v="46"/>
    <s v="CA-2018-118255"/>
    <d v="2018-03-11T00:00:00"/>
    <x v="2"/>
    <x v="21"/>
    <s v="Eagan"/>
    <x v="11"/>
    <x v="2"/>
    <x v="1"/>
    <s v="Binders"/>
    <x v="44"/>
    <n v="17.46"/>
    <n v="2"/>
    <n v="0"/>
    <n v="8.2061999999999991"/>
    <n v="34.92"/>
    <x v="0"/>
    <x v="10"/>
  </r>
  <r>
    <n v="47"/>
    <s v="CA-2016-146703"/>
    <d v="2016-10-20T00:00:00"/>
    <x v="0"/>
    <x v="22"/>
    <s v="Westland"/>
    <x v="12"/>
    <x v="2"/>
    <x v="1"/>
    <s v="Storage"/>
    <x v="45"/>
    <n v="211.96"/>
    <n v="4"/>
    <n v="0"/>
    <n v="8.4783999999999935"/>
    <n v="847.84"/>
    <x v="2"/>
    <x v="2"/>
  </r>
  <r>
    <n v="48"/>
    <s v="CA-2018-169194"/>
    <d v="2018-06-20T00:00:00"/>
    <x v="1"/>
    <x v="23"/>
    <s v="Dover"/>
    <x v="13"/>
    <x v="3"/>
    <x v="2"/>
    <s v="Accessories"/>
    <x v="46"/>
    <n v="45"/>
    <n v="3"/>
    <n v="0"/>
    <n v="4.9500000000000011"/>
    <n v="135"/>
    <x v="0"/>
    <x v="1"/>
  </r>
  <r>
    <n v="49"/>
    <s v="CA-2018-169194"/>
    <d v="2018-06-20T00:00:00"/>
    <x v="1"/>
    <x v="23"/>
    <s v="Dover"/>
    <x v="13"/>
    <x v="3"/>
    <x v="2"/>
    <s v="Phones"/>
    <x v="47"/>
    <n v="21.8"/>
    <n v="2"/>
    <n v="0"/>
    <n v="6.104000000000001"/>
    <n v="43.6"/>
    <x v="0"/>
    <x v="1"/>
  </r>
  <r>
    <n v="50"/>
    <s v="CA-2017-115742"/>
    <d v="2017-04-18T00:00:00"/>
    <x v="1"/>
    <x v="24"/>
    <s v="New Albany"/>
    <x v="14"/>
    <x v="2"/>
    <x v="1"/>
    <s v="Binders"/>
    <x v="48"/>
    <n v="38.22"/>
    <n v="6"/>
    <n v="0"/>
    <n v="17.9634"/>
    <n v="229.32"/>
    <x v="1"/>
    <x v="3"/>
  </r>
  <r>
    <n v="51"/>
    <s v="CA-2017-115742"/>
    <d v="2017-04-18T00:00:00"/>
    <x v="1"/>
    <x v="24"/>
    <s v="New Albany"/>
    <x v="14"/>
    <x v="2"/>
    <x v="1"/>
    <s v="Labels"/>
    <x v="49"/>
    <n v="75.179999999999993"/>
    <n v="6"/>
    <n v="0"/>
    <n v="35.334599999999995"/>
    <n v="451.07999999999993"/>
    <x v="1"/>
    <x v="3"/>
  </r>
  <r>
    <n v="52"/>
    <s v="CA-2017-115742"/>
    <d v="2017-04-18T00:00:00"/>
    <x v="1"/>
    <x v="24"/>
    <s v="New Albany"/>
    <x v="14"/>
    <x v="2"/>
    <x v="0"/>
    <s v="Furnishings"/>
    <x v="50"/>
    <n v="6.16"/>
    <n v="2"/>
    <n v="0"/>
    <n v="2.9567999999999999"/>
    <n v="12.32"/>
    <x v="1"/>
    <x v="3"/>
  </r>
  <r>
    <n v="53"/>
    <s v="CA-2017-115742"/>
    <d v="2017-04-18T00:00:00"/>
    <x v="1"/>
    <x v="24"/>
    <s v="New Albany"/>
    <x v="14"/>
    <x v="2"/>
    <x v="0"/>
    <s v="Chairs"/>
    <x v="51"/>
    <n v="89.99"/>
    <n v="1"/>
    <n v="0"/>
    <n v="17.098099999999988"/>
    <n v="89.99"/>
    <x v="1"/>
    <x v="3"/>
  </r>
  <r>
    <n v="54"/>
    <s v="CA-2018-105816"/>
    <d v="2018-12-11T00:00:00"/>
    <x v="1"/>
    <x v="25"/>
    <s v="New York City"/>
    <x v="15"/>
    <x v="3"/>
    <x v="1"/>
    <s v="Fasteners"/>
    <x v="52"/>
    <n v="15.260000000000002"/>
    <n v="7"/>
    <n v="0"/>
    <n v="6.2566000000000006"/>
    <n v="106.82000000000001"/>
    <x v="0"/>
    <x v="4"/>
  </r>
  <r>
    <n v="55"/>
    <s v="CA-2018-105816"/>
    <d v="2018-12-11T00:00:00"/>
    <x v="1"/>
    <x v="25"/>
    <s v="New York City"/>
    <x v="15"/>
    <x v="3"/>
    <x v="2"/>
    <s v="Phones"/>
    <x v="53"/>
    <n v="1029.95"/>
    <n v="5"/>
    <n v="0"/>
    <n v="298.68549999999999"/>
    <n v="5149.75"/>
    <x v="0"/>
    <x v="4"/>
  </r>
  <r>
    <n v="56"/>
    <s v="CA-2018-111682"/>
    <d v="2018-06-17T00:00:00"/>
    <x v="2"/>
    <x v="26"/>
    <s v="Troy"/>
    <x v="15"/>
    <x v="3"/>
    <x v="1"/>
    <s v="Storage"/>
    <x v="54"/>
    <n v="208.56"/>
    <n v="6"/>
    <n v="0"/>
    <n v="52.139999999999986"/>
    <n v="1251.3600000000001"/>
    <x v="0"/>
    <x v="1"/>
  </r>
  <r>
    <n v="57"/>
    <s v="CA-2018-111682"/>
    <d v="2018-06-17T00:00:00"/>
    <x v="2"/>
    <x v="26"/>
    <s v="Troy"/>
    <x v="15"/>
    <x v="3"/>
    <x v="1"/>
    <s v="Paper"/>
    <x v="55"/>
    <n v="32.400000000000006"/>
    <n v="5"/>
    <n v="0"/>
    <n v="15.552000000000001"/>
    <n v="162.00000000000003"/>
    <x v="0"/>
    <x v="1"/>
  </r>
  <r>
    <n v="58"/>
    <s v="CA-2018-111682"/>
    <d v="2018-06-17T00:00:00"/>
    <x v="2"/>
    <x v="26"/>
    <s v="Troy"/>
    <x v="15"/>
    <x v="3"/>
    <x v="0"/>
    <s v="Chairs"/>
    <x v="56"/>
    <n v="319.41000000000003"/>
    <n v="5"/>
    <n v="0.1"/>
    <n v="7.0980000000000061"/>
    <n v="1437.3450000000003"/>
    <x v="0"/>
    <x v="1"/>
  </r>
  <r>
    <n v="59"/>
    <s v="CA-2018-111682"/>
    <d v="2018-06-17T00:00:00"/>
    <x v="2"/>
    <x v="26"/>
    <s v="Troy"/>
    <x v="15"/>
    <x v="3"/>
    <x v="1"/>
    <s v="Paper"/>
    <x v="57"/>
    <n v="14.56"/>
    <n v="2"/>
    <n v="0"/>
    <n v="6.9888000000000003"/>
    <n v="29.12"/>
    <x v="0"/>
    <x v="1"/>
  </r>
  <r>
    <n v="60"/>
    <s v="CA-2018-111682"/>
    <d v="2018-06-17T00:00:00"/>
    <x v="2"/>
    <x v="26"/>
    <s v="Troy"/>
    <x v="15"/>
    <x v="3"/>
    <x v="2"/>
    <s v="Accessories"/>
    <x v="46"/>
    <n v="30"/>
    <n v="2"/>
    <n v="0"/>
    <n v="3.3000000000000007"/>
    <n v="60"/>
    <x v="0"/>
    <x v="1"/>
  </r>
  <r>
    <n v="61"/>
    <s v="CA-2018-111682"/>
    <d v="2018-06-17T00:00:00"/>
    <x v="2"/>
    <x v="26"/>
    <s v="Troy"/>
    <x v="15"/>
    <x v="3"/>
    <x v="1"/>
    <s v="Binders"/>
    <x v="58"/>
    <n v="48.480000000000004"/>
    <n v="4"/>
    <n v="0.2"/>
    <n v="16.361999999999998"/>
    <n v="155.13600000000002"/>
    <x v="0"/>
    <x v="1"/>
  </r>
  <r>
    <n v="62"/>
    <s v="CA-2018-111682"/>
    <d v="2018-06-17T00:00:00"/>
    <x v="2"/>
    <x v="26"/>
    <s v="Troy"/>
    <x v="15"/>
    <x v="3"/>
    <x v="1"/>
    <s v="Art"/>
    <x v="59"/>
    <n v="1.68"/>
    <n v="1"/>
    <n v="0"/>
    <n v="0.84"/>
    <n v="1.68"/>
    <x v="0"/>
    <x v="1"/>
  </r>
  <r>
    <n v="63"/>
    <s v="CA-2017-135545"/>
    <d v="2017-11-24T00:00:00"/>
    <x v="1"/>
    <x v="27"/>
    <s v="Los Angeles"/>
    <x v="1"/>
    <x v="1"/>
    <x v="2"/>
    <s v="Accessories"/>
    <x v="60"/>
    <n v="13.98"/>
    <n v="2"/>
    <n v="0"/>
    <n v="6.1512000000000011"/>
    <n v="27.96"/>
    <x v="1"/>
    <x v="0"/>
  </r>
  <r>
    <n v="64"/>
    <s v="CA-2017-135545"/>
    <d v="2017-11-24T00:00:00"/>
    <x v="1"/>
    <x v="27"/>
    <s v="Los Angeles"/>
    <x v="1"/>
    <x v="1"/>
    <x v="1"/>
    <s v="Binders"/>
    <x v="61"/>
    <n v="25.824000000000002"/>
    <n v="6"/>
    <n v="0.2"/>
    <n v="9.3612000000000002"/>
    <n v="123.95520000000002"/>
    <x v="1"/>
    <x v="0"/>
  </r>
  <r>
    <n v="65"/>
    <s v="CA-2017-135545"/>
    <d v="2017-11-24T00:00:00"/>
    <x v="1"/>
    <x v="27"/>
    <s v="Los Angeles"/>
    <x v="1"/>
    <x v="1"/>
    <x v="1"/>
    <s v="Paper"/>
    <x v="62"/>
    <n v="146.72999999999999"/>
    <n v="3"/>
    <n v="0"/>
    <n v="68.963099999999997"/>
    <n v="440.18999999999994"/>
    <x v="1"/>
    <x v="0"/>
  </r>
  <r>
    <n v="66"/>
    <s v="CA-2017-135545"/>
    <d v="2017-11-24T00:00:00"/>
    <x v="1"/>
    <x v="27"/>
    <s v="Los Angeles"/>
    <x v="1"/>
    <x v="1"/>
    <x v="0"/>
    <s v="Furnishings"/>
    <x v="63"/>
    <n v="79.760000000000005"/>
    <n v="4"/>
    <n v="0"/>
    <n v="22.332800000000006"/>
    <n v="319.04000000000002"/>
    <x v="1"/>
    <x v="0"/>
  </r>
  <r>
    <n v="67"/>
    <s v="US-2017-164175"/>
    <d v="2017-04-30T00:00:00"/>
    <x v="1"/>
    <x v="28"/>
    <s v="Chicago"/>
    <x v="10"/>
    <x v="2"/>
    <x v="0"/>
    <s v="Chairs"/>
    <x v="64"/>
    <n v="213.11499999999998"/>
    <n v="5"/>
    <n v="0.3"/>
    <n v="-15.222500000000011"/>
    <n v="745.9024999999998"/>
    <x v="1"/>
    <x v="3"/>
  </r>
  <r>
    <n v="68"/>
    <s v="CA-2016-106376"/>
    <d v="2016-12-05T00:00:00"/>
    <x v="1"/>
    <x v="29"/>
    <s v="Gilbert"/>
    <x v="16"/>
    <x v="1"/>
    <x v="1"/>
    <s v="Art"/>
    <x v="65"/>
    <n v="1113.0240000000001"/>
    <n v="8"/>
    <n v="0.2"/>
    <n v="111.30239999999998"/>
    <n v="7123.3536000000013"/>
    <x v="2"/>
    <x v="4"/>
  </r>
  <r>
    <n v="69"/>
    <s v="CA-2016-106376"/>
    <d v="2016-12-05T00:00:00"/>
    <x v="1"/>
    <x v="29"/>
    <s v="Gilbert"/>
    <x v="16"/>
    <x v="1"/>
    <x v="2"/>
    <s v="Phones"/>
    <x v="66"/>
    <n v="167.96800000000002"/>
    <n v="4"/>
    <n v="0.2"/>
    <n v="62.988"/>
    <n v="537.49760000000003"/>
    <x v="2"/>
    <x v="4"/>
  </r>
  <r>
    <n v="70"/>
    <s v="CA-2018-119823"/>
    <d v="2018-06-04T00:00:00"/>
    <x v="2"/>
    <x v="30"/>
    <s v="Springfield"/>
    <x v="17"/>
    <x v="0"/>
    <x v="1"/>
    <s v="Paper"/>
    <x v="67"/>
    <n v="75.88"/>
    <n v="2"/>
    <n v="0"/>
    <n v="35.663599999999995"/>
    <n v="151.76"/>
    <x v="0"/>
    <x v="1"/>
  </r>
  <r>
    <n v="71"/>
    <s v="CA-2018-106075"/>
    <d v="2018-09-18T00:00:00"/>
    <x v="1"/>
    <x v="31"/>
    <s v="New York City"/>
    <x v="15"/>
    <x v="3"/>
    <x v="1"/>
    <s v="Binders"/>
    <x v="68"/>
    <n v="4.6159999999999997"/>
    <n v="1"/>
    <n v="0.2"/>
    <n v="1.7309999999999999"/>
    <n v="3.6928000000000001"/>
    <x v="0"/>
    <x v="8"/>
  </r>
  <r>
    <n v="72"/>
    <s v="CA-2019-114440"/>
    <d v="2019-09-14T00:00:00"/>
    <x v="0"/>
    <x v="14"/>
    <s v="Jackson"/>
    <x v="12"/>
    <x v="2"/>
    <x v="1"/>
    <s v="Paper"/>
    <x v="69"/>
    <n v="19.049999999999997"/>
    <n v="3"/>
    <n v="0"/>
    <n v="8.7629999999999999"/>
    <n v="57.149999999999991"/>
    <x v="3"/>
    <x v="8"/>
  </r>
  <r>
    <n v="73"/>
    <s v="US-2017-134026"/>
    <d v="2017-04-26T00:00:00"/>
    <x v="1"/>
    <x v="32"/>
    <s v="Memphis"/>
    <x v="18"/>
    <x v="0"/>
    <x v="0"/>
    <s v="Chairs"/>
    <x v="70"/>
    <n v="831.93600000000015"/>
    <n v="8"/>
    <n v="0.2"/>
    <n v="-114.39120000000003"/>
    <n v="5324.3904000000011"/>
    <x v="1"/>
    <x v="3"/>
  </r>
  <r>
    <n v="74"/>
    <s v="US-2017-134026"/>
    <d v="2017-04-26T00:00:00"/>
    <x v="1"/>
    <x v="32"/>
    <s v="Memphis"/>
    <x v="18"/>
    <x v="0"/>
    <x v="0"/>
    <s v="Furnishings"/>
    <x v="71"/>
    <n v="97.04"/>
    <n v="2"/>
    <n v="0.2"/>
    <n v="1.2129999999999974"/>
    <n v="155.26400000000001"/>
    <x v="1"/>
    <x v="3"/>
  </r>
  <r>
    <n v="75"/>
    <s v="US-2017-134026"/>
    <d v="2017-04-26T00:00:00"/>
    <x v="1"/>
    <x v="32"/>
    <s v="Memphis"/>
    <x v="18"/>
    <x v="0"/>
    <x v="1"/>
    <s v="Storage"/>
    <x v="72"/>
    <n v="72.784000000000006"/>
    <n v="1"/>
    <n v="0.2"/>
    <n v="-18.196000000000002"/>
    <n v="58.227200000000011"/>
    <x v="1"/>
    <x v="3"/>
  </r>
  <r>
    <n v="76"/>
    <s v="US-2019-118038"/>
    <d v="2019-12-09T00:00:00"/>
    <x v="2"/>
    <x v="33"/>
    <s v="Houston"/>
    <x v="5"/>
    <x v="2"/>
    <x v="1"/>
    <s v="Binders"/>
    <x v="73"/>
    <n v="1.2479999999999998"/>
    <n v="3"/>
    <n v="0.8"/>
    <n v="-1.9344000000000006"/>
    <n v="0.74879999999999969"/>
    <x v="3"/>
    <x v="4"/>
  </r>
  <r>
    <n v="77"/>
    <s v="US-2019-118038"/>
    <d v="2019-12-09T00:00:00"/>
    <x v="2"/>
    <x v="33"/>
    <s v="Houston"/>
    <x v="5"/>
    <x v="2"/>
    <x v="0"/>
    <s v="Furnishings"/>
    <x v="74"/>
    <n v="9.7080000000000002"/>
    <n v="3"/>
    <n v="0.6"/>
    <n v="-5.8248000000000015"/>
    <n v="11.649600000000001"/>
    <x v="3"/>
    <x v="4"/>
  </r>
  <r>
    <n v="78"/>
    <s v="US-2019-118038"/>
    <d v="2019-12-09T00:00:00"/>
    <x v="2"/>
    <x v="33"/>
    <s v="Houston"/>
    <x v="5"/>
    <x v="2"/>
    <x v="1"/>
    <s v="Storage"/>
    <x v="75"/>
    <n v="27.240000000000002"/>
    <n v="3"/>
    <n v="0.2"/>
    <n v="2.724000000000002"/>
    <n v="65.376000000000005"/>
    <x v="3"/>
    <x v="4"/>
  </r>
  <r>
    <n v="79"/>
    <s v="US-2016-147606"/>
    <d v="2016-11-26T00:00:00"/>
    <x v="0"/>
    <x v="32"/>
    <s v="Houston"/>
    <x v="5"/>
    <x v="2"/>
    <x v="0"/>
    <s v="Furnishings"/>
    <x v="76"/>
    <n v="19.3"/>
    <n v="5"/>
    <n v="0.6"/>
    <n v="-14.475000000000001"/>
    <n v="38.6"/>
    <x v="2"/>
    <x v="0"/>
  </r>
  <r>
    <n v="80"/>
    <s v="CA-2018-127208"/>
    <d v="2018-06-12T00:00:00"/>
    <x v="2"/>
    <x v="34"/>
    <s v="Decatur"/>
    <x v="19"/>
    <x v="0"/>
    <x v="1"/>
    <s v="Appliances"/>
    <x v="77"/>
    <n v="208.16"/>
    <n v="1"/>
    <n v="0"/>
    <n v="56.20320000000001"/>
    <n v="208.16"/>
    <x v="0"/>
    <x v="1"/>
  </r>
  <r>
    <n v="81"/>
    <s v="CA-2018-127208"/>
    <d v="2018-06-12T00:00:00"/>
    <x v="2"/>
    <x v="34"/>
    <s v="Decatur"/>
    <x v="19"/>
    <x v="0"/>
    <x v="1"/>
    <s v="Binders"/>
    <x v="78"/>
    <n v="16.740000000000002"/>
    <n v="3"/>
    <n v="0"/>
    <n v="8.0351999999999997"/>
    <n v="50.220000000000006"/>
    <x v="0"/>
    <x v="1"/>
  </r>
  <r>
    <n v="82"/>
    <s v="CA-2016-139451"/>
    <d v="2016-10-12T00:00:00"/>
    <x v="1"/>
    <x v="35"/>
    <s v="San Francisco"/>
    <x v="1"/>
    <x v="1"/>
    <x v="1"/>
    <s v="Art"/>
    <x v="79"/>
    <n v="14.9"/>
    <n v="5"/>
    <n v="0"/>
    <n v="4.1720000000000006"/>
    <n v="74.5"/>
    <x v="2"/>
    <x v="2"/>
  </r>
  <r>
    <n v="83"/>
    <s v="CA-2016-139451"/>
    <d v="2016-10-12T00:00:00"/>
    <x v="1"/>
    <x v="35"/>
    <s v="San Francisco"/>
    <x v="1"/>
    <x v="1"/>
    <x v="1"/>
    <s v="Storage"/>
    <x v="80"/>
    <n v="21.39"/>
    <n v="1"/>
    <n v="0"/>
    <n v="6.2030999999999992"/>
    <n v="21.39"/>
    <x v="2"/>
    <x v="2"/>
  </r>
  <r>
    <n v="84"/>
    <s v="CA-2017-149734"/>
    <d v="2017-09-03T00:00:00"/>
    <x v="1"/>
    <x v="36"/>
    <s v="Durham"/>
    <x v="3"/>
    <x v="0"/>
    <x v="1"/>
    <s v="Envelopes"/>
    <x v="81"/>
    <n v="200.98400000000004"/>
    <n v="7"/>
    <n v="0.2"/>
    <n v="62.807499999999976"/>
    <n v="1125.5104000000003"/>
    <x v="1"/>
    <x v="8"/>
  </r>
  <r>
    <n v="85"/>
    <s v="US-2019-119662"/>
    <d v="2019-11-13T00:00:00"/>
    <x v="2"/>
    <x v="37"/>
    <s v="Chicago"/>
    <x v="10"/>
    <x v="2"/>
    <x v="1"/>
    <s v="Storage"/>
    <x v="82"/>
    <n v="230.376"/>
    <n v="3"/>
    <n v="0.2"/>
    <n v="-48.954900000000002"/>
    <n v="552.90240000000006"/>
    <x v="3"/>
    <x v="0"/>
  </r>
  <r>
    <n v="86"/>
    <s v="CA-2019-140088"/>
    <d v="2019-05-28T00:00:00"/>
    <x v="0"/>
    <x v="22"/>
    <s v="Columbia"/>
    <x v="20"/>
    <x v="0"/>
    <x v="0"/>
    <s v="Chairs"/>
    <x v="83"/>
    <n v="301.95999999999998"/>
    <n v="2"/>
    <n v="0"/>
    <n v="33.215599999999995"/>
    <n v="603.91999999999996"/>
    <x v="3"/>
    <x v="5"/>
  </r>
  <r>
    <n v="87"/>
    <s v="CA-2019-155558"/>
    <d v="2019-10-26T00:00:00"/>
    <x v="1"/>
    <x v="38"/>
    <s v="Rochester"/>
    <x v="11"/>
    <x v="2"/>
    <x v="2"/>
    <s v="Accessories"/>
    <x v="84"/>
    <n v="19.989999999999998"/>
    <n v="1"/>
    <n v="0"/>
    <n v="6.796599999999998"/>
    <n v="19.989999999999998"/>
    <x v="3"/>
    <x v="2"/>
  </r>
  <r>
    <n v="88"/>
    <s v="CA-2019-155558"/>
    <d v="2019-10-26T00:00:00"/>
    <x v="1"/>
    <x v="38"/>
    <s v="Rochester"/>
    <x v="11"/>
    <x v="2"/>
    <x v="1"/>
    <s v="Labels"/>
    <x v="85"/>
    <n v="6.16"/>
    <n v="2"/>
    <n v="0"/>
    <n v="2.9567999999999999"/>
    <n v="12.32"/>
    <x v="3"/>
    <x v="2"/>
  </r>
  <r>
    <n v="89"/>
    <s v="CA-2018-159695"/>
    <d v="2018-04-05T00:00:00"/>
    <x v="0"/>
    <x v="39"/>
    <s v="Houston"/>
    <x v="5"/>
    <x v="2"/>
    <x v="1"/>
    <s v="Storage"/>
    <x v="86"/>
    <n v="158.36800000000002"/>
    <n v="7"/>
    <n v="0.2"/>
    <n v="13.857199999999999"/>
    <n v="886.86080000000027"/>
    <x v="0"/>
    <x v="3"/>
  </r>
  <r>
    <n v="90"/>
    <s v="CA-2018-109806"/>
    <d v="2018-09-17T00:00:00"/>
    <x v="1"/>
    <x v="40"/>
    <s v="Los Angeles"/>
    <x v="1"/>
    <x v="1"/>
    <x v="1"/>
    <s v="Art"/>
    <x v="87"/>
    <n v="20.100000000000001"/>
    <n v="3"/>
    <n v="0"/>
    <n v="6.6329999999999982"/>
    <n v="60.300000000000004"/>
    <x v="0"/>
    <x v="8"/>
  </r>
  <r>
    <n v="91"/>
    <s v="CA-2018-109806"/>
    <d v="2018-09-17T00:00:00"/>
    <x v="1"/>
    <x v="40"/>
    <s v="Los Angeles"/>
    <x v="1"/>
    <x v="1"/>
    <x v="2"/>
    <s v="Phones"/>
    <x v="40"/>
    <n v="73.584000000000003"/>
    <n v="2"/>
    <n v="0.2"/>
    <n v="8.2781999999999982"/>
    <n v="117.73440000000001"/>
    <x v="0"/>
    <x v="8"/>
  </r>
  <r>
    <n v="92"/>
    <s v="CA-2018-109806"/>
    <d v="2018-09-17T00:00:00"/>
    <x v="1"/>
    <x v="40"/>
    <s v="Los Angeles"/>
    <x v="1"/>
    <x v="1"/>
    <x v="1"/>
    <s v="Paper"/>
    <x v="88"/>
    <n v="6.48"/>
    <n v="1"/>
    <n v="0"/>
    <n v="3.1104000000000003"/>
    <n v="6.48"/>
    <x v="0"/>
    <x v="8"/>
  </r>
  <r>
    <n v="93"/>
    <s v="CA-2017-149587"/>
    <d v="2017-01-31T00:00:00"/>
    <x v="0"/>
    <x v="41"/>
    <s v="Minneapolis"/>
    <x v="11"/>
    <x v="2"/>
    <x v="1"/>
    <s v="Paper"/>
    <x v="89"/>
    <n v="12.96"/>
    <n v="2"/>
    <n v="0"/>
    <n v="6.2208000000000006"/>
    <n v="25.92"/>
    <x v="1"/>
    <x v="9"/>
  </r>
  <r>
    <n v="94"/>
    <s v="CA-2017-149587"/>
    <d v="2017-01-31T00:00:00"/>
    <x v="0"/>
    <x v="41"/>
    <s v="Minneapolis"/>
    <x v="11"/>
    <x v="2"/>
    <x v="0"/>
    <s v="Furnishings"/>
    <x v="90"/>
    <n v="53.34"/>
    <n v="3"/>
    <n v="0"/>
    <n v="16.535399999999996"/>
    <n v="160.02000000000001"/>
    <x v="1"/>
    <x v="9"/>
  </r>
  <r>
    <n v="95"/>
    <s v="CA-2017-149587"/>
    <d v="2017-01-31T00:00:00"/>
    <x v="0"/>
    <x v="41"/>
    <s v="Minneapolis"/>
    <x v="11"/>
    <x v="2"/>
    <x v="1"/>
    <s v="Binders"/>
    <x v="91"/>
    <n v="32.96"/>
    <n v="2"/>
    <n v="0"/>
    <n v="16.150400000000001"/>
    <n v="65.92"/>
    <x v="1"/>
    <x v="9"/>
  </r>
  <r>
    <n v="96"/>
    <s v="US-2019-109484"/>
    <d v="2019-11-06T00:00:00"/>
    <x v="1"/>
    <x v="42"/>
    <s v="Portland"/>
    <x v="21"/>
    <x v="1"/>
    <x v="1"/>
    <s v="Binders"/>
    <x v="92"/>
    <n v="5.6820000000000013"/>
    <n v="1"/>
    <n v="0.7"/>
    <n v="-3.7880000000000003"/>
    <n v="1.7046000000000006"/>
    <x v="3"/>
    <x v="0"/>
  </r>
  <r>
    <n v="97"/>
    <s v="CA-2019-161018"/>
    <d v="2019-11-09T00:00:00"/>
    <x v="0"/>
    <x v="43"/>
    <s v="New York City"/>
    <x v="15"/>
    <x v="3"/>
    <x v="0"/>
    <s v="Furnishings"/>
    <x v="93"/>
    <n v="96.53"/>
    <n v="7"/>
    <n v="0"/>
    <n v="40.5426"/>
    <n v="675.71"/>
    <x v="3"/>
    <x v="0"/>
  </r>
  <r>
    <n v="98"/>
    <s v="CA-2019-157833"/>
    <d v="2019-06-17T00:00:00"/>
    <x v="2"/>
    <x v="44"/>
    <s v="San Francisco"/>
    <x v="1"/>
    <x v="1"/>
    <x v="1"/>
    <s v="Binders"/>
    <x v="94"/>
    <n v="51.311999999999998"/>
    <n v="3"/>
    <n v="0.2"/>
    <n v="17.959199999999999"/>
    <n v="123.14879999999999"/>
    <x v="3"/>
    <x v="1"/>
  </r>
  <r>
    <n v="99"/>
    <s v="CA-2018-149223"/>
    <d v="2018-09-06T00:00:00"/>
    <x v="1"/>
    <x v="45"/>
    <s v="Saint Paul"/>
    <x v="11"/>
    <x v="2"/>
    <x v="1"/>
    <s v="Appliances"/>
    <x v="95"/>
    <n v="77.88"/>
    <n v="6"/>
    <n v="0"/>
    <n v="22.585199999999993"/>
    <n v="467.28"/>
    <x v="0"/>
    <x v="8"/>
  </r>
  <r>
    <n v="100"/>
    <s v="CA-2018-158568"/>
    <d v="2018-08-29T00:00:00"/>
    <x v="1"/>
    <x v="46"/>
    <s v="Chicago"/>
    <x v="10"/>
    <x v="2"/>
    <x v="1"/>
    <s v="Paper"/>
    <x v="96"/>
    <n v="64.623999999999995"/>
    <n v="7"/>
    <n v="0.2"/>
    <n v="22.618399999999994"/>
    <n v="361.89439999999996"/>
    <x v="0"/>
    <x v="6"/>
  </r>
  <r>
    <n v="101"/>
    <s v="CA-2018-158568"/>
    <d v="2018-08-29T00:00:00"/>
    <x v="1"/>
    <x v="46"/>
    <s v="Chicago"/>
    <x v="10"/>
    <x v="2"/>
    <x v="2"/>
    <s v="Accessories"/>
    <x v="97"/>
    <n v="95.976000000000013"/>
    <n v="3"/>
    <n v="0.2"/>
    <n v="-10.797300000000011"/>
    <n v="230.34240000000005"/>
    <x v="0"/>
    <x v="6"/>
  </r>
  <r>
    <n v="102"/>
    <s v="CA-2018-158568"/>
    <d v="2018-08-29T00:00:00"/>
    <x v="1"/>
    <x v="46"/>
    <s v="Chicago"/>
    <x v="10"/>
    <x v="2"/>
    <x v="1"/>
    <s v="Binders"/>
    <x v="98"/>
    <n v="1.7879999999999996"/>
    <n v="3"/>
    <n v="0.8"/>
    <n v="-3.0396000000000001"/>
    <n v="1.0727999999999995"/>
    <x v="0"/>
    <x v="6"/>
  </r>
  <r>
    <n v="103"/>
    <s v="CA-2018-129903"/>
    <d v="2018-12-01T00:00:00"/>
    <x v="0"/>
    <x v="47"/>
    <s v="Rochester"/>
    <x v="11"/>
    <x v="2"/>
    <x v="1"/>
    <s v="Paper"/>
    <x v="99"/>
    <n v="23.92"/>
    <n v="4"/>
    <n v="0"/>
    <n v="11.720800000000001"/>
    <n v="95.68"/>
    <x v="0"/>
    <x v="4"/>
  </r>
  <r>
    <n v="104"/>
    <s v="US-2017-156867"/>
    <d v="2017-11-13T00:00:00"/>
    <x v="1"/>
    <x v="48"/>
    <s v="Aurora"/>
    <x v="22"/>
    <x v="1"/>
    <x v="2"/>
    <s v="Accessories"/>
    <x v="100"/>
    <n v="238.89600000000002"/>
    <n v="6"/>
    <n v="0.2"/>
    <n v="-26.875800000000012"/>
    <n v="1146.7008000000003"/>
    <x v="1"/>
    <x v="0"/>
  </r>
  <r>
    <n v="105"/>
    <s v="US-2017-156867"/>
    <d v="2017-11-13T00:00:00"/>
    <x v="1"/>
    <x v="48"/>
    <s v="Aurora"/>
    <x v="22"/>
    <x v="1"/>
    <x v="0"/>
    <s v="Furnishings"/>
    <x v="101"/>
    <n v="102.35999999999999"/>
    <n v="3"/>
    <n v="0.2"/>
    <n v="-3.8385000000000105"/>
    <n v="245.66399999999996"/>
    <x v="1"/>
    <x v="0"/>
  </r>
  <r>
    <n v="106"/>
    <s v="US-2017-156867"/>
    <d v="2017-11-13T00:00:00"/>
    <x v="1"/>
    <x v="48"/>
    <s v="Aurora"/>
    <x v="22"/>
    <x v="1"/>
    <x v="1"/>
    <s v="Binders"/>
    <x v="102"/>
    <n v="36.882000000000005"/>
    <n v="3"/>
    <n v="0.7"/>
    <n v="-25.817399999999999"/>
    <n v="33.19380000000001"/>
    <x v="1"/>
    <x v="0"/>
  </r>
  <r>
    <n v="107"/>
    <s v="CA-2019-119004"/>
    <d v="2019-11-23T00:00:00"/>
    <x v="1"/>
    <x v="49"/>
    <s v="Charlotte"/>
    <x v="3"/>
    <x v="0"/>
    <x v="2"/>
    <s v="Accessories"/>
    <x v="103"/>
    <n v="74.112000000000009"/>
    <n v="8"/>
    <n v="0.2"/>
    <n v="17.601600000000001"/>
    <n v="474.31680000000006"/>
    <x v="3"/>
    <x v="0"/>
  </r>
  <r>
    <n v="108"/>
    <s v="CA-2019-119004"/>
    <d v="2019-11-23T00:00:00"/>
    <x v="1"/>
    <x v="49"/>
    <s v="Charlotte"/>
    <x v="3"/>
    <x v="0"/>
    <x v="2"/>
    <s v="Phones"/>
    <x v="104"/>
    <n v="27.992000000000004"/>
    <n v="1"/>
    <n v="0.2"/>
    <n v="2.0993999999999993"/>
    <n v="22.393600000000006"/>
    <x v="3"/>
    <x v="0"/>
  </r>
  <r>
    <n v="109"/>
    <s v="CA-2019-119004"/>
    <d v="2019-11-23T00:00:00"/>
    <x v="1"/>
    <x v="49"/>
    <s v="Charlotte"/>
    <x v="3"/>
    <x v="0"/>
    <x v="1"/>
    <s v="Art"/>
    <x v="105"/>
    <n v="3.3040000000000003"/>
    <n v="1"/>
    <n v="0.2"/>
    <n v="1.0737999999999999"/>
    <n v="2.6432000000000002"/>
    <x v="3"/>
    <x v="0"/>
  </r>
  <r>
    <n v="110"/>
    <s v="CA-2017-129476"/>
    <d v="2017-10-15T00:00:00"/>
    <x v="1"/>
    <x v="50"/>
    <s v="Orland Park"/>
    <x v="10"/>
    <x v="2"/>
    <x v="2"/>
    <s v="Accessories"/>
    <x v="106"/>
    <n v="339.96000000000004"/>
    <n v="5"/>
    <n v="0.2"/>
    <n v="67.991999999999962"/>
    <n v="1359.8400000000001"/>
    <x v="1"/>
    <x v="2"/>
  </r>
  <r>
    <n v="111"/>
    <s v="CA-2019-146780"/>
    <d v="2019-12-25T00:00:00"/>
    <x v="1"/>
    <x v="51"/>
    <s v="New York City"/>
    <x v="15"/>
    <x v="3"/>
    <x v="0"/>
    <s v="Furnishings"/>
    <x v="107"/>
    <n v="41.96"/>
    <n v="2"/>
    <n v="0"/>
    <n v="10.909600000000001"/>
    <n v="83.92"/>
    <x v="3"/>
    <x v="4"/>
  </r>
  <r>
    <n v="112"/>
    <s v="CA-2018-128867"/>
    <d v="2018-11-03T00:00:00"/>
    <x v="1"/>
    <x v="52"/>
    <s v="Urbandale"/>
    <x v="23"/>
    <x v="2"/>
    <x v="1"/>
    <s v="Art"/>
    <x v="108"/>
    <n v="75.959999999999994"/>
    <n v="2"/>
    <n v="0"/>
    <n v="22.78799999999999"/>
    <n v="151.91999999999999"/>
    <x v="0"/>
    <x v="0"/>
  </r>
  <r>
    <n v="113"/>
    <s v="CA-2018-128867"/>
    <d v="2018-11-03T00:00:00"/>
    <x v="1"/>
    <x v="52"/>
    <s v="Urbandale"/>
    <x v="23"/>
    <x v="2"/>
    <x v="1"/>
    <s v="Binders"/>
    <x v="109"/>
    <n v="27.240000000000002"/>
    <n v="6"/>
    <n v="0"/>
    <n v="13.3476"/>
    <n v="163.44"/>
    <x v="0"/>
    <x v="0"/>
  </r>
  <r>
    <n v="114"/>
    <s v="CA-2016-115259"/>
    <d v="2016-08-25T00:00:00"/>
    <x v="0"/>
    <x v="53"/>
    <s v="Columbus"/>
    <x v="24"/>
    <x v="3"/>
    <x v="1"/>
    <s v="Fasteners"/>
    <x v="110"/>
    <n v="40.096000000000004"/>
    <n v="14"/>
    <n v="0.2"/>
    <n v="14.534799999999997"/>
    <n v="449.07520000000005"/>
    <x v="2"/>
    <x v="6"/>
  </r>
  <r>
    <n v="115"/>
    <s v="CA-2016-115259"/>
    <d v="2016-08-25T00:00:00"/>
    <x v="0"/>
    <x v="53"/>
    <s v="Columbus"/>
    <x v="24"/>
    <x v="3"/>
    <x v="1"/>
    <s v="Envelopes"/>
    <x v="111"/>
    <n v="4.7200000000000006"/>
    <n v="2"/>
    <n v="0.2"/>
    <n v="1.6519999999999997"/>
    <n v="7.5520000000000014"/>
    <x v="2"/>
    <x v="6"/>
  </r>
  <r>
    <n v="116"/>
    <s v="CA-2016-115259"/>
    <d v="2016-08-25T00:00:00"/>
    <x v="0"/>
    <x v="53"/>
    <s v="Columbus"/>
    <x v="24"/>
    <x v="3"/>
    <x v="1"/>
    <s v="Paper"/>
    <x v="112"/>
    <n v="23.976000000000003"/>
    <n v="3"/>
    <n v="0.2"/>
    <n v="7.4924999999999988"/>
    <n v="57.542400000000015"/>
    <x v="2"/>
    <x v="6"/>
  </r>
  <r>
    <n v="117"/>
    <s v="CA-2016-115259"/>
    <d v="2016-08-25T00:00:00"/>
    <x v="0"/>
    <x v="53"/>
    <s v="Columbus"/>
    <x v="24"/>
    <x v="3"/>
    <x v="1"/>
    <s v="Envelopes"/>
    <x v="113"/>
    <n v="130.464"/>
    <n v="6"/>
    <n v="0.2"/>
    <n v="44.031599999999997"/>
    <n v="626.22720000000004"/>
    <x v="2"/>
    <x v="6"/>
  </r>
  <r>
    <n v="118"/>
    <s v="CA-2017-110457"/>
    <d v="2017-03-02T00:00:00"/>
    <x v="1"/>
    <x v="54"/>
    <s v="Seattle"/>
    <x v="4"/>
    <x v="1"/>
    <x v="0"/>
    <s v="Tables"/>
    <x v="114"/>
    <n v="787.53"/>
    <n v="3"/>
    <n v="0"/>
    <n v="165.38129999999995"/>
    <n v="2362.59"/>
    <x v="1"/>
    <x v="10"/>
  </r>
  <r>
    <n v="119"/>
    <s v="US-2017-136476"/>
    <d v="2017-04-05T00:00:00"/>
    <x v="1"/>
    <x v="55"/>
    <s v="Bristol"/>
    <x v="18"/>
    <x v="0"/>
    <x v="1"/>
    <s v="Binders"/>
    <x v="115"/>
    <n v="157.79400000000004"/>
    <n v="1"/>
    <n v="0.7"/>
    <n v="-115.71559999999999"/>
    <n v="47.338200000000022"/>
    <x v="1"/>
    <x v="3"/>
  </r>
  <r>
    <n v="120"/>
    <s v="CA-2018-103730"/>
    <d v="2018-06-12T00:00:00"/>
    <x v="2"/>
    <x v="56"/>
    <s v="Wilmington"/>
    <x v="13"/>
    <x v="3"/>
    <x v="0"/>
    <s v="Furnishings"/>
    <x v="116"/>
    <n v="47.04"/>
    <n v="3"/>
    <n v="0"/>
    <n v="18.345599999999997"/>
    <n v="141.12"/>
    <x v="0"/>
    <x v="1"/>
  </r>
  <r>
    <n v="121"/>
    <s v="CA-2018-103730"/>
    <d v="2018-06-12T00:00:00"/>
    <x v="2"/>
    <x v="56"/>
    <s v="Wilmington"/>
    <x v="13"/>
    <x v="3"/>
    <x v="1"/>
    <s v="Binders"/>
    <x v="8"/>
    <n v="30.84"/>
    <n v="4"/>
    <n v="0"/>
    <n v="13.878"/>
    <n v="123.36"/>
    <x v="0"/>
    <x v="1"/>
  </r>
  <r>
    <n v="122"/>
    <s v="CA-2018-103730"/>
    <d v="2018-06-12T00:00:00"/>
    <x v="2"/>
    <x v="56"/>
    <s v="Wilmington"/>
    <x v="13"/>
    <x v="3"/>
    <x v="1"/>
    <s v="Storage"/>
    <x v="117"/>
    <n v="226.56"/>
    <n v="6"/>
    <n v="0"/>
    <n v="63.436800000000005"/>
    <n v="1359.3600000000001"/>
    <x v="0"/>
    <x v="1"/>
  </r>
  <r>
    <n v="123"/>
    <s v="CA-2018-103730"/>
    <d v="2018-06-12T00:00:00"/>
    <x v="2"/>
    <x v="56"/>
    <s v="Wilmington"/>
    <x v="13"/>
    <x v="3"/>
    <x v="1"/>
    <s v="Envelopes"/>
    <x v="118"/>
    <n v="115.02"/>
    <n v="9"/>
    <n v="0"/>
    <n v="51.758999999999993"/>
    <n v="1035.18"/>
    <x v="0"/>
    <x v="1"/>
  </r>
  <r>
    <n v="124"/>
    <s v="CA-2018-103730"/>
    <d v="2018-06-12T00:00:00"/>
    <x v="2"/>
    <x v="56"/>
    <s v="Wilmington"/>
    <x v="13"/>
    <x v="3"/>
    <x v="2"/>
    <s v="Phones"/>
    <x v="119"/>
    <n v="68.040000000000006"/>
    <n v="7"/>
    <n v="0"/>
    <n v="19.731599999999997"/>
    <n v="476.28000000000003"/>
    <x v="0"/>
    <x v="1"/>
  </r>
  <r>
    <n v="125"/>
    <s v="US-2016-152030"/>
    <d v="2016-12-26T00:00:00"/>
    <x v="0"/>
    <x v="57"/>
    <s v="Houston"/>
    <x v="5"/>
    <x v="2"/>
    <x v="0"/>
    <s v="Chairs"/>
    <x v="120"/>
    <n v="600.55799999999999"/>
    <n v="3"/>
    <n v="0.3"/>
    <n v="-8.5794000000000779"/>
    <n v="1261.1717999999998"/>
    <x v="2"/>
    <x v="4"/>
  </r>
  <r>
    <n v="126"/>
    <s v="US-2016-134614"/>
    <d v="2016-09-20T00:00:00"/>
    <x v="1"/>
    <x v="58"/>
    <s v="Bloomington"/>
    <x v="10"/>
    <x v="2"/>
    <x v="0"/>
    <s v="Tables"/>
    <x v="121"/>
    <n v="617.70000000000005"/>
    <n v="6"/>
    <n v="0.5"/>
    <n v="-407.68200000000013"/>
    <n v="1853.1000000000001"/>
    <x v="2"/>
    <x v="8"/>
  </r>
  <r>
    <n v="127"/>
    <s v="US-2019-107272"/>
    <d v="2019-11-05T00:00:00"/>
    <x v="1"/>
    <x v="59"/>
    <s v="Phoenix"/>
    <x v="16"/>
    <x v="1"/>
    <x v="1"/>
    <s v="Binders"/>
    <x v="122"/>
    <n v="2.3880000000000003"/>
    <n v="2"/>
    <n v="0.7"/>
    <n v="-1.8308"/>
    <n v="1.4328000000000005"/>
    <x v="3"/>
    <x v="0"/>
  </r>
  <r>
    <n v="128"/>
    <s v="US-2019-107272"/>
    <d v="2019-11-05T00:00:00"/>
    <x v="1"/>
    <x v="59"/>
    <s v="Phoenix"/>
    <x v="16"/>
    <x v="1"/>
    <x v="1"/>
    <s v="Storage"/>
    <x v="123"/>
    <n v="243.99200000000002"/>
    <n v="7"/>
    <n v="0.2"/>
    <n v="30.498999999999981"/>
    <n v="1366.3552000000002"/>
    <x v="3"/>
    <x v="0"/>
  </r>
  <r>
    <n v="129"/>
    <s v="US-2018-125969"/>
    <d v="2018-11-06T00:00:00"/>
    <x v="0"/>
    <x v="60"/>
    <s v="Los Angeles"/>
    <x v="1"/>
    <x v="1"/>
    <x v="0"/>
    <s v="Chairs"/>
    <x v="124"/>
    <n v="81.424000000000007"/>
    <n v="2"/>
    <n v="0.2"/>
    <n v="-9.1601999999999961"/>
    <n v="130.2784"/>
    <x v="0"/>
    <x v="0"/>
  </r>
  <r>
    <n v="130"/>
    <s v="US-2018-125969"/>
    <d v="2018-11-06T00:00:00"/>
    <x v="0"/>
    <x v="60"/>
    <s v="Los Angeles"/>
    <x v="1"/>
    <x v="1"/>
    <x v="0"/>
    <s v="Furnishings"/>
    <x v="125"/>
    <n v="238.56"/>
    <n v="3"/>
    <n v="0"/>
    <n v="26.241599999999977"/>
    <n v="715.68000000000006"/>
    <x v="0"/>
    <x v="0"/>
  </r>
  <r>
    <n v="131"/>
    <s v="US-2019-164147"/>
    <d v="2019-02-02T00:00:00"/>
    <x v="2"/>
    <x v="61"/>
    <s v="Columbus"/>
    <x v="24"/>
    <x v="3"/>
    <x v="2"/>
    <s v="Phones"/>
    <x v="126"/>
    <n v="59.969999999999992"/>
    <n v="5"/>
    <n v="0.4"/>
    <n v="-11.993999999999993"/>
    <n v="179.90999999999997"/>
    <x v="3"/>
    <x v="11"/>
  </r>
  <r>
    <n v="132"/>
    <s v="US-2019-164147"/>
    <d v="2019-02-02T00:00:00"/>
    <x v="2"/>
    <x v="61"/>
    <s v="Columbus"/>
    <x v="24"/>
    <x v="3"/>
    <x v="1"/>
    <s v="Paper"/>
    <x v="127"/>
    <n v="78.304000000000002"/>
    <n v="2"/>
    <n v="0.2"/>
    <n v="29.363999999999997"/>
    <n v="125.28640000000001"/>
    <x v="3"/>
    <x v="11"/>
  </r>
  <r>
    <n v="133"/>
    <s v="US-2019-164147"/>
    <d v="2019-02-02T00:00:00"/>
    <x v="2"/>
    <x v="61"/>
    <s v="Columbus"/>
    <x v="24"/>
    <x v="3"/>
    <x v="1"/>
    <s v="Fasteners"/>
    <x v="128"/>
    <n v="21.456"/>
    <n v="9"/>
    <n v="0.2"/>
    <n v="6.9731999999999976"/>
    <n v="154.48320000000001"/>
    <x v="3"/>
    <x v="11"/>
  </r>
  <r>
    <n v="134"/>
    <s v="CA-2018-145583"/>
    <d v="2018-10-13T00:00:00"/>
    <x v="1"/>
    <x v="62"/>
    <s v="Roseville"/>
    <x v="1"/>
    <x v="1"/>
    <x v="1"/>
    <s v="Paper"/>
    <x v="129"/>
    <n v="20.04"/>
    <n v="3"/>
    <n v="0"/>
    <n v="9.6191999999999993"/>
    <n v="60.12"/>
    <x v="0"/>
    <x v="2"/>
  </r>
  <r>
    <n v="135"/>
    <s v="CA-2018-145583"/>
    <d v="2018-10-13T00:00:00"/>
    <x v="1"/>
    <x v="62"/>
    <s v="Roseville"/>
    <x v="1"/>
    <x v="1"/>
    <x v="1"/>
    <s v="Paper"/>
    <x v="130"/>
    <n v="35.44"/>
    <n v="1"/>
    <n v="0"/>
    <n v="16.656799999999997"/>
    <n v="35.44"/>
    <x v="0"/>
    <x v="2"/>
  </r>
  <r>
    <n v="136"/>
    <s v="CA-2018-145583"/>
    <d v="2018-10-13T00:00:00"/>
    <x v="1"/>
    <x v="62"/>
    <s v="Roseville"/>
    <x v="1"/>
    <x v="1"/>
    <x v="1"/>
    <s v="Art"/>
    <x v="131"/>
    <n v="11.52"/>
    <n v="4"/>
    <n v="0"/>
    <n v="3.4559999999999995"/>
    <n v="46.08"/>
    <x v="0"/>
    <x v="2"/>
  </r>
  <r>
    <n v="137"/>
    <s v="CA-2018-145583"/>
    <d v="2018-10-13T00:00:00"/>
    <x v="1"/>
    <x v="62"/>
    <s v="Roseville"/>
    <x v="1"/>
    <x v="1"/>
    <x v="1"/>
    <s v="Fasteners"/>
    <x v="132"/>
    <n v="4.0199999999999996"/>
    <n v="2"/>
    <n v="0"/>
    <n v="1.9697999999999998"/>
    <n v="8.0399999999999991"/>
    <x v="0"/>
    <x v="2"/>
  </r>
  <r>
    <n v="138"/>
    <s v="CA-2018-145583"/>
    <d v="2018-10-13T00:00:00"/>
    <x v="1"/>
    <x v="62"/>
    <s v="Roseville"/>
    <x v="1"/>
    <x v="1"/>
    <x v="1"/>
    <s v="Binders"/>
    <x v="133"/>
    <n v="76.176000000000002"/>
    <n v="3"/>
    <n v="0.2"/>
    <n v="26.661599999999996"/>
    <n v="182.82240000000002"/>
    <x v="0"/>
    <x v="2"/>
  </r>
  <r>
    <n v="139"/>
    <s v="CA-2018-145583"/>
    <d v="2018-10-13T00:00:00"/>
    <x v="1"/>
    <x v="62"/>
    <s v="Roseville"/>
    <x v="1"/>
    <x v="1"/>
    <x v="1"/>
    <s v="Supplies"/>
    <x v="134"/>
    <n v="65.88"/>
    <n v="6"/>
    <n v="0"/>
    <n v="18.446400000000004"/>
    <n v="395.28"/>
    <x v="0"/>
    <x v="2"/>
  </r>
  <r>
    <n v="140"/>
    <s v="CA-2018-145583"/>
    <d v="2018-10-13T00:00:00"/>
    <x v="1"/>
    <x v="62"/>
    <s v="Roseville"/>
    <x v="1"/>
    <x v="1"/>
    <x v="0"/>
    <s v="Furnishings"/>
    <x v="50"/>
    <n v="43.120000000000005"/>
    <n v="14"/>
    <n v="0"/>
    <n v="20.697599999999998"/>
    <n v="603.68000000000006"/>
    <x v="0"/>
    <x v="2"/>
  </r>
  <r>
    <n v="141"/>
    <s v="CA-2018-110366"/>
    <d v="2018-09-05T00:00:00"/>
    <x v="0"/>
    <x v="63"/>
    <s v="Philadelphia"/>
    <x v="9"/>
    <x v="3"/>
    <x v="0"/>
    <s v="Furnishings"/>
    <x v="28"/>
    <n v="82.800000000000011"/>
    <n v="2"/>
    <n v="0.2"/>
    <n v="10.349999999999994"/>
    <n v="132.48000000000002"/>
    <x v="0"/>
    <x v="8"/>
  </r>
  <r>
    <n v="142"/>
    <s v="CA-2019-106180"/>
    <d v="2019-09-18T00:00:00"/>
    <x v="1"/>
    <x v="64"/>
    <s v="San Francisco"/>
    <x v="1"/>
    <x v="1"/>
    <x v="1"/>
    <s v="Art"/>
    <x v="135"/>
    <n v="8.82"/>
    <n v="3"/>
    <n v="0"/>
    <n v="2.3814000000000002"/>
    <n v="26.46"/>
    <x v="3"/>
    <x v="8"/>
  </r>
  <r>
    <n v="143"/>
    <s v="CA-2019-106180"/>
    <d v="2019-09-18T00:00:00"/>
    <x v="1"/>
    <x v="64"/>
    <s v="San Francisco"/>
    <x v="1"/>
    <x v="1"/>
    <x v="1"/>
    <s v="Envelopes"/>
    <x v="136"/>
    <n v="10.86"/>
    <n v="3"/>
    <n v="0"/>
    <n v="5.1042000000000005"/>
    <n v="32.58"/>
    <x v="3"/>
    <x v="8"/>
  </r>
  <r>
    <n v="144"/>
    <s v="CA-2019-106180"/>
    <d v="2019-09-18T00:00:00"/>
    <x v="1"/>
    <x v="64"/>
    <s v="San Francisco"/>
    <x v="1"/>
    <x v="1"/>
    <x v="1"/>
    <s v="Paper"/>
    <x v="137"/>
    <n v="143.69999999999999"/>
    <n v="3"/>
    <n v="0"/>
    <n v="68.975999999999999"/>
    <n v="431.09999999999997"/>
    <x v="3"/>
    <x v="8"/>
  </r>
  <r>
    <n v="145"/>
    <s v="CA-2019-155376"/>
    <d v="2019-12-22T00:00:00"/>
    <x v="1"/>
    <x v="65"/>
    <s v="Independence"/>
    <x v="25"/>
    <x v="2"/>
    <x v="1"/>
    <s v="Appliances"/>
    <x v="138"/>
    <n v="839.43000000000006"/>
    <n v="3"/>
    <n v="0"/>
    <n v="218.25179999999997"/>
    <n v="2518.29"/>
    <x v="3"/>
    <x v="4"/>
  </r>
  <r>
    <n v="146"/>
    <s v="CA-2017-110744"/>
    <d v="2017-09-07T00:00:00"/>
    <x v="1"/>
    <x v="66"/>
    <s v="Pasadena"/>
    <x v="1"/>
    <x v="1"/>
    <x v="1"/>
    <s v="Storage"/>
    <x v="82"/>
    <n v="671.93"/>
    <n v="7"/>
    <n v="0"/>
    <n v="20.157899999999998"/>
    <n v="4703.5099999999993"/>
    <x v="1"/>
    <x v="8"/>
  </r>
  <r>
    <n v="147"/>
    <s v="CA-2016-110072"/>
    <d v="2016-10-22T00:00:00"/>
    <x v="1"/>
    <x v="67"/>
    <s v="Newark"/>
    <x v="24"/>
    <x v="3"/>
    <x v="0"/>
    <s v="Furnishings"/>
    <x v="139"/>
    <n v="93.888000000000005"/>
    <n v="4"/>
    <n v="0.2"/>
    <n v="12.90959999999999"/>
    <n v="300.44160000000005"/>
    <x v="2"/>
    <x v="2"/>
  </r>
  <r>
    <n v="148"/>
    <s v="CA-2018-114489"/>
    <d v="2018-12-05T00:00:00"/>
    <x v="1"/>
    <x v="68"/>
    <s v="Franklin"/>
    <x v="6"/>
    <x v="2"/>
    <x v="2"/>
    <s v="Phones"/>
    <x v="140"/>
    <n v="384.45000000000005"/>
    <n v="11"/>
    <n v="0"/>
    <n v="103.80150000000003"/>
    <n v="4228.9500000000007"/>
    <x v="0"/>
    <x v="4"/>
  </r>
  <r>
    <n v="149"/>
    <s v="CA-2018-114489"/>
    <d v="2018-12-05T00:00:00"/>
    <x v="1"/>
    <x v="68"/>
    <s v="Franklin"/>
    <x v="6"/>
    <x v="2"/>
    <x v="2"/>
    <s v="Phones"/>
    <x v="141"/>
    <n v="149.97"/>
    <n v="3"/>
    <n v="0"/>
    <n v="5.9987999999999815"/>
    <n v="449.90999999999997"/>
    <x v="0"/>
    <x v="4"/>
  </r>
  <r>
    <n v="150"/>
    <s v="CA-2018-114489"/>
    <d v="2018-12-05T00:00:00"/>
    <x v="1"/>
    <x v="68"/>
    <s v="Franklin"/>
    <x v="6"/>
    <x v="2"/>
    <x v="0"/>
    <s v="Chairs"/>
    <x v="1"/>
    <n v="1951.84"/>
    <n v="8"/>
    <n v="0"/>
    <n v="585.55199999999991"/>
    <n v="15614.72"/>
    <x v="0"/>
    <x v="4"/>
  </r>
  <r>
    <n v="151"/>
    <s v="CA-2018-114489"/>
    <d v="2018-12-05T00:00:00"/>
    <x v="1"/>
    <x v="68"/>
    <s v="Franklin"/>
    <x v="6"/>
    <x v="2"/>
    <x v="1"/>
    <s v="Binders"/>
    <x v="142"/>
    <n v="171.55"/>
    <n v="5"/>
    <n v="0"/>
    <n v="80.628500000000003"/>
    <n v="857.75"/>
    <x v="0"/>
    <x v="4"/>
  </r>
  <r>
    <n v="152"/>
    <s v="CA-2018-158834"/>
    <d v="2018-03-13T00:00:00"/>
    <x v="2"/>
    <x v="69"/>
    <s v="Scottsdale"/>
    <x v="16"/>
    <x v="1"/>
    <x v="1"/>
    <s v="Appliances"/>
    <x v="143"/>
    <n v="157.91999999999999"/>
    <n v="5"/>
    <n v="0.2"/>
    <n v="17.765999999999991"/>
    <n v="631.67999999999995"/>
    <x v="0"/>
    <x v="10"/>
  </r>
  <r>
    <n v="153"/>
    <s v="CA-2018-158834"/>
    <d v="2018-03-13T00:00:00"/>
    <x v="2"/>
    <x v="69"/>
    <s v="Scottsdale"/>
    <x v="16"/>
    <x v="1"/>
    <x v="2"/>
    <s v="Phones"/>
    <x v="144"/>
    <n v="203.184"/>
    <n v="2"/>
    <n v="0.2"/>
    <n v="15.238799999999991"/>
    <n v="325.09440000000001"/>
    <x v="0"/>
    <x v="10"/>
  </r>
  <r>
    <n v="154"/>
    <s v="CA-2017-124919"/>
    <d v="2017-05-31T00:00:00"/>
    <x v="2"/>
    <x v="70"/>
    <s v="San Jose"/>
    <x v="1"/>
    <x v="1"/>
    <x v="1"/>
    <s v="Paper"/>
    <x v="145"/>
    <n v="58.379999999999995"/>
    <n v="7"/>
    <n v="0"/>
    <n v="26.270999999999994"/>
    <n v="408.65999999999997"/>
    <x v="1"/>
    <x v="5"/>
  </r>
  <r>
    <n v="155"/>
    <s v="CA-2017-124919"/>
    <d v="2017-05-31T00:00:00"/>
    <x v="2"/>
    <x v="70"/>
    <s v="San Jose"/>
    <x v="1"/>
    <x v="1"/>
    <x v="1"/>
    <s v="Paper"/>
    <x v="146"/>
    <n v="105.52"/>
    <n v="4"/>
    <n v="0"/>
    <n v="48.539199999999994"/>
    <n v="422.08"/>
    <x v="1"/>
    <x v="5"/>
  </r>
  <r>
    <n v="156"/>
    <s v="CA-2017-124919"/>
    <d v="2017-05-31T00:00:00"/>
    <x v="2"/>
    <x v="70"/>
    <s v="San Jose"/>
    <x v="1"/>
    <x v="1"/>
    <x v="1"/>
    <s v="Storage"/>
    <x v="147"/>
    <n v="80.88"/>
    <n v="6"/>
    <n v="0"/>
    <n v="21.028799999999997"/>
    <n v="485.28"/>
    <x v="1"/>
    <x v="5"/>
  </r>
  <r>
    <n v="157"/>
    <s v="CA-2017-118948"/>
    <d v="2017-05-28T00:00:00"/>
    <x v="1"/>
    <x v="71"/>
    <s v="Seattle"/>
    <x v="4"/>
    <x v="1"/>
    <x v="1"/>
    <s v="Art"/>
    <x v="148"/>
    <n v="6.63"/>
    <n v="3"/>
    <n v="0"/>
    <n v="1.7901"/>
    <n v="19.89"/>
    <x v="1"/>
    <x v="5"/>
  </r>
  <r>
    <n v="158"/>
    <s v="CA-2016-104269"/>
    <d v="2016-03-01T00:00:00"/>
    <x v="0"/>
    <x v="72"/>
    <s v="Seattle"/>
    <x v="4"/>
    <x v="1"/>
    <x v="0"/>
    <s v="Chairs"/>
    <x v="120"/>
    <n v="457.56800000000004"/>
    <n v="2"/>
    <n v="0.2"/>
    <n v="51.476399999999941"/>
    <n v="732.10880000000009"/>
    <x v="2"/>
    <x v="10"/>
  </r>
  <r>
    <n v="159"/>
    <s v="CA-2018-114104"/>
    <d v="2018-11-20T00:00:00"/>
    <x v="1"/>
    <x v="73"/>
    <s v="Edmond"/>
    <x v="26"/>
    <x v="2"/>
    <x v="1"/>
    <s v="Labels"/>
    <x v="149"/>
    <n v="14.62"/>
    <n v="2"/>
    <n v="0"/>
    <n v="6.8713999999999995"/>
    <n v="29.24"/>
    <x v="0"/>
    <x v="0"/>
  </r>
  <r>
    <n v="160"/>
    <s v="CA-2018-114104"/>
    <d v="2018-11-20T00:00:00"/>
    <x v="1"/>
    <x v="73"/>
    <s v="Edmond"/>
    <x v="26"/>
    <x v="2"/>
    <x v="2"/>
    <s v="Phones"/>
    <x v="150"/>
    <n v="944.93000000000006"/>
    <n v="7"/>
    <n v="0"/>
    <n v="236.23250000000002"/>
    <n v="6614.51"/>
    <x v="0"/>
    <x v="0"/>
  </r>
  <r>
    <n v="161"/>
    <s v="CA-2018-162733"/>
    <d v="2018-05-11T00:00:00"/>
    <x v="2"/>
    <x v="74"/>
    <s v="Los Angeles"/>
    <x v="1"/>
    <x v="1"/>
    <x v="1"/>
    <s v="Paper"/>
    <x v="151"/>
    <n v="5.98"/>
    <n v="1"/>
    <n v="0"/>
    <n v="2.6909999999999998"/>
    <n v="5.98"/>
    <x v="0"/>
    <x v="5"/>
  </r>
  <r>
    <n v="162"/>
    <s v="CA-2017-119697"/>
    <d v="2017-12-28T00:00:00"/>
    <x v="0"/>
    <x v="75"/>
    <s v="Philadelphia"/>
    <x v="9"/>
    <x v="3"/>
    <x v="2"/>
    <s v="Accessories"/>
    <x v="152"/>
    <n v="54.384000000000007"/>
    <n v="2"/>
    <n v="0.2"/>
    <n v="1.359599999999995"/>
    <n v="87.014400000000023"/>
    <x v="1"/>
    <x v="4"/>
  </r>
  <r>
    <n v="163"/>
    <s v="CA-2018-154508"/>
    <d v="2018-11-16T00:00:00"/>
    <x v="1"/>
    <x v="76"/>
    <s v="Carlsbad"/>
    <x v="27"/>
    <x v="1"/>
    <x v="1"/>
    <s v="Envelopes"/>
    <x v="153"/>
    <n v="28.4"/>
    <n v="5"/>
    <n v="0"/>
    <n v="13.347999999999997"/>
    <n v="142"/>
    <x v="0"/>
    <x v="0"/>
  </r>
  <r>
    <n v="164"/>
    <s v="CA-2018-113817"/>
    <d v="2018-11-07T00:00:00"/>
    <x v="1"/>
    <x v="77"/>
    <s v="Seattle"/>
    <x v="4"/>
    <x v="1"/>
    <x v="1"/>
    <s v="Binders"/>
    <x v="154"/>
    <n v="27.680000000000003"/>
    <n v="2"/>
    <n v="0.2"/>
    <n v="9.6879999999999988"/>
    <n v="44.288000000000011"/>
    <x v="0"/>
    <x v="0"/>
  </r>
  <r>
    <n v="165"/>
    <s v="CA-2016-139892"/>
    <d v="2016-09-08T00:00:00"/>
    <x v="1"/>
    <x v="78"/>
    <s v="San Antonio"/>
    <x v="5"/>
    <x v="2"/>
    <x v="1"/>
    <s v="Art"/>
    <x v="155"/>
    <n v="9.9359999999999999"/>
    <n v="3"/>
    <n v="0.2"/>
    <n v="2.7324000000000002"/>
    <n v="23.846400000000003"/>
    <x v="2"/>
    <x v="8"/>
  </r>
  <r>
    <n v="166"/>
    <s v="CA-2016-139892"/>
    <d v="2016-09-08T00:00:00"/>
    <x v="1"/>
    <x v="78"/>
    <s v="San Antonio"/>
    <x v="5"/>
    <x v="2"/>
    <x v="2"/>
    <s v="Machines"/>
    <x v="156"/>
    <n v="8159.9519999999993"/>
    <n v="8"/>
    <n v="0.4"/>
    <n v="-1359.992000000002"/>
    <n v="39167.769599999992"/>
    <x v="2"/>
    <x v="8"/>
  </r>
  <r>
    <n v="167"/>
    <s v="CA-2016-139892"/>
    <d v="2016-09-08T00:00:00"/>
    <x v="1"/>
    <x v="78"/>
    <s v="San Antonio"/>
    <x v="5"/>
    <x v="2"/>
    <x v="1"/>
    <s v="Storage"/>
    <x v="157"/>
    <n v="275.928"/>
    <n v="3"/>
    <n v="0.2"/>
    <n v="-58.634699999999995"/>
    <n v="662.22720000000004"/>
    <x v="2"/>
    <x v="8"/>
  </r>
  <r>
    <n v="168"/>
    <s v="CA-2016-139892"/>
    <d v="2016-09-08T00:00:00"/>
    <x v="1"/>
    <x v="78"/>
    <s v="San Antonio"/>
    <x v="5"/>
    <x v="2"/>
    <x v="0"/>
    <s v="Chairs"/>
    <x v="158"/>
    <n v="1740.0599999999997"/>
    <n v="9"/>
    <n v="0.3"/>
    <n v="-24.858000000000175"/>
    <n v="10962.377999999997"/>
    <x v="2"/>
    <x v="8"/>
  </r>
  <r>
    <n v="169"/>
    <s v="CA-2016-139892"/>
    <d v="2016-09-08T00:00:00"/>
    <x v="1"/>
    <x v="78"/>
    <s v="San Antonio"/>
    <x v="5"/>
    <x v="2"/>
    <x v="1"/>
    <s v="Art"/>
    <x v="159"/>
    <n v="32.064"/>
    <n v="6"/>
    <n v="0.2"/>
    <n v="6.8135999999999974"/>
    <n v="153.90720000000002"/>
    <x v="2"/>
    <x v="8"/>
  </r>
  <r>
    <n v="170"/>
    <s v="CA-2016-139892"/>
    <d v="2016-09-08T00:00:00"/>
    <x v="1"/>
    <x v="78"/>
    <s v="San Antonio"/>
    <x v="5"/>
    <x v="2"/>
    <x v="1"/>
    <s v="Appliances"/>
    <x v="160"/>
    <n v="177.97999999999996"/>
    <n v="5"/>
    <n v="0.8"/>
    <n v="-453.84900000000005"/>
    <n v="177.97999999999993"/>
    <x v="2"/>
    <x v="8"/>
  </r>
  <r>
    <n v="171"/>
    <s v="CA-2016-139892"/>
    <d v="2016-09-08T00:00:00"/>
    <x v="1"/>
    <x v="78"/>
    <s v="San Antonio"/>
    <x v="5"/>
    <x v="2"/>
    <x v="2"/>
    <s v="Phones"/>
    <x v="161"/>
    <n v="143.976"/>
    <n v="3"/>
    <n v="0.2"/>
    <n v="8.998500000000007"/>
    <n v="345.54240000000004"/>
    <x v="2"/>
    <x v="8"/>
  </r>
  <r>
    <n v="172"/>
    <s v="CA-2016-118962"/>
    <d v="2016-08-05T00:00:00"/>
    <x v="1"/>
    <x v="79"/>
    <s v="Los Angeles"/>
    <x v="1"/>
    <x v="1"/>
    <x v="1"/>
    <s v="Paper"/>
    <x v="162"/>
    <n v="20.94"/>
    <n v="3"/>
    <n v="0"/>
    <n v="9.841800000000001"/>
    <n v="62.820000000000007"/>
    <x v="2"/>
    <x v="6"/>
  </r>
  <r>
    <n v="173"/>
    <s v="CA-2016-118962"/>
    <d v="2016-08-05T00:00:00"/>
    <x v="1"/>
    <x v="79"/>
    <s v="Los Angeles"/>
    <x v="1"/>
    <x v="1"/>
    <x v="1"/>
    <s v="Paper"/>
    <x v="163"/>
    <n v="110.96"/>
    <n v="2"/>
    <n v="0"/>
    <n v="53.260799999999996"/>
    <n v="221.92"/>
    <x v="2"/>
    <x v="6"/>
  </r>
  <r>
    <n v="174"/>
    <s v="CA-2016-118962"/>
    <d v="2016-08-05T00:00:00"/>
    <x v="1"/>
    <x v="79"/>
    <s v="Los Angeles"/>
    <x v="1"/>
    <x v="1"/>
    <x v="0"/>
    <s v="Chairs"/>
    <x v="164"/>
    <n v="340.14400000000006"/>
    <n v="7"/>
    <n v="0.2"/>
    <n v="21.259"/>
    <n v="1904.8064000000004"/>
    <x v="2"/>
    <x v="6"/>
  </r>
  <r>
    <n v="175"/>
    <s v="US-2016-100853"/>
    <d v="2016-09-14T00:00:00"/>
    <x v="1"/>
    <x v="80"/>
    <s v="Chicago"/>
    <x v="10"/>
    <x v="2"/>
    <x v="1"/>
    <s v="Appliances"/>
    <x v="165"/>
    <n v="52.447999999999993"/>
    <n v="2"/>
    <n v="0.8"/>
    <n v="-131.12000000000003"/>
    <n v="20.979199999999992"/>
    <x v="2"/>
    <x v="8"/>
  </r>
  <r>
    <n v="176"/>
    <s v="US-2016-100853"/>
    <d v="2016-09-14T00:00:00"/>
    <x v="1"/>
    <x v="80"/>
    <s v="Chicago"/>
    <x v="10"/>
    <x v="2"/>
    <x v="1"/>
    <s v="Labels"/>
    <x v="166"/>
    <n v="20.16"/>
    <n v="4"/>
    <n v="0.2"/>
    <n v="6.5519999999999987"/>
    <n v="64.512"/>
    <x v="2"/>
    <x v="8"/>
  </r>
  <r>
    <n v="177"/>
    <s v="US-2019-152366"/>
    <d v="2019-04-21T00:00:00"/>
    <x v="0"/>
    <x v="81"/>
    <s v="Houston"/>
    <x v="5"/>
    <x v="2"/>
    <x v="1"/>
    <s v="Appliances"/>
    <x v="167"/>
    <n v="97.263999999999982"/>
    <n v="4"/>
    <n v="0.8"/>
    <n v="-243.16000000000008"/>
    <n v="77.811199999999971"/>
    <x v="3"/>
    <x v="3"/>
  </r>
  <r>
    <n v="178"/>
    <s v="US-2017-101511"/>
    <d v="2017-11-21T00:00:00"/>
    <x v="0"/>
    <x v="32"/>
    <s v="Newark"/>
    <x v="24"/>
    <x v="3"/>
    <x v="0"/>
    <s v="Chairs"/>
    <x v="168"/>
    <n v="396.80200000000002"/>
    <n v="7"/>
    <n v="0.3"/>
    <n v="-11.337199999999939"/>
    <n v="1944.3298"/>
    <x v="1"/>
    <x v="0"/>
  </r>
  <r>
    <n v="179"/>
    <s v="US-2017-101511"/>
    <d v="2017-11-21T00:00:00"/>
    <x v="0"/>
    <x v="32"/>
    <s v="Newark"/>
    <x v="24"/>
    <x v="3"/>
    <x v="1"/>
    <s v="Supplies"/>
    <x v="169"/>
    <n v="15.88"/>
    <n v="5"/>
    <n v="0.2"/>
    <n v="-3.771500000000001"/>
    <n v="63.52000000000001"/>
    <x v="1"/>
    <x v="0"/>
  </r>
  <r>
    <n v="180"/>
    <s v="CA-2017-137225"/>
    <d v="2017-12-15T00:00:00"/>
    <x v="1"/>
    <x v="82"/>
    <s v="New York City"/>
    <x v="15"/>
    <x v="3"/>
    <x v="1"/>
    <s v="Art"/>
    <x v="170"/>
    <n v="3.28"/>
    <n v="1"/>
    <n v="0"/>
    <n v="1.4104000000000001"/>
    <n v="3.28"/>
    <x v="1"/>
    <x v="4"/>
  </r>
  <r>
    <n v="181"/>
    <s v="CA-2016-166191"/>
    <d v="2016-12-05T00:00:00"/>
    <x v="0"/>
    <x v="83"/>
    <s v="Decatur"/>
    <x v="10"/>
    <x v="2"/>
    <x v="1"/>
    <s v="Storage"/>
    <x v="171"/>
    <n v="24.816000000000003"/>
    <n v="2"/>
    <n v="0.2"/>
    <n v="1.8612000000000002"/>
    <n v="39.705600000000004"/>
    <x v="2"/>
    <x v="4"/>
  </r>
  <r>
    <n v="182"/>
    <s v="CA-2016-166191"/>
    <d v="2016-12-05T00:00:00"/>
    <x v="0"/>
    <x v="83"/>
    <s v="Decatur"/>
    <x v="10"/>
    <x v="2"/>
    <x v="2"/>
    <s v="Accessories"/>
    <x v="172"/>
    <n v="408.74399999999997"/>
    <n v="7"/>
    <n v="0.2"/>
    <n v="76.639499999999984"/>
    <n v="2288.9663999999998"/>
    <x v="2"/>
    <x v="4"/>
  </r>
  <r>
    <n v="183"/>
    <s v="CA-2016-158274"/>
    <d v="2016-11-19T00:00:00"/>
    <x v="0"/>
    <x v="84"/>
    <s v="Monroe"/>
    <x v="28"/>
    <x v="0"/>
    <x v="2"/>
    <s v="Phones"/>
    <x v="173"/>
    <n v="503.96"/>
    <n v="4"/>
    <n v="0"/>
    <n v="131.02960000000002"/>
    <n v="2015.84"/>
    <x v="2"/>
    <x v="0"/>
  </r>
  <r>
    <n v="184"/>
    <s v="CA-2016-158274"/>
    <d v="2016-11-19T00:00:00"/>
    <x v="0"/>
    <x v="84"/>
    <s v="Monroe"/>
    <x v="28"/>
    <x v="0"/>
    <x v="2"/>
    <s v="Phones"/>
    <x v="174"/>
    <n v="149.94999999999999"/>
    <n v="5"/>
    <n v="0"/>
    <n v="41.986000000000004"/>
    <n v="749.75"/>
    <x v="2"/>
    <x v="0"/>
  </r>
  <r>
    <n v="185"/>
    <s v="CA-2016-158274"/>
    <d v="2016-11-19T00:00:00"/>
    <x v="0"/>
    <x v="84"/>
    <s v="Monroe"/>
    <x v="28"/>
    <x v="0"/>
    <x v="2"/>
    <s v="Accessories"/>
    <x v="175"/>
    <n v="29"/>
    <n v="2"/>
    <n v="0"/>
    <n v="7.25"/>
    <n v="58"/>
    <x v="2"/>
    <x v="0"/>
  </r>
  <r>
    <n v="186"/>
    <s v="CA-2018-105018"/>
    <d v="2018-11-28T00:00:00"/>
    <x v="1"/>
    <x v="85"/>
    <s v="Fairfield"/>
    <x v="29"/>
    <x v="3"/>
    <x v="1"/>
    <s v="Binders"/>
    <x v="176"/>
    <n v="7.16"/>
    <n v="2"/>
    <n v="0"/>
    <n v="3.4367999999999999"/>
    <n v="14.32"/>
    <x v="0"/>
    <x v="0"/>
  </r>
  <r>
    <n v="187"/>
    <s v="CA-2016-123260"/>
    <d v="2016-08-26T00:00:00"/>
    <x v="1"/>
    <x v="86"/>
    <s v="Los Angeles"/>
    <x v="1"/>
    <x v="1"/>
    <x v="2"/>
    <s v="Accessories"/>
    <x v="177"/>
    <n v="176.8"/>
    <n v="8"/>
    <n v="0"/>
    <n v="22.984000000000009"/>
    <n v="1414.4"/>
    <x v="2"/>
    <x v="6"/>
  </r>
  <r>
    <n v="188"/>
    <s v="CA-2018-157000"/>
    <d v="2018-07-16T00:00:00"/>
    <x v="1"/>
    <x v="87"/>
    <s v="Grand Prairie"/>
    <x v="5"/>
    <x v="2"/>
    <x v="1"/>
    <s v="Storage"/>
    <x v="178"/>
    <n v="37.224000000000004"/>
    <n v="3"/>
    <n v="0.2"/>
    <n v="3.7224000000000004"/>
    <n v="89.337600000000009"/>
    <x v="0"/>
    <x v="7"/>
  </r>
  <r>
    <n v="189"/>
    <s v="CA-2018-157000"/>
    <d v="2018-07-16T00:00:00"/>
    <x v="1"/>
    <x v="87"/>
    <s v="Grand Prairie"/>
    <x v="5"/>
    <x v="2"/>
    <x v="1"/>
    <s v="Paper"/>
    <x v="145"/>
    <n v="20.016000000000002"/>
    <n v="3"/>
    <n v="0.2"/>
    <n v="6.2549999999999963"/>
    <n v="48.038400000000003"/>
    <x v="0"/>
    <x v="7"/>
  </r>
  <r>
    <n v="190"/>
    <s v="CA-2017-102281"/>
    <d v="2017-10-12T00:00:00"/>
    <x v="2"/>
    <x v="88"/>
    <s v="New York City"/>
    <x v="15"/>
    <x v="3"/>
    <x v="0"/>
    <s v="Bookcases"/>
    <x v="179"/>
    <n v="899.13600000000008"/>
    <n v="4"/>
    <n v="0.2"/>
    <n v="112.39199999999991"/>
    <n v="2877.2352000000005"/>
    <x v="1"/>
    <x v="2"/>
  </r>
  <r>
    <n v="191"/>
    <s v="CA-2017-102281"/>
    <d v="2017-10-12T00:00:00"/>
    <x v="2"/>
    <x v="88"/>
    <s v="New York City"/>
    <x v="15"/>
    <x v="3"/>
    <x v="2"/>
    <s v="Phones"/>
    <x v="180"/>
    <n v="71.760000000000005"/>
    <n v="6"/>
    <n v="0"/>
    <n v="20.092800000000004"/>
    <n v="430.56000000000006"/>
    <x v="1"/>
    <x v="2"/>
  </r>
  <r>
    <n v="192"/>
    <s v="CA-2017-102281"/>
    <d v="2017-10-12T00:00:00"/>
    <x v="2"/>
    <x v="88"/>
    <s v="New York City"/>
    <x v="15"/>
    <x v="3"/>
    <x v="1"/>
    <s v="Paper"/>
    <x v="181"/>
    <n v="51.84"/>
    <n v="8"/>
    <n v="0"/>
    <n v="24.883200000000002"/>
    <n v="414.72"/>
    <x v="1"/>
    <x v="2"/>
  </r>
  <r>
    <n v="193"/>
    <s v="CA-2017-102281"/>
    <d v="2017-10-12T00:00:00"/>
    <x v="2"/>
    <x v="88"/>
    <s v="New York City"/>
    <x v="15"/>
    <x v="3"/>
    <x v="0"/>
    <s v="Bookcases"/>
    <x v="37"/>
    <n v="626.35200000000009"/>
    <n v="3"/>
    <n v="0.2"/>
    <n v="46.976400000000012"/>
    <n v="1503.2448000000004"/>
    <x v="1"/>
    <x v="2"/>
  </r>
  <r>
    <n v="194"/>
    <s v="CA-2017-102281"/>
    <d v="2017-10-12T00:00:00"/>
    <x v="2"/>
    <x v="88"/>
    <s v="New York City"/>
    <x v="15"/>
    <x v="3"/>
    <x v="1"/>
    <s v="Art"/>
    <x v="182"/>
    <n v="19.899999999999999"/>
    <n v="5"/>
    <n v="0"/>
    <n v="6.5669999999999984"/>
    <n v="99.5"/>
    <x v="1"/>
    <x v="2"/>
  </r>
  <r>
    <n v="195"/>
    <s v="CA-2017-131457"/>
    <d v="2017-10-31T00:00:00"/>
    <x v="1"/>
    <x v="89"/>
    <s v="Redlands"/>
    <x v="1"/>
    <x v="1"/>
    <x v="1"/>
    <s v="Envelopes"/>
    <x v="29"/>
    <n v="14.280000000000001"/>
    <n v="7"/>
    <n v="0"/>
    <n v="6.7115999999999989"/>
    <n v="99.960000000000008"/>
    <x v="1"/>
    <x v="2"/>
  </r>
  <r>
    <n v="196"/>
    <s v="CA-2016-140004"/>
    <d v="2016-03-21T00:00:00"/>
    <x v="1"/>
    <x v="90"/>
    <s v="Hamilton"/>
    <x v="24"/>
    <x v="3"/>
    <x v="1"/>
    <s v="Art"/>
    <x v="183"/>
    <n v="7.4080000000000004"/>
    <n v="2"/>
    <n v="0.2"/>
    <n v="1.2037999999999995"/>
    <n v="11.852800000000002"/>
    <x v="2"/>
    <x v="10"/>
  </r>
  <r>
    <n v="197"/>
    <s v="CA-2016-140004"/>
    <d v="2016-03-21T00:00:00"/>
    <x v="1"/>
    <x v="90"/>
    <s v="Hamilton"/>
    <x v="24"/>
    <x v="3"/>
    <x v="1"/>
    <s v="Art"/>
    <x v="184"/>
    <n v="6.048"/>
    <n v="3"/>
    <n v="0.2"/>
    <n v="1.5876000000000006"/>
    <n v="14.5152"/>
    <x v="2"/>
    <x v="10"/>
  </r>
  <r>
    <n v="198"/>
    <s v="CA-2019-107720"/>
    <d v="2019-11-06T00:00:00"/>
    <x v="1"/>
    <x v="91"/>
    <s v="Westfield"/>
    <x v="30"/>
    <x v="3"/>
    <x v="1"/>
    <s v="Storage"/>
    <x v="185"/>
    <n v="46.26"/>
    <n v="3"/>
    <n v="0"/>
    <n v="12.0276"/>
    <n v="138.78"/>
    <x v="3"/>
    <x v="0"/>
  </r>
  <r>
    <n v="199"/>
    <s v="US-2019-124303"/>
    <d v="2019-07-06T00:00:00"/>
    <x v="1"/>
    <x v="92"/>
    <s v="Philadelphia"/>
    <x v="9"/>
    <x v="3"/>
    <x v="1"/>
    <s v="Binders"/>
    <x v="186"/>
    <n v="2.9460000000000006"/>
    <n v="2"/>
    <n v="0.7"/>
    <n v="-2.2585999999999995"/>
    <n v="1.7676000000000007"/>
    <x v="3"/>
    <x v="7"/>
  </r>
  <r>
    <n v="200"/>
    <s v="US-2019-124303"/>
    <d v="2019-07-06T00:00:00"/>
    <x v="1"/>
    <x v="92"/>
    <s v="Philadelphia"/>
    <x v="9"/>
    <x v="3"/>
    <x v="1"/>
    <s v="Paper"/>
    <x v="187"/>
    <n v="16.056000000000001"/>
    <n v="3"/>
    <n v="0.2"/>
    <n v="5.8203000000000005"/>
    <n v="38.534400000000005"/>
    <x v="3"/>
    <x v="7"/>
  </r>
  <r>
    <n v="201"/>
    <s v="CA-2019-105074"/>
    <d v="2019-06-24T00:00:00"/>
    <x v="1"/>
    <x v="93"/>
    <s v="Akron"/>
    <x v="24"/>
    <x v="3"/>
    <x v="1"/>
    <s v="Paper"/>
    <x v="188"/>
    <n v="21.744000000000003"/>
    <n v="3"/>
    <n v="0.2"/>
    <n v="6.794999999999999"/>
    <n v="52.185600000000015"/>
    <x v="3"/>
    <x v="1"/>
  </r>
  <r>
    <n v="202"/>
    <s v="CA-2016-133690"/>
    <d v="2016-08-03T00:00:00"/>
    <x v="2"/>
    <x v="94"/>
    <s v="Denver"/>
    <x v="22"/>
    <x v="1"/>
    <x v="0"/>
    <s v="Tables"/>
    <x v="189"/>
    <n v="218.75"/>
    <n v="2"/>
    <n v="0.5"/>
    <n v="-161.875"/>
    <n v="218.75"/>
    <x v="2"/>
    <x v="6"/>
  </r>
  <r>
    <n v="203"/>
    <s v="CA-2016-133690"/>
    <d v="2016-08-03T00:00:00"/>
    <x v="2"/>
    <x v="94"/>
    <s v="Denver"/>
    <x v="22"/>
    <x v="1"/>
    <x v="1"/>
    <s v="Appliances"/>
    <x v="190"/>
    <n v="2.6"/>
    <n v="1"/>
    <n v="0.2"/>
    <n v="0.29249999999999987"/>
    <n v="2.08"/>
    <x v="2"/>
    <x v="6"/>
  </r>
  <r>
    <n v="204"/>
    <s v="US-2019-116701"/>
    <d v="2019-12-17T00:00:00"/>
    <x v="0"/>
    <x v="95"/>
    <s v="Dallas"/>
    <x v="5"/>
    <x v="2"/>
    <x v="1"/>
    <s v="Appliances"/>
    <x v="191"/>
    <n v="66.283999999999992"/>
    <n v="2"/>
    <n v="0.8"/>
    <n v="-178.96680000000001"/>
    <n v="26.51359999999999"/>
    <x v="3"/>
    <x v="4"/>
  </r>
  <r>
    <n v="205"/>
    <s v="CA-2019-126382"/>
    <d v="2019-06-03T00:00:00"/>
    <x v="1"/>
    <x v="96"/>
    <s v="Franklin"/>
    <x v="18"/>
    <x v="0"/>
    <x v="0"/>
    <s v="Furnishings"/>
    <x v="192"/>
    <n v="35.168000000000006"/>
    <n v="7"/>
    <n v="0.2"/>
    <n v="9.6712000000000025"/>
    <n v="196.94080000000005"/>
    <x v="3"/>
    <x v="1"/>
  </r>
  <r>
    <n v="206"/>
    <s v="CA-2019-108329"/>
    <d v="2019-12-09T00:00:00"/>
    <x v="1"/>
    <x v="97"/>
    <s v="Whittier"/>
    <x v="1"/>
    <x v="1"/>
    <x v="2"/>
    <s v="Phones"/>
    <x v="193"/>
    <n v="444.76800000000003"/>
    <n v="4"/>
    <n v="0.2"/>
    <n v="44.476800000000026"/>
    <n v="1423.2576000000001"/>
    <x v="3"/>
    <x v="4"/>
  </r>
  <r>
    <n v="207"/>
    <s v="CA-2019-135860"/>
    <d v="2019-12-01T00:00:00"/>
    <x v="1"/>
    <x v="98"/>
    <s v="Saginaw"/>
    <x v="12"/>
    <x v="2"/>
    <x v="1"/>
    <s v="Storage"/>
    <x v="194"/>
    <n v="83.92"/>
    <n v="4"/>
    <n v="0"/>
    <n v="5.8743999999999943"/>
    <n v="335.68"/>
    <x v="3"/>
    <x v="4"/>
  </r>
  <r>
    <n v="208"/>
    <s v="CA-2019-135860"/>
    <d v="2019-12-01T00:00:00"/>
    <x v="1"/>
    <x v="98"/>
    <s v="Saginaw"/>
    <x v="12"/>
    <x v="2"/>
    <x v="2"/>
    <s v="Phones"/>
    <x v="195"/>
    <n v="131.97999999999999"/>
    <n v="2"/>
    <n v="0"/>
    <n v="35.634600000000006"/>
    <n v="263.95999999999998"/>
    <x v="3"/>
    <x v="4"/>
  </r>
  <r>
    <n v="209"/>
    <s v="CA-2019-135860"/>
    <d v="2019-12-01T00:00:00"/>
    <x v="1"/>
    <x v="98"/>
    <s v="Saginaw"/>
    <x v="12"/>
    <x v="2"/>
    <x v="1"/>
    <s v="Binders"/>
    <x v="122"/>
    <n v="15.92"/>
    <n v="4"/>
    <n v="0"/>
    <n v="7.4824000000000002"/>
    <n v="63.68"/>
    <x v="3"/>
    <x v="4"/>
  </r>
  <r>
    <n v="210"/>
    <s v="CA-2019-135860"/>
    <d v="2019-12-01T00:00:00"/>
    <x v="1"/>
    <x v="98"/>
    <s v="Saginaw"/>
    <x v="12"/>
    <x v="2"/>
    <x v="1"/>
    <s v="Fasteners"/>
    <x v="196"/>
    <n v="52.29"/>
    <n v="9"/>
    <n v="0"/>
    <n v="16.209899999999998"/>
    <n v="470.61"/>
    <x v="3"/>
    <x v="4"/>
  </r>
  <r>
    <n v="211"/>
    <s v="CA-2019-135860"/>
    <d v="2019-12-01T00:00:00"/>
    <x v="1"/>
    <x v="98"/>
    <s v="Saginaw"/>
    <x v="12"/>
    <x v="2"/>
    <x v="1"/>
    <s v="Storage"/>
    <x v="197"/>
    <n v="91.99"/>
    <n v="1"/>
    <n v="0"/>
    <n v="3.6795999999999935"/>
    <n v="91.99"/>
    <x v="3"/>
    <x v="4"/>
  </r>
  <r>
    <n v="212"/>
    <s v="CA-2017-101007"/>
    <d v="2017-02-09T00:00:00"/>
    <x v="0"/>
    <x v="99"/>
    <s v="Dallas"/>
    <x v="5"/>
    <x v="2"/>
    <x v="2"/>
    <s v="Accessories"/>
    <x v="198"/>
    <n v="20.8"/>
    <n v="2"/>
    <n v="0.2"/>
    <n v="6.4999999999999991"/>
    <n v="33.28"/>
    <x v="1"/>
    <x v="11"/>
  </r>
  <r>
    <n v="213"/>
    <s v="CA-2017-146262"/>
    <d v="2017-01-02T00:00:00"/>
    <x v="1"/>
    <x v="100"/>
    <s v="Medina"/>
    <x v="24"/>
    <x v="3"/>
    <x v="1"/>
    <s v="Labels"/>
    <x v="199"/>
    <n v="23.680000000000003"/>
    <n v="2"/>
    <n v="0.2"/>
    <n v="8.879999999999999"/>
    <n v="37.888000000000005"/>
    <x v="1"/>
    <x v="9"/>
  </r>
  <r>
    <n v="214"/>
    <s v="CA-2017-146262"/>
    <d v="2017-01-02T00:00:00"/>
    <x v="1"/>
    <x v="100"/>
    <s v="Medina"/>
    <x v="24"/>
    <x v="3"/>
    <x v="0"/>
    <s v="Bookcases"/>
    <x v="200"/>
    <n v="452.45"/>
    <n v="5"/>
    <n v="0.5"/>
    <n v="-244.32300000000006"/>
    <n v="1131.125"/>
    <x v="1"/>
    <x v="9"/>
  </r>
  <r>
    <n v="215"/>
    <s v="CA-2017-146262"/>
    <d v="2017-01-02T00:00:00"/>
    <x v="1"/>
    <x v="100"/>
    <s v="Medina"/>
    <x v="24"/>
    <x v="3"/>
    <x v="2"/>
    <s v="Phones"/>
    <x v="104"/>
    <n v="62.981999999999999"/>
    <n v="3"/>
    <n v="0.4"/>
    <n v="-14.695800000000006"/>
    <n v="113.3676"/>
    <x v="1"/>
    <x v="9"/>
  </r>
  <r>
    <n v="216"/>
    <s v="CA-2017-146262"/>
    <d v="2017-01-02T00:00:00"/>
    <x v="1"/>
    <x v="100"/>
    <s v="Medina"/>
    <x v="24"/>
    <x v="3"/>
    <x v="2"/>
    <s v="Machines"/>
    <x v="201"/>
    <n v="1188.0000000000002"/>
    <n v="9"/>
    <n v="0.7"/>
    <n v="-950.40000000000009"/>
    <n v="3207.6000000000008"/>
    <x v="1"/>
    <x v="9"/>
  </r>
  <r>
    <n v="217"/>
    <s v="CA-2017-146262"/>
    <d v="2017-01-02T00:00:00"/>
    <x v="1"/>
    <x v="100"/>
    <s v="Medina"/>
    <x v="24"/>
    <x v="3"/>
    <x v="2"/>
    <s v="Accessories"/>
    <x v="202"/>
    <n v="89.584000000000003"/>
    <n v="2"/>
    <n v="0.2"/>
    <n v="4.4792000000000058"/>
    <n v="143.33440000000002"/>
    <x v="1"/>
    <x v="9"/>
  </r>
  <r>
    <n v="218"/>
    <s v="CA-2018-130162"/>
    <d v="2018-10-28T00:00:00"/>
    <x v="1"/>
    <x v="101"/>
    <s v="Los Angeles"/>
    <x v="1"/>
    <x v="1"/>
    <x v="1"/>
    <s v="Storage"/>
    <x v="178"/>
    <n v="93.06"/>
    <n v="6"/>
    <n v="0"/>
    <n v="26.056800000000003"/>
    <n v="558.36"/>
    <x v="0"/>
    <x v="2"/>
  </r>
  <r>
    <n v="219"/>
    <s v="CA-2018-130162"/>
    <d v="2018-10-28T00:00:00"/>
    <x v="1"/>
    <x v="101"/>
    <s v="Los Angeles"/>
    <x v="1"/>
    <x v="1"/>
    <x v="2"/>
    <s v="Phones"/>
    <x v="203"/>
    <n v="302.37599999999998"/>
    <n v="3"/>
    <n v="0.2"/>
    <n v="22.678200000000018"/>
    <n v="725.70240000000001"/>
    <x v="0"/>
    <x v="2"/>
  </r>
  <r>
    <n v="220"/>
    <s v="CA-2017-169397"/>
    <d v="2017-12-24T00:00:00"/>
    <x v="2"/>
    <x v="102"/>
    <s v="Dublin"/>
    <x v="24"/>
    <x v="3"/>
    <x v="1"/>
    <s v="Fasteners"/>
    <x v="204"/>
    <n v="5.5840000000000005"/>
    <n v="2"/>
    <n v="0.2"/>
    <n v="1.8147999999999997"/>
    <n v="8.9344000000000019"/>
    <x v="1"/>
    <x v="4"/>
  </r>
  <r>
    <n v="221"/>
    <s v="CA-2017-169397"/>
    <d v="2017-12-24T00:00:00"/>
    <x v="2"/>
    <x v="102"/>
    <s v="Dublin"/>
    <x v="24"/>
    <x v="3"/>
    <x v="1"/>
    <s v="Paper"/>
    <x v="205"/>
    <n v="22.704000000000004"/>
    <n v="6"/>
    <n v="0.2"/>
    <n v="8.2302"/>
    <n v="108.97920000000002"/>
    <x v="1"/>
    <x v="4"/>
  </r>
  <r>
    <n v="222"/>
    <s v="CA-2017-169397"/>
    <d v="2017-12-24T00:00:00"/>
    <x v="2"/>
    <x v="102"/>
    <s v="Dublin"/>
    <x v="24"/>
    <x v="3"/>
    <x v="1"/>
    <s v="Binders"/>
    <x v="91"/>
    <n v="19.776000000000003"/>
    <n v="4"/>
    <n v="0.7"/>
    <n v="-13.843199999999996"/>
    <n v="23.731200000000008"/>
    <x v="1"/>
    <x v="4"/>
  </r>
  <r>
    <n v="223"/>
    <s v="CA-2017-169397"/>
    <d v="2017-12-24T00:00:00"/>
    <x v="2"/>
    <x v="102"/>
    <s v="Dublin"/>
    <x v="24"/>
    <x v="3"/>
    <x v="0"/>
    <s v="Furnishings"/>
    <x v="206"/>
    <n v="72.703999999999994"/>
    <n v="4"/>
    <n v="0.2"/>
    <n v="19.084800000000005"/>
    <n v="232.65279999999998"/>
    <x v="1"/>
    <x v="4"/>
  </r>
  <r>
    <n v="224"/>
    <s v="CA-2017-169397"/>
    <d v="2017-12-24T00:00:00"/>
    <x v="2"/>
    <x v="102"/>
    <s v="Dublin"/>
    <x v="24"/>
    <x v="3"/>
    <x v="2"/>
    <s v="Machines"/>
    <x v="207"/>
    <n v="479.98800000000006"/>
    <n v="4"/>
    <n v="0.7"/>
    <n v="-383.99040000000002"/>
    <n v="575.9856000000002"/>
    <x v="1"/>
    <x v="4"/>
  </r>
  <r>
    <n v="225"/>
    <s v="CA-2017-169397"/>
    <d v="2017-12-24T00:00:00"/>
    <x v="2"/>
    <x v="102"/>
    <s v="Dublin"/>
    <x v="24"/>
    <x v="3"/>
    <x v="1"/>
    <s v="Art"/>
    <x v="208"/>
    <n v="27.168000000000003"/>
    <n v="2"/>
    <n v="0.2"/>
    <n v="2.7168000000000001"/>
    <n v="43.468800000000009"/>
    <x v="1"/>
    <x v="4"/>
  </r>
  <r>
    <n v="226"/>
    <s v="CA-2017-163055"/>
    <d v="2017-08-09T00:00:00"/>
    <x v="1"/>
    <x v="103"/>
    <s v="Detroit"/>
    <x v="12"/>
    <x v="2"/>
    <x v="1"/>
    <s v="Art"/>
    <x v="209"/>
    <n v="2.2000000000000002"/>
    <n v="1"/>
    <n v="0"/>
    <n v="0.96800000000000019"/>
    <n v="2.2000000000000002"/>
    <x v="1"/>
    <x v="6"/>
  </r>
  <r>
    <n v="227"/>
    <s v="CA-2017-163055"/>
    <d v="2017-08-09T00:00:00"/>
    <x v="1"/>
    <x v="103"/>
    <s v="Detroit"/>
    <x v="12"/>
    <x v="2"/>
    <x v="0"/>
    <s v="Tables"/>
    <x v="210"/>
    <n v="622.44999999999993"/>
    <n v="5"/>
    <n v="0"/>
    <n v="136.93899999999999"/>
    <n v="3112.2499999999995"/>
    <x v="1"/>
    <x v="6"/>
  </r>
  <r>
    <n v="228"/>
    <s v="CA-2017-163055"/>
    <d v="2017-08-09T00:00:00"/>
    <x v="1"/>
    <x v="103"/>
    <s v="Detroit"/>
    <x v="12"/>
    <x v="2"/>
    <x v="1"/>
    <s v="Storage"/>
    <x v="211"/>
    <n v="21.98"/>
    <n v="1"/>
    <n v="0"/>
    <n v="0.21979999999999933"/>
    <n v="21.98"/>
    <x v="1"/>
    <x v="6"/>
  </r>
  <r>
    <n v="229"/>
    <s v="US-2017-145436"/>
    <d v="2017-02-28T00:00:00"/>
    <x v="1"/>
    <x v="104"/>
    <s v="Columbia"/>
    <x v="18"/>
    <x v="0"/>
    <x v="0"/>
    <s v="Chairs"/>
    <x v="212"/>
    <n v="161.56800000000001"/>
    <n v="2"/>
    <n v="0.2"/>
    <n v="-28.274400000000021"/>
    <n v="258.50880000000001"/>
    <x v="1"/>
    <x v="11"/>
  </r>
  <r>
    <n v="230"/>
    <s v="US-2017-145436"/>
    <d v="2017-02-28T00:00:00"/>
    <x v="1"/>
    <x v="104"/>
    <s v="Columbia"/>
    <x v="18"/>
    <x v="0"/>
    <x v="0"/>
    <s v="Chairs"/>
    <x v="213"/>
    <n v="389.69600000000003"/>
    <n v="8"/>
    <n v="0.2"/>
    <n v="43.840799999999973"/>
    <n v="2494.0544000000004"/>
    <x v="1"/>
    <x v="11"/>
  </r>
  <r>
    <n v="231"/>
    <s v="US-2016-156216"/>
    <d v="2016-09-13T00:00:00"/>
    <x v="1"/>
    <x v="105"/>
    <s v="Charlotte"/>
    <x v="3"/>
    <x v="0"/>
    <x v="1"/>
    <s v="Binders"/>
    <x v="214"/>
    <n v="18.648000000000003"/>
    <n v="7"/>
    <n v="0.7"/>
    <n v="-12.431999999999999"/>
    <n v="39.160800000000016"/>
    <x v="2"/>
    <x v="8"/>
  </r>
  <r>
    <n v="232"/>
    <s v="US-2019-100930"/>
    <d v="2019-04-07T00:00:00"/>
    <x v="1"/>
    <x v="37"/>
    <s v="Tampa"/>
    <x v="2"/>
    <x v="0"/>
    <x v="0"/>
    <s v="Tables"/>
    <x v="215"/>
    <n v="233.86"/>
    <n v="2"/>
    <n v="0.45"/>
    <n v="-102.04800000000003"/>
    <n v="257.24600000000004"/>
    <x v="3"/>
    <x v="3"/>
  </r>
  <r>
    <n v="233"/>
    <s v="US-2019-100930"/>
    <d v="2019-04-07T00:00:00"/>
    <x v="1"/>
    <x v="37"/>
    <s v="Tampa"/>
    <x v="2"/>
    <x v="0"/>
    <x v="0"/>
    <s v="Tables"/>
    <x v="216"/>
    <n v="620.61450000000013"/>
    <n v="3"/>
    <n v="0.45"/>
    <n v="-248.24579999999992"/>
    <n v="1024.0139250000002"/>
    <x v="3"/>
    <x v="3"/>
  </r>
  <r>
    <n v="234"/>
    <s v="US-2019-100930"/>
    <d v="2019-04-07T00:00:00"/>
    <x v="1"/>
    <x v="37"/>
    <s v="Tampa"/>
    <x v="2"/>
    <x v="0"/>
    <x v="1"/>
    <s v="Binders"/>
    <x v="214"/>
    <n v="5.3280000000000012"/>
    <n v="2"/>
    <n v="0.7"/>
    <n v="-3.5519999999999996"/>
    <n v="3.196800000000001"/>
    <x v="3"/>
    <x v="3"/>
  </r>
  <r>
    <n v="235"/>
    <s v="US-2019-100930"/>
    <d v="2019-04-07T00:00:00"/>
    <x v="1"/>
    <x v="37"/>
    <s v="Tampa"/>
    <x v="2"/>
    <x v="0"/>
    <x v="0"/>
    <s v="Furnishings"/>
    <x v="217"/>
    <n v="258.072"/>
    <n v="3"/>
    <n v="0.2"/>
    <n v="0"/>
    <n v="619.3728000000001"/>
    <x v="3"/>
    <x v="3"/>
  </r>
  <r>
    <n v="236"/>
    <s v="US-2019-100930"/>
    <d v="2019-04-07T00:00:00"/>
    <x v="1"/>
    <x v="37"/>
    <s v="Tampa"/>
    <x v="2"/>
    <x v="0"/>
    <x v="2"/>
    <s v="Accessories"/>
    <x v="218"/>
    <n v="617.97600000000011"/>
    <n v="3"/>
    <n v="0.2"/>
    <n v="-7.724700000000098"/>
    <n v="1483.1424000000004"/>
    <x v="3"/>
    <x v="3"/>
  </r>
  <r>
    <n v="237"/>
    <s v="CA-2019-160514"/>
    <d v="2019-11-12T00:00:00"/>
    <x v="1"/>
    <x v="106"/>
    <s v="Santa Clara"/>
    <x v="1"/>
    <x v="1"/>
    <x v="1"/>
    <s v="Paper"/>
    <x v="219"/>
    <n v="10.56"/>
    <n v="2"/>
    <n v="0"/>
    <n v="4.7519999999999998"/>
    <n v="21.12"/>
    <x v="3"/>
    <x v="0"/>
  </r>
  <r>
    <n v="238"/>
    <s v="CA-2018-157749"/>
    <d v="2018-06-04T00:00:00"/>
    <x v="0"/>
    <x v="107"/>
    <s v="Chicago"/>
    <x v="10"/>
    <x v="2"/>
    <x v="1"/>
    <s v="Paper"/>
    <x v="220"/>
    <n v="25.920000000000005"/>
    <n v="5"/>
    <n v="0.2"/>
    <n v="9.3960000000000008"/>
    <n v="103.68000000000002"/>
    <x v="0"/>
    <x v="1"/>
  </r>
  <r>
    <n v="239"/>
    <s v="CA-2018-157749"/>
    <d v="2018-06-04T00:00:00"/>
    <x v="0"/>
    <x v="107"/>
    <s v="Chicago"/>
    <x v="10"/>
    <x v="2"/>
    <x v="0"/>
    <s v="Furnishings"/>
    <x v="221"/>
    <n v="419.68000000000006"/>
    <n v="5"/>
    <n v="0.6"/>
    <n v="-356.72799999999995"/>
    <n v="839.36000000000024"/>
    <x v="0"/>
    <x v="1"/>
  </r>
  <r>
    <n v="240"/>
    <s v="CA-2018-157749"/>
    <d v="2018-06-04T00:00:00"/>
    <x v="0"/>
    <x v="107"/>
    <s v="Chicago"/>
    <x v="10"/>
    <x v="2"/>
    <x v="0"/>
    <s v="Furnishings"/>
    <x v="222"/>
    <n v="11.688000000000001"/>
    <n v="3"/>
    <n v="0.6"/>
    <n v="-4.6751999999999985"/>
    <n v="14.025600000000001"/>
    <x v="0"/>
    <x v="1"/>
  </r>
  <r>
    <n v="241"/>
    <s v="CA-2018-157749"/>
    <d v="2018-06-04T00:00:00"/>
    <x v="0"/>
    <x v="107"/>
    <s v="Chicago"/>
    <x v="10"/>
    <x v="2"/>
    <x v="2"/>
    <s v="Phones"/>
    <x v="223"/>
    <n v="31.983999999999998"/>
    <n v="2"/>
    <n v="0.2"/>
    <n v="11.194399999999998"/>
    <n v="51.174399999999999"/>
    <x v="0"/>
    <x v="1"/>
  </r>
  <r>
    <n v="242"/>
    <s v="CA-2018-157749"/>
    <d v="2018-06-04T00:00:00"/>
    <x v="0"/>
    <x v="107"/>
    <s v="Chicago"/>
    <x v="10"/>
    <x v="2"/>
    <x v="0"/>
    <s v="Tables"/>
    <x v="224"/>
    <n v="177.22499999999999"/>
    <n v="5"/>
    <n v="0.5"/>
    <n v="-120.51299999999998"/>
    <n v="443.0625"/>
    <x v="0"/>
    <x v="1"/>
  </r>
  <r>
    <n v="243"/>
    <s v="CA-2018-157749"/>
    <d v="2018-06-04T00:00:00"/>
    <x v="0"/>
    <x v="107"/>
    <s v="Chicago"/>
    <x v="10"/>
    <x v="2"/>
    <x v="0"/>
    <s v="Furnishings"/>
    <x v="225"/>
    <n v="4.0440000000000005"/>
    <n v="3"/>
    <n v="0.6"/>
    <n v="-2.8307999999999995"/>
    <n v="4.8528000000000011"/>
    <x v="0"/>
    <x v="1"/>
  </r>
  <r>
    <n v="244"/>
    <s v="CA-2018-157749"/>
    <d v="2018-06-04T00:00:00"/>
    <x v="0"/>
    <x v="107"/>
    <s v="Chicago"/>
    <x v="10"/>
    <x v="2"/>
    <x v="1"/>
    <s v="Art"/>
    <x v="183"/>
    <n v="7.4080000000000004"/>
    <n v="2"/>
    <n v="0.2"/>
    <n v="1.2037999999999995"/>
    <n v="11.852800000000002"/>
    <x v="0"/>
    <x v="1"/>
  </r>
  <r>
    <n v="245"/>
    <s v="CA-2016-131926"/>
    <d v="2016-06-01T00:00:00"/>
    <x v="0"/>
    <x v="108"/>
    <s v="Lakeville"/>
    <x v="11"/>
    <x v="2"/>
    <x v="0"/>
    <s v="Chairs"/>
    <x v="120"/>
    <n v="2001.8600000000001"/>
    <n v="7"/>
    <n v="0"/>
    <n v="580.53939999999989"/>
    <n v="14013.02"/>
    <x v="2"/>
    <x v="1"/>
  </r>
  <r>
    <n v="246"/>
    <s v="CA-2016-131926"/>
    <d v="2016-06-01T00:00:00"/>
    <x v="0"/>
    <x v="108"/>
    <s v="Lakeville"/>
    <x v="11"/>
    <x v="2"/>
    <x v="1"/>
    <s v="Storage"/>
    <x v="226"/>
    <n v="166.72"/>
    <n v="2"/>
    <n v="0"/>
    <n v="41.680000000000007"/>
    <n v="333.44"/>
    <x v="2"/>
    <x v="1"/>
  </r>
  <r>
    <n v="247"/>
    <s v="CA-2016-131926"/>
    <d v="2016-06-01T00:00:00"/>
    <x v="0"/>
    <x v="108"/>
    <s v="Lakeville"/>
    <x v="11"/>
    <x v="2"/>
    <x v="1"/>
    <s v="Paper"/>
    <x v="227"/>
    <n v="47.88"/>
    <n v="6"/>
    <n v="0"/>
    <n v="23.94"/>
    <n v="287.28000000000003"/>
    <x v="2"/>
    <x v="1"/>
  </r>
  <r>
    <n v="248"/>
    <s v="CA-2016-131926"/>
    <d v="2016-06-01T00:00:00"/>
    <x v="0"/>
    <x v="108"/>
    <s v="Lakeville"/>
    <x v="11"/>
    <x v="2"/>
    <x v="1"/>
    <s v="Appliances"/>
    <x v="228"/>
    <n v="1503.25"/>
    <n v="5"/>
    <n v="0"/>
    <n v="496.07249999999993"/>
    <n v="7516.25"/>
    <x v="2"/>
    <x v="1"/>
  </r>
  <r>
    <n v="249"/>
    <s v="CA-2016-131926"/>
    <d v="2016-06-01T00:00:00"/>
    <x v="0"/>
    <x v="108"/>
    <s v="Lakeville"/>
    <x v="11"/>
    <x v="2"/>
    <x v="1"/>
    <s v="Paper"/>
    <x v="181"/>
    <n v="25.92"/>
    <n v="4"/>
    <n v="0"/>
    <n v="12.441600000000001"/>
    <n v="103.68"/>
    <x v="2"/>
    <x v="1"/>
  </r>
  <r>
    <n v="250"/>
    <s v="CA-2018-154739"/>
    <d v="2018-12-10T00:00:00"/>
    <x v="0"/>
    <x v="109"/>
    <s v="San Francisco"/>
    <x v="1"/>
    <x v="1"/>
    <x v="0"/>
    <s v="Chairs"/>
    <x v="229"/>
    <n v="321.56799999999998"/>
    <n v="2"/>
    <n v="0.2"/>
    <n v="28.137200000000007"/>
    <n v="514.50879999999995"/>
    <x v="0"/>
    <x v="4"/>
  </r>
  <r>
    <n v="251"/>
    <s v="CA-2018-145625"/>
    <d v="2018-09-11T00:00:00"/>
    <x v="1"/>
    <x v="110"/>
    <s v="San Diego"/>
    <x v="1"/>
    <x v="1"/>
    <x v="1"/>
    <s v="Paper"/>
    <x v="230"/>
    <n v="7.61"/>
    <n v="1"/>
    <n v="0"/>
    <n v="3.5766999999999998"/>
    <n v="7.61"/>
    <x v="0"/>
    <x v="8"/>
  </r>
  <r>
    <n v="252"/>
    <s v="CA-2018-145625"/>
    <d v="2018-09-11T00:00:00"/>
    <x v="1"/>
    <x v="110"/>
    <s v="San Diego"/>
    <x v="1"/>
    <x v="1"/>
    <x v="2"/>
    <s v="Accessories"/>
    <x v="218"/>
    <n v="3347.37"/>
    <n v="13"/>
    <n v="0"/>
    <n v="636.0002999999997"/>
    <n v="43515.81"/>
    <x v="0"/>
    <x v="8"/>
  </r>
  <r>
    <n v="253"/>
    <s v="CA-2018-146941"/>
    <d v="2018-12-10T00:00:00"/>
    <x v="2"/>
    <x v="111"/>
    <s v="New York City"/>
    <x v="15"/>
    <x v="3"/>
    <x v="1"/>
    <s v="Storage"/>
    <x v="231"/>
    <n v="80.58"/>
    <n v="6"/>
    <n v="0"/>
    <n v="22.562400000000004"/>
    <n v="483.48"/>
    <x v="0"/>
    <x v="4"/>
  </r>
  <r>
    <n v="254"/>
    <s v="CA-2018-146941"/>
    <d v="2018-12-10T00:00:00"/>
    <x v="2"/>
    <x v="111"/>
    <s v="New York City"/>
    <x v="15"/>
    <x v="3"/>
    <x v="1"/>
    <s v="Envelopes"/>
    <x v="232"/>
    <n v="361.92"/>
    <n v="4"/>
    <n v="0"/>
    <n v="162.864"/>
    <n v="1447.68"/>
    <x v="0"/>
    <x v="4"/>
  </r>
  <r>
    <n v="255"/>
    <s v="US-2017-159982"/>
    <d v="2017-11-28T00:00:00"/>
    <x v="1"/>
    <x v="112"/>
    <s v="Chicago"/>
    <x v="10"/>
    <x v="2"/>
    <x v="0"/>
    <s v="Furnishings"/>
    <x v="225"/>
    <n v="12.132000000000001"/>
    <n v="9"/>
    <n v="0.6"/>
    <n v="-8.4923999999999982"/>
    <n v="43.675200000000011"/>
    <x v="1"/>
    <x v="0"/>
  </r>
  <r>
    <n v="256"/>
    <s v="US-2017-159982"/>
    <d v="2017-11-28T00:00:00"/>
    <x v="1"/>
    <x v="112"/>
    <s v="Chicago"/>
    <x v="10"/>
    <x v="2"/>
    <x v="1"/>
    <s v="Storage"/>
    <x v="233"/>
    <n v="82.367999999999995"/>
    <n v="2"/>
    <n v="0.2"/>
    <n v="-19.562399999999997"/>
    <n v="131.78880000000001"/>
    <x v="1"/>
    <x v="0"/>
  </r>
  <r>
    <n v="257"/>
    <s v="US-2017-159982"/>
    <d v="2017-11-28T00:00:00"/>
    <x v="1"/>
    <x v="112"/>
    <s v="Chicago"/>
    <x v="10"/>
    <x v="2"/>
    <x v="1"/>
    <s v="Storage"/>
    <x v="147"/>
    <n v="53.92"/>
    <n v="5"/>
    <n v="0.2"/>
    <n v="4.0439999999999969"/>
    <n v="215.68000000000004"/>
    <x v="1"/>
    <x v="0"/>
  </r>
  <r>
    <n v="258"/>
    <s v="US-2017-159982"/>
    <d v="2017-11-28T00:00:00"/>
    <x v="1"/>
    <x v="112"/>
    <s v="Chicago"/>
    <x v="10"/>
    <x v="2"/>
    <x v="2"/>
    <s v="Phones"/>
    <x v="234"/>
    <n v="647.904"/>
    <n v="6"/>
    <n v="0.2"/>
    <n v="56.691599999999966"/>
    <n v="3109.9392000000003"/>
    <x v="1"/>
    <x v="0"/>
  </r>
  <r>
    <n v="259"/>
    <s v="CA-2019-163139"/>
    <d v="2019-12-01T00:00:00"/>
    <x v="0"/>
    <x v="113"/>
    <s v="New York City"/>
    <x v="15"/>
    <x v="3"/>
    <x v="2"/>
    <s v="Accessories"/>
    <x v="235"/>
    <n v="20.37"/>
    <n v="3"/>
    <n v="0"/>
    <n v="6.9258000000000006"/>
    <n v="61.11"/>
    <x v="3"/>
    <x v="4"/>
  </r>
  <r>
    <n v="260"/>
    <s v="CA-2019-163139"/>
    <d v="2019-12-01T00:00:00"/>
    <x v="0"/>
    <x v="113"/>
    <s v="New York City"/>
    <x v="15"/>
    <x v="3"/>
    <x v="1"/>
    <s v="Storage"/>
    <x v="236"/>
    <n v="221.54999999999998"/>
    <n v="3"/>
    <n v="0"/>
    <n v="6.6465000000000174"/>
    <n v="664.65"/>
    <x v="3"/>
    <x v="4"/>
  </r>
  <r>
    <n v="261"/>
    <s v="CA-2019-163139"/>
    <d v="2019-12-01T00:00:00"/>
    <x v="0"/>
    <x v="113"/>
    <s v="New York City"/>
    <x v="15"/>
    <x v="3"/>
    <x v="1"/>
    <s v="Binders"/>
    <x v="237"/>
    <n v="17.52"/>
    <n v="5"/>
    <n v="0.2"/>
    <n v="6.1319999999999988"/>
    <n v="70.08"/>
    <x v="3"/>
    <x v="4"/>
  </r>
  <r>
    <n v="262"/>
    <s v="US-2019-155299"/>
    <d v="2019-06-08T00:00:00"/>
    <x v="1"/>
    <x v="114"/>
    <s v="Pasadena"/>
    <x v="5"/>
    <x v="2"/>
    <x v="1"/>
    <s v="Appliances"/>
    <x v="238"/>
    <n v="1.6239999999999994"/>
    <n v="2"/>
    <n v="0.8"/>
    <n v="-4.4660000000000002"/>
    <n v="0.64959999999999962"/>
    <x v="3"/>
    <x v="1"/>
  </r>
  <r>
    <n v="263"/>
    <s v="US-2016-106992"/>
    <d v="2016-09-19T00:00:00"/>
    <x v="0"/>
    <x v="115"/>
    <s v="Houston"/>
    <x v="5"/>
    <x v="2"/>
    <x v="2"/>
    <s v="Machines"/>
    <x v="156"/>
    <n v="3059.982"/>
    <n v="3"/>
    <n v="0.4"/>
    <n v="-509.99700000000075"/>
    <n v="5507.9675999999999"/>
    <x v="2"/>
    <x v="8"/>
  </r>
  <r>
    <n v="264"/>
    <s v="US-2016-106992"/>
    <d v="2016-09-19T00:00:00"/>
    <x v="0"/>
    <x v="115"/>
    <s v="Houston"/>
    <x v="5"/>
    <x v="2"/>
    <x v="2"/>
    <s v="Machines"/>
    <x v="239"/>
    <n v="2519.9579999999996"/>
    <n v="7"/>
    <n v="0.4"/>
    <n v="-251.99579999999992"/>
    <n v="10583.823599999998"/>
    <x v="2"/>
    <x v="8"/>
  </r>
  <r>
    <n v="265"/>
    <s v="CA-2018-125318"/>
    <d v="2018-06-06T00:00:00"/>
    <x v="1"/>
    <x v="116"/>
    <s v="Chicago"/>
    <x v="10"/>
    <x v="2"/>
    <x v="2"/>
    <s v="Phones"/>
    <x v="240"/>
    <n v="328.22399999999999"/>
    <n v="4"/>
    <n v="0.2"/>
    <n v="28.7196"/>
    <n v="1050.3168000000001"/>
    <x v="0"/>
    <x v="1"/>
  </r>
  <r>
    <n v="266"/>
    <s v="CA-2017-155040"/>
    <d v="2017-11-10T00:00:00"/>
    <x v="1"/>
    <x v="117"/>
    <s v="Brentwood"/>
    <x v="1"/>
    <x v="1"/>
    <x v="2"/>
    <s v="Accessories"/>
    <x v="241"/>
    <n v="79.900000000000006"/>
    <n v="2"/>
    <n v="0"/>
    <n v="35.156000000000006"/>
    <n v="159.80000000000001"/>
    <x v="1"/>
    <x v="0"/>
  </r>
  <r>
    <n v="267"/>
    <s v="CA-2019-136826"/>
    <d v="2019-06-16T00:00:00"/>
    <x v="1"/>
    <x v="118"/>
    <s v="Chapel Hill"/>
    <x v="3"/>
    <x v="0"/>
    <x v="1"/>
    <s v="Art"/>
    <x v="242"/>
    <n v="14.015999999999998"/>
    <n v="3"/>
    <n v="0.2"/>
    <n v="4.7303999999999995"/>
    <n v="33.638399999999997"/>
    <x v="3"/>
    <x v="1"/>
  </r>
  <r>
    <n v="268"/>
    <s v="CA-2018-111010"/>
    <d v="2018-01-22T00:00:00"/>
    <x v="1"/>
    <x v="38"/>
    <s v="Morristown"/>
    <x v="30"/>
    <x v="3"/>
    <x v="1"/>
    <s v="Fasteners"/>
    <x v="243"/>
    <n v="7.5600000000000005"/>
    <n v="6"/>
    <n v="0"/>
    <n v="0.3024"/>
    <n v="45.36"/>
    <x v="0"/>
    <x v="9"/>
  </r>
  <r>
    <n v="269"/>
    <s v="US-2019-145366"/>
    <d v="2019-12-09T00:00:00"/>
    <x v="1"/>
    <x v="119"/>
    <s v="Cincinnati"/>
    <x v="24"/>
    <x v="3"/>
    <x v="1"/>
    <s v="Storage"/>
    <x v="244"/>
    <n v="37.207999999999998"/>
    <n v="1"/>
    <n v="0.2"/>
    <n v="-7.4416000000000011"/>
    <n v="29.766400000000001"/>
    <x v="3"/>
    <x v="4"/>
  </r>
  <r>
    <n v="270"/>
    <s v="US-2019-145366"/>
    <d v="2019-12-09T00:00:00"/>
    <x v="1"/>
    <x v="119"/>
    <s v="Cincinnati"/>
    <x v="24"/>
    <x v="3"/>
    <x v="1"/>
    <s v="Envelopes"/>
    <x v="245"/>
    <n v="57.576000000000001"/>
    <n v="3"/>
    <n v="0.2"/>
    <n v="21.591000000000001"/>
    <n v="138.1824"/>
    <x v="3"/>
    <x v="4"/>
  </r>
  <r>
    <n v="271"/>
    <s v="CA-2019-163979"/>
    <d v="2019-12-28T00:00:00"/>
    <x v="0"/>
    <x v="120"/>
    <s v="San Francisco"/>
    <x v="1"/>
    <x v="1"/>
    <x v="1"/>
    <s v="Storage"/>
    <x v="246"/>
    <n v="725.84"/>
    <n v="4"/>
    <n v="0"/>
    <n v="210.4935999999999"/>
    <n v="2903.36"/>
    <x v="3"/>
    <x v="4"/>
  </r>
  <r>
    <n v="272"/>
    <s v="CA-2017-155334"/>
    <d v="2017-07-30T00:00:00"/>
    <x v="2"/>
    <x v="66"/>
    <s v="San Francisco"/>
    <x v="1"/>
    <x v="1"/>
    <x v="2"/>
    <s v="Accessories"/>
    <x v="247"/>
    <n v="209.92999999999998"/>
    <n v="7"/>
    <n v="0"/>
    <n v="92.369200000000021"/>
    <n v="1469.5099999999998"/>
    <x v="1"/>
    <x v="7"/>
  </r>
  <r>
    <n v="273"/>
    <s v="CA-2017-155334"/>
    <d v="2017-07-30T00:00:00"/>
    <x v="2"/>
    <x v="66"/>
    <s v="San Francisco"/>
    <x v="1"/>
    <x v="1"/>
    <x v="0"/>
    <s v="Furnishings"/>
    <x v="248"/>
    <n v="5.28"/>
    <n v="3"/>
    <n v="0"/>
    <n v="2.3232000000000004"/>
    <n v="15.84"/>
    <x v="1"/>
    <x v="7"/>
  </r>
  <r>
    <n v="274"/>
    <s v="CA-2017-155334"/>
    <d v="2017-07-30T00:00:00"/>
    <x v="2"/>
    <x v="66"/>
    <s v="San Francisco"/>
    <x v="1"/>
    <x v="1"/>
    <x v="1"/>
    <s v="Binders"/>
    <x v="249"/>
    <n v="10.92"/>
    <n v="3"/>
    <n v="0.2"/>
    <n v="4.0949999999999989"/>
    <n v="26.207999999999998"/>
    <x v="1"/>
    <x v="7"/>
  </r>
  <r>
    <n v="275"/>
    <s v="CA-2019-118136"/>
    <d v="2019-09-16T00:00:00"/>
    <x v="2"/>
    <x v="121"/>
    <s v="Inglewood"/>
    <x v="1"/>
    <x v="1"/>
    <x v="1"/>
    <s v="Paper"/>
    <x v="250"/>
    <n v="8.82"/>
    <n v="2"/>
    <n v="0"/>
    <n v="4.0571999999999999"/>
    <n v="17.64"/>
    <x v="3"/>
    <x v="8"/>
  </r>
  <r>
    <n v="276"/>
    <s v="CA-2019-118136"/>
    <d v="2019-09-16T00:00:00"/>
    <x v="2"/>
    <x v="121"/>
    <s v="Inglewood"/>
    <x v="1"/>
    <x v="1"/>
    <x v="1"/>
    <s v="Art"/>
    <x v="251"/>
    <n v="5.98"/>
    <n v="1"/>
    <n v="0"/>
    <n v="1.5548000000000002"/>
    <n v="5.98"/>
    <x v="3"/>
    <x v="8"/>
  </r>
  <r>
    <n v="277"/>
    <s v="CA-2019-132976"/>
    <d v="2019-10-13T00:00:00"/>
    <x v="1"/>
    <x v="122"/>
    <s v="Philadelphia"/>
    <x v="9"/>
    <x v="3"/>
    <x v="1"/>
    <s v="Paper"/>
    <x v="252"/>
    <n v="11.648000000000001"/>
    <n v="2"/>
    <n v="0.2"/>
    <n v="4.0768000000000004"/>
    <n v="18.636800000000004"/>
    <x v="3"/>
    <x v="2"/>
  </r>
  <r>
    <n v="278"/>
    <s v="CA-2019-132976"/>
    <d v="2019-10-13T00:00:00"/>
    <x v="1"/>
    <x v="122"/>
    <s v="Philadelphia"/>
    <x v="9"/>
    <x v="3"/>
    <x v="1"/>
    <s v="Paper"/>
    <x v="253"/>
    <n v="18.175999999999998"/>
    <n v="4"/>
    <n v="0.2"/>
    <n v="5.9071999999999987"/>
    <n v="58.163199999999996"/>
    <x v="3"/>
    <x v="2"/>
  </r>
  <r>
    <n v="279"/>
    <s v="CA-2019-132976"/>
    <d v="2019-10-13T00:00:00"/>
    <x v="1"/>
    <x v="122"/>
    <s v="Philadelphia"/>
    <x v="9"/>
    <x v="3"/>
    <x v="1"/>
    <s v="Storage"/>
    <x v="254"/>
    <n v="59.712000000000003"/>
    <n v="6"/>
    <n v="0.2"/>
    <n v="5.9711999999999996"/>
    <n v="286.61760000000004"/>
    <x v="3"/>
    <x v="2"/>
  </r>
  <r>
    <n v="280"/>
    <s v="CA-2019-132976"/>
    <d v="2019-10-13T00:00:00"/>
    <x v="1"/>
    <x v="122"/>
    <s v="Philadelphia"/>
    <x v="9"/>
    <x v="3"/>
    <x v="1"/>
    <s v="Labels"/>
    <x v="255"/>
    <n v="24.839999999999996"/>
    <n v="3"/>
    <n v="0.2"/>
    <n v="8.6940000000000008"/>
    <n v="59.615999999999985"/>
    <x v="3"/>
    <x v="2"/>
  </r>
  <r>
    <n v="281"/>
    <s v="US-2017-161991"/>
    <d v="2017-09-26T00:00:00"/>
    <x v="0"/>
    <x v="56"/>
    <s v="Houston"/>
    <x v="5"/>
    <x v="2"/>
    <x v="1"/>
    <s v="Binders"/>
    <x v="256"/>
    <n v="2.0799999999999996"/>
    <n v="5"/>
    <n v="0.8"/>
    <n v="-3.4320000000000004"/>
    <n v="2.0799999999999992"/>
    <x v="1"/>
    <x v="8"/>
  </r>
  <r>
    <n v="282"/>
    <s v="US-2017-161991"/>
    <d v="2017-09-26T00:00:00"/>
    <x v="0"/>
    <x v="56"/>
    <s v="Houston"/>
    <x v="5"/>
    <x v="2"/>
    <x v="2"/>
    <s v="Phones"/>
    <x v="257"/>
    <n v="1114.4000000000001"/>
    <n v="7"/>
    <n v="0.2"/>
    <n v="376.11"/>
    <n v="6240.6400000000012"/>
    <x v="1"/>
    <x v="8"/>
  </r>
  <r>
    <n v="283"/>
    <s v="CA-2017-130890"/>
    <d v="2017-11-02T00:00:00"/>
    <x v="1"/>
    <x v="123"/>
    <s v="Los Angeles"/>
    <x v="1"/>
    <x v="1"/>
    <x v="0"/>
    <s v="Tables"/>
    <x v="258"/>
    <n v="1038.8399999999999"/>
    <n v="5"/>
    <n v="0.2"/>
    <n v="51.942000000000007"/>
    <n v="4155.3599999999997"/>
    <x v="1"/>
    <x v="0"/>
  </r>
  <r>
    <n v="284"/>
    <s v="CA-2017-130883"/>
    <d v="2017-09-26T00:00:00"/>
    <x v="1"/>
    <x v="14"/>
    <s v="Portland"/>
    <x v="21"/>
    <x v="1"/>
    <x v="1"/>
    <s v="Paper"/>
    <x v="33"/>
    <n v="141.76"/>
    <n v="5"/>
    <n v="0.2"/>
    <n v="47.843999999999994"/>
    <n v="567.04"/>
    <x v="1"/>
    <x v="8"/>
  </r>
  <r>
    <n v="285"/>
    <s v="CA-2017-130883"/>
    <d v="2017-09-26T00:00:00"/>
    <x v="1"/>
    <x v="14"/>
    <s v="Portland"/>
    <x v="21"/>
    <x v="1"/>
    <x v="2"/>
    <s v="Accessories"/>
    <x v="259"/>
    <n v="239.80000000000004"/>
    <n v="5"/>
    <n v="0.2"/>
    <n v="47.959999999999987"/>
    <n v="959.20000000000027"/>
    <x v="1"/>
    <x v="8"/>
  </r>
  <r>
    <n v="286"/>
    <s v="CA-2017-130883"/>
    <d v="2017-09-26T00:00:00"/>
    <x v="1"/>
    <x v="14"/>
    <s v="Portland"/>
    <x v="21"/>
    <x v="1"/>
    <x v="1"/>
    <s v="Paper"/>
    <x v="260"/>
    <n v="31.104000000000006"/>
    <n v="6"/>
    <n v="0.2"/>
    <n v="10.8864"/>
    <n v="149.29920000000001"/>
    <x v="1"/>
    <x v="8"/>
  </r>
  <r>
    <n v="287"/>
    <s v="CA-2018-112697"/>
    <d v="2018-12-18T00:00:00"/>
    <x v="0"/>
    <x v="124"/>
    <s v="Tamarac"/>
    <x v="2"/>
    <x v="0"/>
    <x v="1"/>
    <s v="Binders"/>
    <x v="261"/>
    <n v="254.05800000000002"/>
    <n v="7"/>
    <n v="0.7"/>
    <n v="-169.3719999999999"/>
    <n v="533.5218000000001"/>
    <x v="0"/>
    <x v="4"/>
  </r>
  <r>
    <n v="288"/>
    <s v="CA-2018-112697"/>
    <d v="2018-12-18T00:00:00"/>
    <x v="0"/>
    <x v="124"/>
    <s v="Tamarac"/>
    <x v="2"/>
    <x v="0"/>
    <x v="1"/>
    <s v="Appliances"/>
    <x v="167"/>
    <n v="194.52800000000002"/>
    <n v="2"/>
    <n v="0.2"/>
    <n v="24.315999999999974"/>
    <n v="311.24480000000005"/>
    <x v="0"/>
    <x v="4"/>
  </r>
  <r>
    <n v="289"/>
    <s v="CA-2018-112697"/>
    <d v="2018-12-18T00:00:00"/>
    <x v="0"/>
    <x v="124"/>
    <s v="Tamarac"/>
    <x v="2"/>
    <x v="0"/>
    <x v="1"/>
    <s v="Supplies"/>
    <x v="262"/>
    <n v="961.48000000000013"/>
    <n v="5"/>
    <n v="0.2"/>
    <n v="-204.31449999999995"/>
    <n v="3845.9200000000005"/>
    <x v="0"/>
    <x v="4"/>
  </r>
  <r>
    <n v="290"/>
    <s v="CA-2018-110772"/>
    <d v="2018-11-20T00:00:00"/>
    <x v="0"/>
    <x v="125"/>
    <s v="Columbus"/>
    <x v="24"/>
    <x v="3"/>
    <x v="1"/>
    <s v="Fasteners"/>
    <x v="263"/>
    <n v="19.096"/>
    <n v="7"/>
    <n v="0.2"/>
    <n v="6.6835999999999993"/>
    <n v="106.9376"/>
    <x v="0"/>
    <x v="0"/>
  </r>
  <r>
    <n v="291"/>
    <s v="CA-2018-110772"/>
    <d v="2018-11-20T00:00:00"/>
    <x v="0"/>
    <x v="125"/>
    <s v="Columbus"/>
    <x v="24"/>
    <x v="3"/>
    <x v="1"/>
    <s v="Labels"/>
    <x v="264"/>
    <n v="18.496000000000002"/>
    <n v="8"/>
    <n v="0.2"/>
    <n v="6.2423999999999999"/>
    <n v="118.37440000000002"/>
    <x v="0"/>
    <x v="0"/>
  </r>
  <r>
    <n v="292"/>
    <s v="CA-2018-110772"/>
    <d v="2018-11-20T00:00:00"/>
    <x v="0"/>
    <x v="125"/>
    <s v="Columbus"/>
    <x v="24"/>
    <x v="3"/>
    <x v="2"/>
    <s v="Accessories"/>
    <x v="265"/>
    <n v="255.98400000000004"/>
    <n v="2"/>
    <n v="0.2"/>
    <n v="54.396600000000007"/>
    <n v="409.57440000000008"/>
    <x v="0"/>
    <x v="0"/>
  </r>
  <r>
    <n v="293"/>
    <s v="CA-2018-110772"/>
    <d v="2018-11-20T00:00:00"/>
    <x v="0"/>
    <x v="125"/>
    <s v="Columbus"/>
    <x v="24"/>
    <x v="3"/>
    <x v="0"/>
    <s v="Bookcases"/>
    <x v="266"/>
    <n v="86.97"/>
    <n v="3"/>
    <n v="0.5"/>
    <n v="-48.703199999999995"/>
    <n v="130.45499999999998"/>
    <x v="0"/>
    <x v="0"/>
  </r>
  <r>
    <n v="294"/>
    <s v="CA-2016-111451"/>
    <d v="2016-12-26T00:00:00"/>
    <x v="2"/>
    <x v="126"/>
    <s v="Colorado Springs"/>
    <x v="22"/>
    <x v="1"/>
    <x v="0"/>
    <s v="Furnishings"/>
    <x v="267"/>
    <n v="300.416"/>
    <n v="8"/>
    <n v="0.2"/>
    <n v="78.859200000000001"/>
    <n v="1922.6624000000002"/>
    <x v="2"/>
    <x v="4"/>
  </r>
  <r>
    <n v="295"/>
    <s v="CA-2016-111451"/>
    <d v="2016-12-26T00:00:00"/>
    <x v="2"/>
    <x v="126"/>
    <s v="Colorado Springs"/>
    <x v="22"/>
    <x v="1"/>
    <x v="0"/>
    <s v="Chairs"/>
    <x v="268"/>
    <n v="230.35200000000003"/>
    <n v="3"/>
    <n v="0.2"/>
    <n v="20.155800000000013"/>
    <n v="552.84480000000008"/>
    <x v="2"/>
    <x v="4"/>
  </r>
  <r>
    <n v="296"/>
    <s v="CA-2016-111451"/>
    <d v="2016-12-26T00:00:00"/>
    <x v="2"/>
    <x v="126"/>
    <s v="Colorado Springs"/>
    <x v="22"/>
    <x v="1"/>
    <x v="0"/>
    <s v="Furnishings"/>
    <x v="269"/>
    <n v="218.35200000000003"/>
    <n v="3"/>
    <n v="0.2"/>
    <n v="-24.564599999999999"/>
    <n v="524.04480000000001"/>
    <x v="2"/>
    <x v="4"/>
  </r>
  <r>
    <n v="297"/>
    <s v="CA-2016-111451"/>
    <d v="2016-12-26T00:00:00"/>
    <x v="2"/>
    <x v="126"/>
    <s v="Colorado Springs"/>
    <x v="22"/>
    <x v="1"/>
    <x v="1"/>
    <s v="Binders"/>
    <x v="270"/>
    <n v="78.600000000000009"/>
    <n v="5"/>
    <n v="0.7"/>
    <n v="-62.88000000000001"/>
    <n v="117.90000000000003"/>
    <x v="2"/>
    <x v="4"/>
  </r>
  <r>
    <n v="298"/>
    <s v="CA-2016-111451"/>
    <d v="2016-12-26T00:00:00"/>
    <x v="2"/>
    <x v="126"/>
    <s v="Colorado Springs"/>
    <x v="22"/>
    <x v="1"/>
    <x v="1"/>
    <s v="Fasteners"/>
    <x v="271"/>
    <n v="27.552000000000003"/>
    <n v="3"/>
    <n v="0.2"/>
    <n v="9.2987999999999964"/>
    <n v="66.124800000000008"/>
    <x v="2"/>
    <x v="4"/>
  </r>
  <r>
    <n v="299"/>
    <s v="CA-2018-142545"/>
    <d v="2018-10-28T00:00:00"/>
    <x v="1"/>
    <x v="63"/>
    <s v="Belleville"/>
    <x v="30"/>
    <x v="3"/>
    <x v="1"/>
    <s v="Paper"/>
    <x v="272"/>
    <n v="32.400000000000006"/>
    <n v="5"/>
    <n v="0"/>
    <n v="15.552000000000001"/>
    <n v="162.00000000000003"/>
    <x v="0"/>
    <x v="2"/>
  </r>
  <r>
    <n v="300"/>
    <s v="CA-2018-142545"/>
    <d v="2018-10-28T00:00:00"/>
    <x v="1"/>
    <x v="63"/>
    <s v="Belleville"/>
    <x v="30"/>
    <x v="3"/>
    <x v="1"/>
    <s v="Storage"/>
    <x v="273"/>
    <n v="1082.48"/>
    <n v="8"/>
    <n v="0"/>
    <n v="10.824800000000096"/>
    <n v="8659.84"/>
    <x v="0"/>
    <x v="2"/>
  </r>
  <r>
    <n v="301"/>
    <s v="CA-2018-142545"/>
    <d v="2018-10-28T00:00:00"/>
    <x v="1"/>
    <x v="63"/>
    <s v="Belleville"/>
    <x v="30"/>
    <x v="3"/>
    <x v="1"/>
    <s v="Paper"/>
    <x v="274"/>
    <n v="56.91"/>
    <n v="3"/>
    <n v="0"/>
    <n v="27.316799999999997"/>
    <n v="170.73"/>
    <x v="0"/>
    <x v="2"/>
  </r>
  <r>
    <n v="302"/>
    <s v="CA-2018-142545"/>
    <d v="2018-10-28T00:00:00"/>
    <x v="1"/>
    <x v="63"/>
    <s v="Belleville"/>
    <x v="30"/>
    <x v="3"/>
    <x v="0"/>
    <s v="Furnishings"/>
    <x v="275"/>
    <n v="77.599999999999994"/>
    <n v="4"/>
    <n v="0"/>
    <n v="38.023999999999994"/>
    <n v="310.39999999999998"/>
    <x v="0"/>
    <x v="2"/>
  </r>
  <r>
    <n v="303"/>
    <s v="CA-2018-142545"/>
    <d v="2018-10-28T00:00:00"/>
    <x v="1"/>
    <x v="63"/>
    <s v="Belleville"/>
    <x v="30"/>
    <x v="3"/>
    <x v="1"/>
    <s v="Binders"/>
    <x v="276"/>
    <n v="14.28"/>
    <n v="1"/>
    <n v="0"/>
    <n v="6.5687999999999995"/>
    <n v="14.28"/>
    <x v="0"/>
    <x v="2"/>
  </r>
  <r>
    <n v="304"/>
    <s v="US-2019-152380"/>
    <d v="2019-11-19T00:00:00"/>
    <x v="1"/>
    <x v="101"/>
    <s v="Chicago"/>
    <x v="10"/>
    <x v="2"/>
    <x v="0"/>
    <s v="Tables"/>
    <x v="277"/>
    <n v="219.07500000000002"/>
    <n v="3"/>
    <n v="0.5"/>
    <n v="-131.44500000000005"/>
    <n v="328.61250000000001"/>
    <x v="3"/>
    <x v="0"/>
  </r>
  <r>
    <n v="305"/>
    <s v="CA-2017-144253"/>
    <d v="2017-05-04T00:00:00"/>
    <x v="0"/>
    <x v="127"/>
    <s v="New York City"/>
    <x v="15"/>
    <x v="3"/>
    <x v="0"/>
    <s v="Furnishings"/>
    <x v="278"/>
    <n v="26.8"/>
    <n v="2"/>
    <n v="0"/>
    <n v="12.863999999999999"/>
    <n v="53.6"/>
    <x v="1"/>
    <x v="5"/>
  </r>
  <r>
    <n v="306"/>
    <s v="CA-2016-130960"/>
    <d v="2016-12-30T00:00:00"/>
    <x v="1"/>
    <x v="33"/>
    <s v="Taylor"/>
    <x v="12"/>
    <x v="2"/>
    <x v="1"/>
    <s v="Art"/>
    <x v="279"/>
    <n v="9.84"/>
    <n v="3"/>
    <n v="0"/>
    <n v="2.8535999999999988"/>
    <n v="29.52"/>
    <x v="2"/>
    <x v="4"/>
  </r>
  <r>
    <n v="307"/>
    <s v="CA-2016-111003"/>
    <d v="2016-06-01T00:00:00"/>
    <x v="1"/>
    <x v="128"/>
    <s v="Lakewood"/>
    <x v="30"/>
    <x v="3"/>
    <x v="1"/>
    <s v="Binders"/>
    <x v="280"/>
    <n v="45.480000000000004"/>
    <n v="3"/>
    <n v="0"/>
    <n v="20.9208"/>
    <n v="136.44"/>
    <x v="2"/>
    <x v="1"/>
  </r>
  <r>
    <n v="308"/>
    <s v="CA-2016-111003"/>
    <d v="2016-06-01T00:00:00"/>
    <x v="1"/>
    <x v="128"/>
    <s v="Lakewood"/>
    <x v="30"/>
    <x v="3"/>
    <x v="1"/>
    <s v="Art"/>
    <x v="281"/>
    <n v="289.20000000000005"/>
    <n v="6"/>
    <n v="0"/>
    <n v="83.867999999999967"/>
    <n v="1735.2000000000003"/>
    <x v="2"/>
    <x v="1"/>
  </r>
  <r>
    <n v="309"/>
    <s v="CA-2019-126774"/>
    <d v="2019-04-15T00:00:00"/>
    <x v="2"/>
    <x v="129"/>
    <s v="Arlington"/>
    <x v="17"/>
    <x v="0"/>
    <x v="1"/>
    <s v="Art"/>
    <x v="282"/>
    <n v="4.8899999999999997"/>
    <n v="1"/>
    <n v="0"/>
    <n v="2.0049000000000001"/>
    <n v="4.8899999999999997"/>
    <x v="3"/>
    <x v="3"/>
  </r>
  <r>
    <n v="310"/>
    <s v="CA-2018-142902"/>
    <d v="2018-09-12T00:00:00"/>
    <x v="0"/>
    <x v="130"/>
    <s v="Arvada"/>
    <x v="22"/>
    <x v="1"/>
    <x v="0"/>
    <s v="Furnishings"/>
    <x v="283"/>
    <n v="15.136000000000003"/>
    <n v="4"/>
    <n v="0.2"/>
    <n v="3.5948000000000011"/>
    <n v="48.435200000000009"/>
    <x v="0"/>
    <x v="8"/>
  </r>
  <r>
    <n v="311"/>
    <s v="CA-2018-142902"/>
    <d v="2018-09-12T00:00:00"/>
    <x v="0"/>
    <x v="130"/>
    <s v="Arvada"/>
    <x v="22"/>
    <x v="1"/>
    <x v="0"/>
    <s v="Chairs"/>
    <x v="284"/>
    <n v="466.76800000000003"/>
    <n v="2"/>
    <n v="0.2"/>
    <n v="52.511399999999981"/>
    <n v="746.82880000000011"/>
    <x v="0"/>
    <x v="8"/>
  </r>
  <r>
    <n v="312"/>
    <s v="CA-2018-142902"/>
    <d v="2018-09-12T00:00:00"/>
    <x v="0"/>
    <x v="130"/>
    <s v="Arvada"/>
    <x v="22"/>
    <x v="1"/>
    <x v="0"/>
    <s v="Furnishings"/>
    <x v="285"/>
    <n v="15.231999999999999"/>
    <n v="1"/>
    <n v="0.2"/>
    <n v="1.7135999999999978"/>
    <n v="12.185600000000001"/>
    <x v="0"/>
    <x v="8"/>
  </r>
  <r>
    <n v="313"/>
    <s v="CA-2018-142902"/>
    <d v="2018-09-12T00:00:00"/>
    <x v="0"/>
    <x v="130"/>
    <s v="Arvada"/>
    <x v="22"/>
    <x v="1"/>
    <x v="1"/>
    <s v="Labels"/>
    <x v="286"/>
    <n v="6.2640000000000002"/>
    <n v="3"/>
    <n v="0.2"/>
    <n v="2.0358000000000001"/>
    <n v="15.033600000000002"/>
    <x v="0"/>
    <x v="8"/>
  </r>
  <r>
    <n v="314"/>
    <s v="CA-2016-120887"/>
    <d v="2016-09-27T00:00:00"/>
    <x v="1"/>
    <x v="131"/>
    <s v="Hackensack"/>
    <x v="30"/>
    <x v="3"/>
    <x v="0"/>
    <s v="Furnishings"/>
    <x v="287"/>
    <n v="87.539999999999992"/>
    <n v="3"/>
    <n v="0"/>
    <n v="37.642200000000003"/>
    <n v="262.62"/>
    <x v="2"/>
    <x v="8"/>
  </r>
  <r>
    <n v="315"/>
    <s v="CA-2016-167850"/>
    <d v="2016-08-09T00:00:00"/>
    <x v="1"/>
    <x v="132"/>
    <s v="Saint Petersburg"/>
    <x v="2"/>
    <x v="0"/>
    <x v="2"/>
    <s v="Phones"/>
    <x v="288"/>
    <n v="178.38400000000001"/>
    <n v="2"/>
    <n v="0.2"/>
    <n v="22.297999999999973"/>
    <n v="285.41440000000006"/>
    <x v="2"/>
    <x v="6"/>
  </r>
  <r>
    <n v="316"/>
    <s v="CA-2016-167850"/>
    <d v="2016-08-09T00:00:00"/>
    <x v="1"/>
    <x v="132"/>
    <s v="Saint Petersburg"/>
    <x v="2"/>
    <x v="0"/>
    <x v="1"/>
    <s v="Paper"/>
    <x v="289"/>
    <n v="15.552000000000003"/>
    <n v="3"/>
    <n v="0.2"/>
    <n v="5.4432"/>
    <n v="37.324800000000003"/>
    <x v="2"/>
    <x v="6"/>
  </r>
  <r>
    <n v="317"/>
    <s v="CA-2016-164259"/>
    <d v="2016-12-28T00:00:00"/>
    <x v="2"/>
    <x v="133"/>
    <s v="Philadelphia"/>
    <x v="9"/>
    <x v="3"/>
    <x v="1"/>
    <s v="Art"/>
    <x v="290"/>
    <n v="99.13600000000001"/>
    <n v="4"/>
    <n v="0.2"/>
    <n v="8.674399999999995"/>
    <n v="317.23520000000008"/>
    <x v="2"/>
    <x v="4"/>
  </r>
  <r>
    <n v="318"/>
    <s v="CA-2016-164973"/>
    <d v="2016-11-04T00:00:00"/>
    <x v="1"/>
    <x v="134"/>
    <s v="New York City"/>
    <x v="15"/>
    <x v="3"/>
    <x v="0"/>
    <s v="Chairs"/>
    <x v="291"/>
    <n v="135.88200000000001"/>
    <n v="1"/>
    <n v="0.1"/>
    <n v="24.156800000000004"/>
    <n v="122.2938"/>
    <x v="2"/>
    <x v="0"/>
  </r>
  <r>
    <n v="319"/>
    <s v="CA-2016-164973"/>
    <d v="2016-11-04T00:00:00"/>
    <x v="1"/>
    <x v="134"/>
    <s v="New York City"/>
    <x v="15"/>
    <x v="3"/>
    <x v="2"/>
    <s v="Machines"/>
    <x v="292"/>
    <n v="3991.98"/>
    <n v="2"/>
    <n v="0"/>
    <n v="1995.99"/>
    <n v="7983.96"/>
    <x v="2"/>
    <x v="0"/>
  </r>
  <r>
    <n v="320"/>
    <s v="CA-2016-164973"/>
    <d v="2016-11-04T00:00:00"/>
    <x v="1"/>
    <x v="134"/>
    <s v="New York City"/>
    <x v="15"/>
    <x v="3"/>
    <x v="2"/>
    <s v="Phones"/>
    <x v="40"/>
    <n v="275.94"/>
    <n v="6"/>
    <n v="0"/>
    <n v="80.022599999999997"/>
    <n v="1655.6399999999999"/>
    <x v="2"/>
    <x v="0"/>
  </r>
  <r>
    <n v="321"/>
    <s v="CA-2016-164973"/>
    <d v="2016-11-04T00:00:00"/>
    <x v="1"/>
    <x v="134"/>
    <s v="New York City"/>
    <x v="15"/>
    <x v="3"/>
    <x v="2"/>
    <s v="Accessories"/>
    <x v="293"/>
    <n v="360"/>
    <n v="4"/>
    <n v="0"/>
    <n v="129.6"/>
    <n v="1440"/>
    <x v="2"/>
    <x v="0"/>
  </r>
  <r>
    <n v="322"/>
    <s v="CA-2016-164973"/>
    <d v="2016-11-04T00:00:00"/>
    <x v="1"/>
    <x v="134"/>
    <s v="New York City"/>
    <x v="15"/>
    <x v="3"/>
    <x v="1"/>
    <s v="Storage"/>
    <x v="123"/>
    <n v="43.57"/>
    <n v="1"/>
    <n v="0"/>
    <n v="13.070999999999998"/>
    <n v="43.57"/>
    <x v="2"/>
    <x v="0"/>
  </r>
  <r>
    <n v="323"/>
    <s v="CA-2016-156601"/>
    <d v="2016-09-19T00:00:00"/>
    <x v="1"/>
    <x v="135"/>
    <s v="Long Beach"/>
    <x v="1"/>
    <x v="1"/>
    <x v="1"/>
    <s v="Fasteners"/>
    <x v="294"/>
    <n v="7.16"/>
    <n v="2"/>
    <n v="0"/>
    <n v="3.58"/>
    <n v="14.32"/>
    <x v="2"/>
    <x v="8"/>
  </r>
  <r>
    <n v="324"/>
    <s v="CA-2018-162138"/>
    <d v="2018-04-23T00:00:00"/>
    <x v="1"/>
    <x v="136"/>
    <s v="Hesperia"/>
    <x v="1"/>
    <x v="1"/>
    <x v="1"/>
    <s v="Binders"/>
    <x v="270"/>
    <n v="251.52"/>
    <n v="6"/>
    <n v="0.2"/>
    <n v="81.744"/>
    <n v="1207.296"/>
    <x v="0"/>
    <x v="3"/>
  </r>
  <r>
    <n v="325"/>
    <s v="CA-2018-162138"/>
    <d v="2018-04-23T00:00:00"/>
    <x v="1"/>
    <x v="136"/>
    <s v="Hesperia"/>
    <x v="1"/>
    <x v="1"/>
    <x v="2"/>
    <s v="Accessories"/>
    <x v="295"/>
    <n v="99.99"/>
    <n v="1"/>
    <n v="0"/>
    <n v="34.996499999999997"/>
    <n v="99.99"/>
    <x v="0"/>
    <x v="3"/>
  </r>
  <r>
    <n v="326"/>
    <s v="CA-2019-153339"/>
    <d v="2019-11-03T00:00:00"/>
    <x v="0"/>
    <x v="137"/>
    <s v="Murfreesboro"/>
    <x v="18"/>
    <x v="0"/>
    <x v="0"/>
    <s v="Furnishings"/>
    <x v="296"/>
    <n v="15.991999999999999"/>
    <n v="1"/>
    <n v="0.2"/>
    <n v="0.99949999999999894"/>
    <n v="12.7936"/>
    <x v="3"/>
    <x v="0"/>
  </r>
  <r>
    <n v="327"/>
    <s v="US-2018-141544"/>
    <d v="2018-08-30T00:00:00"/>
    <x v="2"/>
    <x v="138"/>
    <s v="Philadelphia"/>
    <x v="9"/>
    <x v="3"/>
    <x v="2"/>
    <s v="Phones"/>
    <x v="297"/>
    <n v="290.89800000000002"/>
    <n v="3"/>
    <n v="0.4"/>
    <n v="-67.876199999999997"/>
    <n v="523.6164"/>
    <x v="0"/>
    <x v="6"/>
  </r>
  <r>
    <n v="328"/>
    <s v="US-2018-141544"/>
    <d v="2018-08-30T00:00:00"/>
    <x v="2"/>
    <x v="138"/>
    <s v="Philadelphia"/>
    <x v="9"/>
    <x v="3"/>
    <x v="1"/>
    <s v="Storage"/>
    <x v="298"/>
    <n v="54.224000000000004"/>
    <n v="2"/>
    <n v="0.2"/>
    <n v="3.3889999999999993"/>
    <n v="86.758400000000009"/>
    <x v="0"/>
    <x v="6"/>
  </r>
  <r>
    <n v="329"/>
    <s v="US-2018-141544"/>
    <d v="2018-08-30T00:00:00"/>
    <x v="2"/>
    <x v="138"/>
    <s v="Philadelphia"/>
    <x v="9"/>
    <x v="3"/>
    <x v="0"/>
    <s v="Chairs"/>
    <x v="299"/>
    <n v="786.74400000000003"/>
    <n v="4"/>
    <n v="0.3"/>
    <n v="-258.50160000000011"/>
    <n v="2202.8831999999998"/>
    <x v="0"/>
    <x v="6"/>
  </r>
  <r>
    <n v="330"/>
    <s v="US-2018-141544"/>
    <d v="2018-08-30T00:00:00"/>
    <x v="2"/>
    <x v="138"/>
    <s v="Philadelphia"/>
    <x v="9"/>
    <x v="3"/>
    <x v="1"/>
    <s v="Labels"/>
    <x v="300"/>
    <n v="100.24000000000001"/>
    <n v="10"/>
    <n v="0.2"/>
    <n v="33.830999999999989"/>
    <n v="801.92000000000007"/>
    <x v="0"/>
    <x v="6"/>
  </r>
  <r>
    <n v="331"/>
    <s v="US-2018-141544"/>
    <d v="2018-08-30T00:00:00"/>
    <x v="2"/>
    <x v="138"/>
    <s v="Philadelphia"/>
    <x v="9"/>
    <x v="3"/>
    <x v="1"/>
    <s v="Binders"/>
    <x v="301"/>
    <n v="37.76400000000001"/>
    <n v="6"/>
    <n v="0.7"/>
    <n v="-27.693600000000004"/>
    <n v="67.975200000000029"/>
    <x v="0"/>
    <x v="6"/>
  </r>
  <r>
    <n v="332"/>
    <s v="US-2018-150147"/>
    <d v="2018-04-25T00:00:00"/>
    <x v="0"/>
    <x v="139"/>
    <s v="Philadelphia"/>
    <x v="9"/>
    <x v="3"/>
    <x v="2"/>
    <s v="Phones"/>
    <x v="302"/>
    <n v="82.8"/>
    <n v="2"/>
    <n v="0.4"/>
    <n v="-20.700000000000003"/>
    <n v="99.36"/>
    <x v="0"/>
    <x v="3"/>
  </r>
  <r>
    <n v="333"/>
    <s v="US-2018-150147"/>
    <d v="2018-04-25T00:00:00"/>
    <x v="0"/>
    <x v="139"/>
    <s v="Philadelphia"/>
    <x v="9"/>
    <x v="3"/>
    <x v="1"/>
    <s v="Binders"/>
    <x v="303"/>
    <n v="20.724000000000004"/>
    <n v="2"/>
    <n v="0.7"/>
    <n v="-13.815999999999995"/>
    <n v="12.434400000000004"/>
    <x v="0"/>
    <x v="3"/>
  </r>
  <r>
    <n v="334"/>
    <s v="US-2018-150147"/>
    <d v="2018-04-25T00:00:00"/>
    <x v="0"/>
    <x v="139"/>
    <s v="Philadelphia"/>
    <x v="9"/>
    <x v="3"/>
    <x v="1"/>
    <s v="Binders"/>
    <x v="304"/>
    <n v="4.8960000000000008"/>
    <n v="3"/>
    <n v="0.7"/>
    <n v="-3.4271999999999991"/>
    <n v="4.4064000000000014"/>
    <x v="0"/>
    <x v="3"/>
  </r>
  <r>
    <n v="335"/>
    <s v="CA-2017-137946"/>
    <d v="2017-09-01T00:00:00"/>
    <x v="0"/>
    <x v="140"/>
    <s v="Los Angeles"/>
    <x v="1"/>
    <x v="1"/>
    <x v="1"/>
    <s v="Binders"/>
    <x v="305"/>
    <n v="4.7520000000000007"/>
    <n v="1"/>
    <n v="0.2"/>
    <n v="1.6037999999999997"/>
    <n v="3.8016000000000005"/>
    <x v="1"/>
    <x v="8"/>
  </r>
  <r>
    <n v="336"/>
    <s v="CA-2017-137946"/>
    <d v="2017-09-01T00:00:00"/>
    <x v="0"/>
    <x v="140"/>
    <s v="Los Angeles"/>
    <x v="1"/>
    <x v="1"/>
    <x v="2"/>
    <s v="Copiers"/>
    <x v="306"/>
    <n v="959.98400000000004"/>
    <n v="2"/>
    <n v="0.2"/>
    <n v="335.99440000000004"/>
    <n v="1535.9744000000001"/>
    <x v="1"/>
    <x v="8"/>
  </r>
  <r>
    <n v="337"/>
    <s v="CA-2017-137946"/>
    <d v="2017-09-01T00:00:00"/>
    <x v="0"/>
    <x v="140"/>
    <s v="Los Angeles"/>
    <x v="1"/>
    <x v="1"/>
    <x v="1"/>
    <s v="Binders"/>
    <x v="307"/>
    <n v="14.368000000000002"/>
    <n v="4"/>
    <n v="0.2"/>
    <n v="4.4899999999999984"/>
    <n v="45.97760000000001"/>
    <x v="1"/>
    <x v="8"/>
  </r>
  <r>
    <n v="338"/>
    <s v="CA-2016-129924"/>
    <d v="2016-07-12T00:00:00"/>
    <x v="1"/>
    <x v="141"/>
    <s v="San Francisco"/>
    <x v="1"/>
    <x v="1"/>
    <x v="1"/>
    <s v="Binders"/>
    <x v="308"/>
    <n v="7.7120000000000006"/>
    <n v="2"/>
    <n v="0.2"/>
    <n v="2.7956000000000003"/>
    <n v="12.339200000000002"/>
    <x v="2"/>
    <x v="7"/>
  </r>
  <r>
    <n v="339"/>
    <s v="CA-2016-129924"/>
    <d v="2016-07-12T00:00:00"/>
    <x v="1"/>
    <x v="141"/>
    <s v="San Francisco"/>
    <x v="1"/>
    <x v="1"/>
    <x v="0"/>
    <s v="Tables"/>
    <x v="309"/>
    <n v="698.35200000000009"/>
    <n v="3"/>
    <n v="0.2"/>
    <n v="-17.458800000000053"/>
    <n v="1676.0448000000006"/>
    <x v="2"/>
    <x v="7"/>
  </r>
  <r>
    <n v="340"/>
    <s v="CA-2017-128167"/>
    <d v="2017-06-22T00:00:00"/>
    <x v="0"/>
    <x v="107"/>
    <s v="Layton"/>
    <x v="7"/>
    <x v="1"/>
    <x v="1"/>
    <s v="Fasteners"/>
    <x v="310"/>
    <n v="4.96"/>
    <n v="4"/>
    <n v="0"/>
    <n v="2.3311999999999999"/>
    <n v="19.84"/>
    <x v="1"/>
    <x v="1"/>
  </r>
  <r>
    <n v="341"/>
    <s v="CA-2016-122336"/>
    <d v="2016-04-13T00:00:00"/>
    <x v="0"/>
    <x v="63"/>
    <s v="Philadelphia"/>
    <x v="9"/>
    <x v="3"/>
    <x v="1"/>
    <s v="Art"/>
    <x v="311"/>
    <n v="17.856000000000002"/>
    <n v="4"/>
    <n v="0.2"/>
    <n v="1.1159999999999979"/>
    <n v="57.13920000000001"/>
    <x v="2"/>
    <x v="3"/>
  </r>
  <r>
    <n v="342"/>
    <s v="CA-2016-122336"/>
    <d v="2016-04-13T00:00:00"/>
    <x v="0"/>
    <x v="63"/>
    <s v="Philadelphia"/>
    <x v="9"/>
    <x v="3"/>
    <x v="1"/>
    <s v="Binders"/>
    <x v="13"/>
    <n v="509.97000000000008"/>
    <n v="10"/>
    <n v="0.7"/>
    <n v="-407.97599999999989"/>
    <n v="1529.9100000000005"/>
    <x v="2"/>
    <x v="3"/>
  </r>
  <r>
    <n v="343"/>
    <s v="CA-2016-122336"/>
    <d v="2016-04-13T00:00:00"/>
    <x v="0"/>
    <x v="63"/>
    <s v="Philadelphia"/>
    <x v="9"/>
    <x v="3"/>
    <x v="1"/>
    <s v="Fasteners"/>
    <x v="128"/>
    <n v="30.991999999999997"/>
    <n v="13"/>
    <n v="0.2"/>
    <n v="10.072399999999996"/>
    <n v="322.3168"/>
    <x v="2"/>
    <x v="3"/>
  </r>
  <r>
    <n v="344"/>
    <s v="CA-2016-122336"/>
    <d v="2016-04-13T00:00:00"/>
    <x v="0"/>
    <x v="63"/>
    <s v="Philadelphia"/>
    <x v="9"/>
    <x v="3"/>
    <x v="2"/>
    <s v="Phones"/>
    <x v="312"/>
    <n v="71.927999999999997"/>
    <n v="12"/>
    <n v="0.4"/>
    <n v="8.3915999999999897"/>
    <n v="517.88159999999993"/>
    <x v="2"/>
    <x v="3"/>
  </r>
  <r>
    <n v="345"/>
    <s v="US-2017-120712"/>
    <d v="2017-12-20T00:00:00"/>
    <x v="1"/>
    <x v="79"/>
    <s v="Austin"/>
    <x v="5"/>
    <x v="2"/>
    <x v="1"/>
    <s v="Storage"/>
    <x v="17"/>
    <n v="88.800000000000011"/>
    <n v="4"/>
    <n v="0.2"/>
    <n v="-2.2200000000000131"/>
    <n v="284.16000000000003"/>
    <x v="1"/>
    <x v="4"/>
  </r>
  <r>
    <n v="346"/>
    <s v="CA-2019-169901"/>
    <d v="2019-06-15T00:00:00"/>
    <x v="1"/>
    <x v="142"/>
    <s v="San Francisco"/>
    <x v="1"/>
    <x v="1"/>
    <x v="2"/>
    <s v="Phones"/>
    <x v="126"/>
    <n v="47.975999999999999"/>
    <n v="3"/>
    <n v="0.2"/>
    <n v="4.7976000000000028"/>
    <n v="115.14240000000001"/>
    <x v="3"/>
    <x v="1"/>
  </r>
  <r>
    <n v="347"/>
    <s v="CA-2019-134306"/>
    <d v="2019-07-08T00:00:00"/>
    <x v="1"/>
    <x v="143"/>
    <s v="Lowell"/>
    <x v="31"/>
    <x v="3"/>
    <x v="1"/>
    <s v="Art"/>
    <x v="184"/>
    <n v="7.5600000000000005"/>
    <n v="3"/>
    <n v="0"/>
    <n v="3.0996000000000006"/>
    <n v="22.68"/>
    <x v="3"/>
    <x v="7"/>
  </r>
  <r>
    <n v="348"/>
    <s v="CA-2019-134306"/>
    <d v="2019-07-08T00:00:00"/>
    <x v="1"/>
    <x v="143"/>
    <s v="Lowell"/>
    <x v="31"/>
    <x v="3"/>
    <x v="1"/>
    <s v="Paper"/>
    <x v="33"/>
    <n v="24.56"/>
    <n v="2"/>
    <n v="0"/>
    <n v="11.543199999999999"/>
    <n v="49.12"/>
    <x v="3"/>
    <x v="7"/>
  </r>
  <r>
    <n v="349"/>
    <s v="CA-2019-134306"/>
    <d v="2019-07-08T00:00:00"/>
    <x v="1"/>
    <x v="143"/>
    <s v="Lowell"/>
    <x v="31"/>
    <x v="3"/>
    <x v="1"/>
    <s v="Art"/>
    <x v="313"/>
    <n v="12.96"/>
    <n v="2"/>
    <n v="0"/>
    <n v="4.1471999999999998"/>
    <n v="25.92"/>
    <x v="3"/>
    <x v="7"/>
  </r>
  <r>
    <n v="350"/>
    <s v="CA-2018-129714"/>
    <d v="2018-09-01T00:00:00"/>
    <x v="2"/>
    <x v="144"/>
    <s v="New York City"/>
    <x v="15"/>
    <x v="3"/>
    <x v="2"/>
    <s v="Accessories"/>
    <x v="235"/>
    <n v="6.79"/>
    <n v="1"/>
    <n v="0"/>
    <n v="2.3086000000000002"/>
    <n v="6.79"/>
    <x v="0"/>
    <x v="8"/>
  </r>
  <r>
    <n v="351"/>
    <s v="CA-2018-129714"/>
    <d v="2018-09-01T00:00:00"/>
    <x v="2"/>
    <x v="144"/>
    <s v="New York City"/>
    <x v="15"/>
    <x v="3"/>
    <x v="1"/>
    <s v="Paper"/>
    <x v="314"/>
    <n v="24.56"/>
    <n v="2"/>
    <n v="0"/>
    <n v="11.543199999999999"/>
    <n v="49.12"/>
    <x v="0"/>
    <x v="8"/>
  </r>
  <r>
    <n v="352"/>
    <s v="CA-2018-129714"/>
    <d v="2018-09-01T00:00:00"/>
    <x v="2"/>
    <x v="144"/>
    <s v="New York City"/>
    <x v="15"/>
    <x v="3"/>
    <x v="1"/>
    <s v="Binders"/>
    <x v="315"/>
    <n v="3.048"/>
    <n v="1"/>
    <n v="0.2"/>
    <n v="1.0668"/>
    <n v="2.4384000000000001"/>
    <x v="0"/>
    <x v="8"/>
  </r>
  <r>
    <n v="353"/>
    <s v="CA-2018-129714"/>
    <d v="2018-09-01T00:00:00"/>
    <x v="2"/>
    <x v="144"/>
    <s v="New York City"/>
    <x v="15"/>
    <x v="3"/>
    <x v="1"/>
    <s v="Paper"/>
    <x v="314"/>
    <n v="49.12"/>
    <n v="4"/>
    <n v="0"/>
    <n v="23.086399999999998"/>
    <n v="196.48"/>
    <x v="0"/>
    <x v="8"/>
  </r>
  <r>
    <n v="354"/>
    <s v="CA-2018-129714"/>
    <d v="2018-09-01T00:00:00"/>
    <x v="2"/>
    <x v="144"/>
    <s v="New York City"/>
    <x v="15"/>
    <x v="3"/>
    <x v="1"/>
    <s v="Binders"/>
    <x v="316"/>
    <n v="4355.1680000000006"/>
    <n v="4"/>
    <n v="0.2"/>
    <n v="1415.4295999999997"/>
    <n v="13936.537600000003"/>
    <x v="0"/>
    <x v="8"/>
  </r>
  <r>
    <n v="355"/>
    <s v="CA-2018-138520"/>
    <d v="2018-04-08T00:00:00"/>
    <x v="1"/>
    <x v="145"/>
    <s v="New York City"/>
    <x v="15"/>
    <x v="3"/>
    <x v="0"/>
    <s v="Bookcases"/>
    <x v="317"/>
    <n v="388.70400000000006"/>
    <n v="6"/>
    <n v="0.2"/>
    <n v="-4.8588000000000022"/>
    <n v="1865.7792000000002"/>
    <x v="0"/>
    <x v="3"/>
  </r>
  <r>
    <n v="356"/>
    <s v="CA-2018-138520"/>
    <d v="2018-04-08T00:00:00"/>
    <x v="1"/>
    <x v="145"/>
    <s v="New York City"/>
    <x v="15"/>
    <x v="3"/>
    <x v="1"/>
    <s v="Envelopes"/>
    <x v="318"/>
    <n v="8.26"/>
    <n v="2"/>
    <n v="0"/>
    <n v="3.7995999999999999"/>
    <n v="16.52"/>
    <x v="0"/>
    <x v="3"/>
  </r>
  <r>
    <n v="357"/>
    <s v="CA-2018-138520"/>
    <d v="2018-04-08T00:00:00"/>
    <x v="1"/>
    <x v="145"/>
    <s v="New York City"/>
    <x v="15"/>
    <x v="3"/>
    <x v="1"/>
    <s v="Art"/>
    <x v="319"/>
    <n v="17.04"/>
    <n v="4"/>
    <n v="0"/>
    <n v="6.9863999999999997"/>
    <n v="68.16"/>
    <x v="0"/>
    <x v="3"/>
  </r>
  <r>
    <n v="358"/>
    <s v="CA-2018-138520"/>
    <d v="2018-04-08T00:00:00"/>
    <x v="1"/>
    <x v="145"/>
    <s v="New York City"/>
    <x v="15"/>
    <x v="3"/>
    <x v="1"/>
    <s v="Paper"/>
    <x v="320"/>
    <n v="34.4"/>
    <n v="5"/>
    <n v="0"/>
    <n v="15.823999999999998"/>
    <n v="172"/>
    <x v="0"/>
    <x v="3"/>
  </r>
  <r>
    <n v="359"/>
    <s v="CA-2018-130001"/>
    <d v="2018-04-23T00:00:00"/>
    <x v="1"/>
    <x v="96"/>
    <s v="Charlotte"/>
    <x v="3"/>
    <x v="0"/>
    <x v="1"/>
    <s v="Paper"/>
    <x v="188"/>
    <n v="36.240000000000009"/>
    <n v="5"/>
    <n v="0.2"/>
    <n v="11.324999999999996"/>
    <n v="144.96000000000004"/>
    <x v="0"/>
    <x v="3"/>
  </r>
  <r>
    <n v="360"/>
    <s v="CA-2019-155698"/>
    <d v="2019-03-08T00:00:00"/>
    <x v="2"/>
    <x v="146"/>
    <s v="Columbus"/>
    <x v="32"/>
    <x v="0"/>
    <x v="1"/>
    <s v="Appliances"/>
    <x v="321"/>
    <n v="647.84"/>
    <n v="8"/>
    <n v="0"/>
    <n v="168.4384"/>
    <n v="5182.72"/>
    <x v="3"/>
    <x v="10"/>
  </r>
  <r>
    <n v="361"/>
    <s v="CA-2019-155698"/>
    <d v="2019-03-08T00:00:00"/>
    <x v="2"/>
    <x v="146"/>
    <s v="Columbus"/>
    <x v="32"/>
    <x v="0"/>
    <x v="1"/>
    <s v="Labels"/>
    <x v="322"/>
    <n v="20.7"/>
    <n v="2"/>
    <n v="0"/>
    <n v="9.9359999999999999"/>
    <n v="41.4"/>
    <x v="3"/>
    <x v="10"/>
  </r>
  <r>
    <n v="362"/>
    <s v="CA-2019-144904"/>
    <d v="2019-09-25T00:00:00"/>
    <x v="1"/>
    <x v="147"/>
    <s v="New York City"/>
    <x v="15"/>
    <x v="3"/>
    <x v="1"/>
    <s v="Labels"/>
    <x v="322"/>
    <n v="20.7"/>
    <n v="2"/>
    <n v="0"/>
    <n v="9.9359999999999999"/>
    <n v="41.4"/>
    <x v="3"/>
    <x v="8"/>
  </r>
  <r>
    <n v="363"/>
    <s v="CA-2019-144904"/>
    <d v="2019-09-25T00:00:00"/>
    <x v="1"/>
    <x v="147"/>
    <s v="New York City"/>
    <x v="15"/>
    <x v="3"/>
    <x v="0"/>
    <s v="Chairs"/>
    <x v="323"/>
    <n v="488.64600000000002"/>
    <n v="3"/>
    <n v="0.1"/>
    <n v="86.870400000000004"/>
    <n v="1319.3442000000002"/>
    <x v="3"/>
    <x v="8"/>
  </r>
  <r>
    <n v="364"/>
    <s v="CA-2019-144904"/>
    <d v="2019-09-25T00:00:00"/>
    <x v="1"/>
    <x v="147"/>
    <s v="New York City"/>
    <x v="15"/>
    <x v="3"/>
    <x v="1"/>
    <s v="Art"/>
    <x v="324"/>
    <n v="5.56"/>
    <n v="2"/>
    <n v="0"/>
    <n v="1.4455999999999998"/>
    <n v="11.12"/>
    <x v="3"/>
    <x v="8"/>
  </r>
  <r>
    <n v="365"/>
    <s v="CA-2019-144904"/>
    <d v="2019-09-25T00:00:00"/>
    <x v="1"/>
    <x v="147"/>
    <s v="New York City"/>
    <x v="15"/>
    <x v="3"/>
    <x v="0"/>
    <s v="Furnishings"/>
    <x v="325"/>
    <n v="47.12"/>
    <n v="8"/>
    <n v="0"/>
    <n v="20.732800000000001"/>
    <n v="376.96"/>
    <x v="3"/>
    <x v="8"/>
  </r>
  <r>
    <n v="366"/>
    <s v="CA-2016-123344"/>
    <d v="2016-09-24T00:00:00"/>
    <x v="1"/>
    <x v="148"/>
    <s v="San Francisco"/>
    <x v="1"/>
    <x v="1"/>
    <x v="1"/>
    <s v="Storage"/>
    <x v="45"/>
    <n v="211.96"/>
    <n v="4"/>
    <n v="0"/>
    <n v="8.4783999999999935"/>
    <n v="847.84"/>
    <x v="2"/>
    <x v="8"/>
  </r>
  <r>
    <n v="367"/>
    <s v="CA-2018-155516"/>
    <d v="2018-10-21T00:00:00"/>
    <x v="3"/>
    <x v="149"/>
    <s v="Manchester"/>
    <x v="29"/>
    <x v="3"/>
    <x v="1"/>
    <s v="Binders"/>
    <x v="326"/>
    <n v="23.2"/>
    <n v="4"/>
    <n v="0"/>
    <n v="10.44"/>
    <n v="92.8"/>
    <x v="0"/>
    <x v="2"/>
  </r>
  <r>
    <n v="368"/>
    <s v="CA-2018-155516"/>
    <d v="2018-10-21T00:00:00"/>
    <x v="3"/>
    <x v="149"/>
    <s v="Manchester"/>
    <x v="29"/>
    <x v="3"/>
    <x v="1"/>
    <s v="Supplies"/>
    <x v="327"/>
    <n v="7.36"/>
    <n v="2"/>
    <n v="0"/>
    <n v="0.14719999999999978"/>
    <n v="14.72"/>
    <x v="0"/>
    <x v="2"/>
  </r>
  <r>
    <n v="369"/>
    <s v="CA-2018-155516"/>
    <d v="2018-10-21T00:00:00"/>
    <x v="3"/>
    <x v="149"/>
    <s v="Manchester"/>
    <x v="29"/>
    <x v="3"/>
    <x v="1"/>
    <s v="Storage"/>
    <x v="328"/>
    <n v="104.79"/>
    <n v="7"/>
    <n v="0"/>
    <n v="29.341200000000008"/>
    <n v="733.53000000000009"/>
    <x v="0"/>
    <x v="2"/>
  </r>
  <r>
    <n v="370"/>
    <s v="CA-2018-155516"/>
    <d v="2018-10-21T00:00:00"/>
    <x v="3"/>
    <x v="149"/>
    <s v="Manchester"/>
    <x v="29"/>
    <x v="3"/>
    <x v="0"/>
    <s v="Bookcases"/>
    <x v="37"/>
    <n v="1043.92"/>
    <n v="4"/>
    <n v="0"/>
    <n v="271.41920000000005"/>
    <n v="4175.68"/>
    <x v="0"/>
    <x v="2"/>
  </r>
  <r>
    <n v="371"/>
    <s v="CA-2019-104745"/>
    <d v="2019-05-29T00:00:00"/>
    <x v="1"/>
    <x v="150"/>
    <s v="Harlingen"/>
    <x v="5"/>
    <x v="2"/>
    <x v="1"/>
    <s v="Paper"/>
    <x v="329"/>
    <n v="25.920000000000005"/>
    <n v="5"/>
    <n v="0.2"/>
    <n v="9.3960000000000008"/>
    <n v="103.68000000000002"/>
    <x v="3"/>
    <x v="5"/>
  </r>
  <r>
    <n v="372"/>
    <s v="CA-2019-104745"/>
    <d v="2019-05-29T00:00:00"/>
    <x v="1"/>
    <x v="150"/>
    <s v="Harlingen"/>
    <x v="5"/>
    <x v="2"/>
    <x v="1"/>
    <s v="Storage"/>
    <x v="330"/>
    <n v="53.424000000000007"/>
    <n v="3"/>
    <n v="0.2"/>
    <n v="4.6746000000000016"/>
    <n v="128.21760000000003"/>
    <x v="3"/>
    <x v="5"/>
  </r>
  <r>
    <n v="373"/>
    <s v="US-2016-119137"/>
    <d v="2016-07-23T00:00:00"/>
    <x v="1"/>
    <x v="151"/>
    <s v="Tucson"/>
    <x v="16"/>
    <x v="1"/>
    <x v="1"/>
    <s v="Binders"/>
    <x v="304"/>
    <n v="8.1600000000000019"/>
    <n v="5"/>
    <n v="0.7"/>
    <n v="-5.7119999999999997"/>
    <n v="12.240000000000006"/>
    <x v="2"/>
    <x v="7"/>
  </r>
  <r>
    <n v="374"/>
    <s v="US-2016-119137"/>
    <d v="2016-07-23T00:00:00"/>
    <x v="1"/>
    <x v="151"/>
    <s v="Tucson"/>
    <x v="16"/>
    <x v="1"/>
    <x v="2"/>
    <s v="Accessories"/>
    <x v="331"/>
    <n v="1023.9360000000001"/>
    <n v="8"/>
    <n v="0.2"/>
    <n v="179.1887999999999"/>
    <n v="6553.1904000000013"/>
    <x v="2"/>
    <x v="7"/>
  </r>
  <r>
    <n v="375"/>
    <s v="US-2016-119137"/>
    <d v="2016-07-23T00:00:00"/>
    <x v="1"/>
    <x v="151"/>
    <s v="Tucson"/>
    <x v="16"/>
    <x v="1"/>
    <x v="1"/>
    <s v="Art"/>
    <x v="332"/>
    <n v="9.24"/>
    <n v="1"/>
    <n v="0.2"/>
    <n v="0.92399999999999993"/>
    <n v="7.3920000000000003"/>
    <x v="2"/>
    <x v="7"/>
  </r>
  <r>
    <n v="376"/>
    <s v="US-2016-119137"/>
    <d v="2016-07-23T00:00:00"/>
    <x v="1"/>
    <x v="151"/>
    <s v="Tucson"/>
    <x v="16"/>
    <x v="1"/>
    <x v="2"/>
    <s v="Accessories"/>
    <x v="333"/>
    <n v="479.04"/>
    <n v="10"/>
    <n v="0.2"/>
    <n v="-29.940000000000012"/>
    <n v="3832.3200000000006"/>
    <x v="2"/>
    <x v="7"/>
  </r>
  <r>
    <n v="377"/>
    <s v="US-2018-134656"/>
    <d v="2018-09-28T00:00:00"/>
    <x v="2"/>
    <x v="152"/>
    <s v="Quincy"/>
    <x v="10"/>
    <x v="2"/>
    <x v="1"/>
    <s v="Paper"/>
    <x v="334"/>
    <n v="99.13600000000001"/>
    <n v="4"/>
    <n v="0.2"/>
    <n v="30.979999999999993"/>
    <n v="317.23520000000008"/>
    <x v="0"/>
    <x v="8"/>
  </r>
  <r>
    <n v="378"/>
    <s v="US-2019-134481"/>
    <d v="2019-08-27T00:00:00"/>
    <x v="1"/>
    <x v="153"/>
    <s v="Franklin"/>
    <x v="31"/>
    <x v="3"/>
    <x v="0"/>
    <s v="Tables"/>
    <x v="335"/>
    <n v="1488.4239999999998"/>
    <n v="7"/>
    <n v="0.3"/>
    <n v="-297.68479999999983"/>
    <n v="7293.2775999999985"/>
    <x v="3"/>
    <x v="6"/>
  </r>
  <r>
    <n v="379"/>
    <s v="CA-2017-130792"/>
    <d v="2017-04-28T00:00:00"/>
    <x v="1"/>
    <x v="154"/>
    <s v="Houston"/>
    <x v="5"/>
    <x v="2"/>
    <x v="1"/>
    <s v="Appliances"/>
    <x v="336"/>
    <n v="8.6519999999999975"/>
    <n v="3"/>
    <n v="0.8"/>
    <n v="-20.332200000000007"/>
    <n v="5.1911999999999976"/>
    <x v="1"/>
    <x v="3"/>
  </r>
  <r>
    <n v="380"/>
    <s v="CA-2017-130792"/>
    <d v="2017-04-28T00:00:00"/>
    <x v="1"/>
    <x v="154"/>
    <s v="Houston"/>
    <x v="5"/>
    <x v="2"/>
    <x v="1"/>
    <s v="Storage"/>
    <x v="337"/>
    <n v="23.832000000000001"/>
    <n v="3"/>
    <n v="0.2"/>
    <n v="2.6810999999999954"/>
    <n v="57.19680000000001"/>
    <x v="1"/>
    <x v="3"/>
  </r>
  <r>
    <n v="381"/>
    <s v="CA-2017-130792"/>
    <d v="2017-04-28T00:00:00"/>
    <x v="1"/>
    <x v="154"/>
    <s v="Houston"/>
    <x v="5"/>
    <x v="2"/>
    <x v="1"/>
    <s v="Binders"/>
    <x v="338"/>
    <n v="12.175999999999998"/>
    <n v="4"/>
    <n v="0.8"/>
    <n v="-18.872800000000009"/>
    <n v="9.7407999999999966"/>
    <x v="1"/>
    <x v="3"/>
  </r>
  <r>
    <n v="382"/>
    <s v="CA-2018-134775"/>
    <d v="2018-10-28T00:00:00"/>
    <x v="2"/>
    <x v="155"/>
    <s v="San Francisco"/>
    <x v="1"/>
    <x v="1"/>
    <x v="1"/>
    <s v="Paper"/>
    <x v="339"/>
    <n v="50.96"/>
    <n v="7"/>
    <n v="0"/>
    <n v="25.48"/>
    <n v="356.72"/>
    <x v="0"/>
    <x v="2"/>
  </r>
  <r>
    <n v="383"/>
    <s v="CA-2018-134775"/>
    <d v="2018-10-28T00:00:00"/>
    <x v="2"/>
    <x v="155"/>
    <s v="San Francisco"/>
    <x v="1"/>
    <x v="1"/>
    <x v="1"/>
    <s v="Binders"/>
    <x v="340"/>
    <n v="49.536000000000001"/>
    <n v="3"/>
    <n v="0.2"/>
    <n v="17.337599999999998"/>
    <n v="118.88640000000001"/>
    <x v="0"/>
    <x v="2"/>
  </r>
  <r>
    <n v="384"/>
    <s v="CA-2017-125395"/>
    <d v="2017-06-26T00:00:00"/>
    <x v="0"/>
    <x v="156"/>
    <s v="Taylor"/>
    <x v="12"/>
    <x v="2"/>
    <x v="2"/>
    <s v="Accessories"/>
    <x v="341"/>
    <n v="41.9"/>
    <n v="2"/>
    <n v="0"/>
    <n v="8.7989999999999995"/>
    <n v="83.8"/>
    <x v="1"/>
    <x v="1"/>
  </r>
  <r>
    <n v="385"/>
    <s v="US-2017-168935"/>
    <d v="2017-11-27T00:00:00"/>
    <x v="1"/>
    <x v="157"/>
    <s v="Pembroke Pines"/>
    <x v="2"/>
    <x v="0"/>
    <x v="0"/>
    <s v="Tables"/>
    <x v="342"/>
    <n v="375.45750000000004"/>
    <n v="3"/>
    <n v="0.45"/>
    <n v="-157.00949999999997"/>
    <n v="619.5048750000002"/>
    <x v="1"/>
    <x v="0"/>
  </r>
  <r>
    <n v="386"/>
    <s v="US-2017-168935"/>
    <d v="2017-11-27T00:00:00"/>
    <x v="1"/>
    <x v="157"/>
    <s v="Pembroke Pines"/>
    <x v="2"/>
    <x v="0"/>
    <x v="2"/>
    <s v="Accessories"/>
    <x v="343"/>
    <n v="83.976000000000013"/>
    <n v="3"/>
    <n v="0.2"/>
    <n v="-1.049700000000005"/>
    <n v="201.54240000000004"/>
    <x v="1"/>
    <x v="0"/>
  </r>
  <r>
    <n v="387"/>
    <s v="CA-2017-122756"/>
    <d v="2017-12-03T00:00:00"/>
    <x v="1"/>
    <x v="158"/>
    <s v="Philadelphia"/>
    <x v="9"/>
    <x v="3"/>
    <x v="2"/>
    <s v="Machines"/>
    <x v="344"/>
    <n v="482.34000000000003"/>
    <n v="4"/>
    <n v="0.7"/>
    <n v="-337.63799999999981"/>
    <n v="578.80800000000011"/>
    <x v="1"/>
    <x v="4"/>
  </r>
  <r>
    <n v="388"/>
    <s v="CA-2017-122756"/>
    <d v="2017-12-03T00:00:00"/>
    <x v="1"/>
    <x v="158"/>
    <s v="Philadelphia"/>
    <x v="9"/>
    <x v="3"/>
    <x v="0"/>
    <s v="Furnishings"/>
    <x v="345"/>
    <n v="2.9600000000000004"/>
    <n v="1"/>
    <n v="0.2"/>
    <n v="0.77700000000000025"/>
    <n v="2.3680000000000003"/>
    <x v="1"/>
    <x v="4"/>
  </r>
  <r>
    <n v="389"/>
    <s v="CA-2016-115973"/>
    <d v="2016-11-24T00:00:00"/>
    <x v="2"/>
    <x v="159"/>
    <s v="Cincinnati"/>
    <x v="24"/>
    <x v="3"/>
    <x v="1"/>
    <s v="Art"/>
    <x v="346"/>
    <n v="2.6240000000000001"/>
    <n v="1"/>
    <n v="0.2"/>
    <n v="0.42639999999999978"/>
    <n v="2.0992000000000002"/>
    <x v="2"/>
    <x v="0"/>
  </r>
  <r>
    <n v="390"/>
    <s v="CA-2019-101798"/>
    <d v="2019-12-11T00:00:00"/>
    <x v="1"/>
    <x v="160"/>
    <s v="New York City"/>
    <x v="15"/>
    <x v="3"/>
    <x v="1"/>
    <s v="Binders"/>
    <x v="347"/>
    <n v="23.36"/>
    <n v="4"/>
    <n v="0.2"/>
    <n v="7.8839999999999986"/>
    <n v="74.751999999999995"/>
    <x v="3"/>
    <x v="4"/>
  </r>
  <r>
    <n v="391"/>
    <s v="CA-2019-101798"/>
    <d v="2019-12-11T00:00:00"/>
    <x v="1"/>
    <x v="160"/>
    <s v="New York City"/>
    <x v="15"/>
    <x v="3"/>
    <x v="2"/>
    <s v="Accessories"/>
    <x v="84"/>
    <n v="39.979999999999997"/>
    <n v="2"/>
    <n v="0"/>
    <n v="13.593199999999996"/>
    <n v="79.959999999999994"/>
    <x v="3"/>
    <x v="4"/>
  </r>
  <r>
    <n v="392"/>
    <s v="US-2016-135972"/>
    <d v="2016-09-21T00:00:00"/>
    <x v="0"/>
    <x v="161"/>
    <s v="Des Moines"/>
    <x v="4"/>
    <x v="1"/>
    <x v="2"/>
    <s v="Phones"/>
    <x v="348"/>
    <n v="246.38400000000001"/>
    <n v="2"/>
    <n v="0.2"/>
    <n v="27.718199999999968"/>
    <n v="394.21440000000007"/>
    <x v="2"/>
    <x v="8"/>
  </r>
  <r>
    <n v="393"/>
    <s v="US-2016-135972"/>
    <d v="2016-09-21T00:00:00"/>
    <x v="0"/>
    <x v="161"/>
    <s v="Des Moines"/>
    <x v="4"/>
    <x v="1"/>
    <x v="2"/>
    <s v="Copiers"/>
    <x v="349"/>
    <n v="1799.97"/>
    <n v="3"/>
    <n v="0"/>
    <n v="701.98829999999998"/>
    <n v="5399.91"/>
    <x v="2"/>
    <x v="8"/>
  </r>
  <r>
    <n v="394"/>
    <s v="US-2016-134971"/>
    <d v="2016-06-07T00:00:00"/>
    <x v="0"/>
    <x v="162"/>
    <s v="Peoria"/>
    <x v="10"/>
    <x v="2"/>
    <x v="1"/>
    <s v="Binders"/>
    <x v="350"/>
    <n v="12.461999999999996"/>
    <n v="3"/>
    <n v="0.8"/>
    <n v="-20.5623"/>
    <n v="7.4771999999999963"/>
    <x v="2"/>
    <x v="1"/>
  </r>
  <r>
    <n v="395"/>
    <s v="CA-2019-102946"/>
    <d v="2019-06-30T00:00:00"/>
    <x v="1"/>
    <x v="163"/>
    <s v="Las Vegas"/>
    <x v="33"/>
    <x v="1"/>
    <x v="1"/>
    <s v="Binders"/>
    <x v="351"/>
    <n v="75.792000000000002"/>
    <n v="3"/>
    <n v="0.2"/>
    <n v="25.579799999999992"/>
    <n v="181.9008"/>
    <x v="3"/>
    <x v="1"/>
  </r>
  <r>
    <n v="396"/>
    <s v="CA-2019-165603"/>
    <d v="2019-10-17T00:00:00"/>
    <x v="0"/>
    <x v="164"/>
    <s v="Warwick"/>
    <x v="34"/>
    <x v="3"/>
    <x v="1"/>
    <s v="Storage"/>
    <x v="352"/>
    <n v="49.96"/>
    <n v="2"/>
    <n v="0"/>
    <n v="9.4923999999999964"/>
    <n v="99.92"/>
    <x v="3"/>
    <x v="2"/>
  </r>
  <r>
    <n v="397"/>
    <s v="CA-2019-165603"/>
    <d v="2019-10-17T00:00:00"/>
    <x v="0"/>
    <x v="164"/>
    <s v="Warwick"/>
    <x v="34"/>
    <x v="3"/>
    <x v="1"/>
    <s v="Paper"/>
    <x v="353"/>
    <n v="12.96"/>
    <n v="2"/>
    <n v="0"/>
    <n v="6.2208000000000006"/>
    <n v="25.92"/>
    <x v="3"/>
    <x v="2"/>
  </r>
  <r>
    <n v="398"/>
    <s v="CA-2017-122259"/>
    <d v="2017-10-31T00:00:00"/>
    <x v="1"/>
    <x v="6"/>
    <s v="Jackson"/>
    <x v="12"/>
    <x v="2"/>
    <x v="1"/>
    <s v="Supplies"/>
    <x v="354"/>
    <n v="70.12"/>
    <n v="4"/>
    <n v="0"/>
    <n v="21.035999999999994"/>
    <n v="280.48"/>
    <x v="1"/>
    <x v="2"/>
  </r>
  <r>
    <n v="399"/>
    <s v="CA-2018-108987"/>
    <d v="2018-09-08T00:00:00"/>
    <x v="0"/>
    <x v="165"/>
    <s v="Houston"/>
    <x v="5"/>
    <x v="2"/>
    <x v="1"/>
    <s v="Storage"/>
    <x v="355"/>
    <n v="35.952000000000005"/>
    <n v="3"/>
    <n v="0.2"/>
    <n v="3.5951999999999984"/>
    <n v="86.284800000000018"/>
    <x v="0"/>
    <x v="8"/>
  </r>
  <r>
    <n v="400"/>
    <s v="CA-2018-108987"/>
    <d v="2018-09-08T00:00:00"/>
    <x v="0"/>
    <x v="165"/>
    <s v="Houston"/>
    <x v="5"/>
    <x v="2"/>
    <x v="0"/>
    <s v="Bookcases"/>
    <x v="26"/>
    <n v="2396.2655999999997"/>
    <n v="4"/>
    <n v="0.32"/>
    <n v="-317.15280000000007"/>
    <n v="6517.8424319999986"/>
    <x v="0"/>
    <x v="8"/>
  </r>
  <r>
    <n v="401"/>
    <s v="CA-2018-108987"/>
    <d v="2018-09-08T00:00:00"/>
    <x v="0"/>
    <x v="165"/>
    <s v="Houston"/>
    <x v="5"/>
    <x v="2"/>
    <x v="1"/>
    <s v="Storage"/>
    <x v="356"/>
    <n v="131.136"/>
    <n v="4"/>
    <n v="0.2"/>
    <n v="-32.783999999999999"/>
    <n v="419.6352"/>
    <x v="0"/>
    <x v="8"/>
  </r>
  <r>
    <n v="402"/>
    <s v="CA-2018-108987"/>
    <d v="2018-09-08T00:00:00"/>
    <x v="0"/>
    <x v="165"/>
    <s v="Houston"/>
    <x v="5"/>
    <x v="2"/>
    <x v="2"/>
    <s v="Accessories"/>
    <x v="357"/>
    <n v="57.584000000000003"/>
    <n v="2"/>
    <n v="0.2"/>
    <n v="0.71979999999999933"/>
    <n v="92.134400000000014"/>
    <x v="0"/>
    <x v="8"/>
  </r>
  <r>
    <n v="403"/>
    <s v="CA-2016-113166"/>
    <d v="2016-12-24T00:00:00"/>
    <x v="2"/>
    <x v="166"/>
    <s v="Miami"/>
    <x v="2"/>
    <x v="0"/>
    <x v="1"/>
    <s v="Paper"/>
    <x v="358"/>
    <n v="9.5680000000000014"/>
    <n v="2"/>
    <n v="0.2"/>
    <n v="3.4683999999999999"/>
    <n v="15.308800000000003"/>
    <x v="2"/>
    <x v="4"/>
  </r>
  <r>
    <n v="404"/>
    <s v="CA-2016-155208"/>
    <d v="2016-04-16T00:00:00"/>
    <x v="1"/>
    <x v="70"/>
    <s v="Wilmington"/>
    <x v="3"/>
    <x v="0"/>
    <x v="1"/>
    <s v="Art"/>
    <x v="359"/>
    <n v="39.072000000000003"/>
    <n v="6"/>
    <n v="0.2"/>
    <n v="9.7680000000000007"/>
    <n v="187.54560000000004"/>
    <x v="2"/>
    <x v="3"/>
  </r>
  <r>
    <n v="405"/>
    <s v="CA-2019-117933"/>
    <d v="2019-12-24T00:00:00"/>
    <x v="1"/>
    <x v="167"/>
    <s v="New York City"/>
    <x v="15"/>
    <x v="3"/>
    <x v="1"/>
    <s v="Appliances"/>
    <x v="360"/>
    <n v="35.910000000000004"/>
    <n v="3"/>
    <n v="0"/>
    <n v="9.6956999999999987"/>
    <n v="107.73000000000002"/>
    <x v="3"/>
    <x v="4"/>
  </r>
  <r>
    <n v="406"/>
    <s v="CA-2019-117457"/>
    <d v="2019-12-08T00:00:00"/>
    <x v="1"/>
    <x v="168"/>
    <s v="San Francisco"/>
    <x v="1"/>
    <x v="1"/>
    <x v="2"/>
    <s v="Accessories"/>
    <x v="357"/>
    <n v="179.95000000000002"/>
    <n v="5"/>
    <n v="0"/>
    <n v="37.789500000000004"/>
    <n v="899.75000000000011"/>
    <x v="3"/>
    <x v="4"/>
  </r>
  <r>
    <n v="407"/>
    <s v="CA-2019-117457"/>
    <d v="2019-12-08T00:00:00"/>
    <x v="1"/>
    <x v="168"/>
    <s v="San Francisco"/>
    <x v="1"/>
    <x v="1"/>
    <x v="2"/>
    <s v="Copiers"/>
    <x v="361"/>
    <n v="1199.9760000000001"/>
    <n v="3"/>
    <n v="0.2"/>
    <n v="434.99130000000002"/>
    <n v="2879.9424000000004"/>
    <x v="3"/>
    <x v="4"/>
  </r>
  <r>
    <n v="408"/>
    <s v="CA-2019-117457"/>
    <d v="2019-12-08T00:00:00"/>
    <x v="1"/>
    <x v="168"/>
    <s v="San Francisco"/>
    <x v="1"/>
    <x v="1"/>
    <x v="1"/>
    <s v="Paper"/>
    <x v="362"/>
    <n v="27.15"/>
    <n v="5"/>
    <n v="0"/>
    <n v="13.3035"/>
    <n v="135.75"/>
    <x v="3"/>
    <x v="4"/>
  </r>
  <r>
    <n v="409"/>
    <s v="CA-2019-117457"/>
    <d v="2019-12-08T00:00:00"/>
    <x v="1"/>
    <x v="168"/>
    <s v="San Francisco"/>
    <x v="1"/>
    <x v="1"/>
    <x v="0"/>
    <s v="Tables"/>
    <x v="363"/>
    <n v="1004.0239999999999"/>
    <n v="7"/>
    <n v="0.2"/>
    <n v="-112.95269999999994"/>
    <n v="5622.5344000000005"/>
    <x v="3"/>
    <x v="4"/>
  </r>
  <r>
    <n v="410"/>
    <s v="CA-2019-117457"/>
    <d v="2019-12-08T00:00:00"/>
    <x v="1"/>
    <x v="168"/>
    <s v="San Francisco"/>
    <x v="1"/>
    <x v="1"/>
    <x v="1"/>
    <s v="Paper"/>
    <x v="364"/>
    <n v="9.68"/>
    <n v="1"/>
    <n v="0"/>
    <n v="4.6463999999999999"/>
    <n v="9.68"/>
    <x v="3"/>
    <x v="4"/>
  </r>
  <r>
    <n v="411"/>
    <s v="CA-2019-117457"/>
    <d v="2019-12-08T00:00:00"/>
    <x v="1"/>
    <x v="168"/>
    <s v="San Francisco"/>
    <x v="1"/>
    <x v="1"/>
    <x v="1"/>
    <s v="Labels"/>
    <x v="365"/>
    <n v="28.349999999999998"/>
    <n v="9"/>
    <n v="0"/>
    <n v="13.608000000000001"/>
    <n v="255.14999999999998"/>
    <x v="3"/>
    <x v="4"/>
  </r>
  <r>
    <n v="412"/>
    <s v="CA-2019-117457"/>
    <d v="2019-12-08T00:00:00"/>
    <x v="1"/>
    <x v="168"/>
    <s v="San Francisco"/>
    <x v="1"/>
    <x v="1"/>
    <x v="1"/>
    <s v="Paper"/>
    <x v="366"/>
    <n v="55.98"/>
    <n v="1"/>
    <n v="0"/>
    <n v="27.430199999999999"/>
    <n v="55.98"/>
    <x v="3"/>
    <x v="4"/>
  </r>
  <r>
    <n v="413"/>
    <s v="CA-2019-117457"/>
    <d v="2019-12-08T00:00:00"/>
    <x v="1"/>
    <x v="168"/>
    <s v="San Francisco"/>
    <x v="1"/>
    <x v="1"/>
    <x v="0"/>
    <s v="Bookcases"/>
    <x v="367"/>
    <n v="1336.829"/>
    <n v="13"/>
    <n v="0.15"/>
    <n v="31.454799999999949"/>
    <n v="14771.960449999999"/>
    <x v="3"/>
    <x v="4"/>
  </r>
  <r>
    <n v="414"/>
    <s v="CA-2019-117457"/>
    <d v="2019-12-08T00:00:00"/>
    <x v="1"/>
    <x v="168"/>
    <s v="San Francisco"/>
    <x v="1"/>
    <x v="1"/>
    <x v="0"/>
    <s v="Chairs"/>
    <x v="368"/>
    <n v="113.56800000000001"/>
    <n v="2"/>
    <n v="0.2"/>
    <n v="-18.454800000000013"/>
    <n v="181.70880000000002"/>
    <x v="3"/>
    <x v="4"/>
  </r>
  <r>
    <n v="415"/>
    <s v="CA-2019-142636"/>
    <d v="2019-11-03T00:00:00"/>
    <x v="1"/>
    <x v="169"/>
    <s v="Seattle"/>
    <x v="4"/>
    <x v="1"/>
    <x v="1"/>
    <s v="Paper"/>
    <x v="369"/>
    <n v="139.86000000000001"/>
    <n v="7"/>
    <n v="0"/>
    <n v="65.734199999999987"/>
    <n v="979.0200000000001"/>
    <x v="3"/>
    <x v="0"/>
  </r>
  <r>
    <n v="416"/>
    <s v="CA-2019-142636"/>
    <d v="2019-11-03T00:00:00"/>
    <x v="1"/>
    <x v="169"/>
    <s v="Seattle"/>
    <x v="4"/>
    <x v="1"/>
    <x v="0"/>
    <s v="Chairs"/>
    <x v="268"/>
    <n v="307.13600000000002"/>
    <n v="4"/>
    <n v="0.2"/>
    <n v="26.874400000000023"/>
    <n v="982.8352000000001"/>
    <x v="3"/>
    <x v="0"/>
  </r>
  <r>
    <n v="417"/>
    <s v="CA-2019-122105"/>
    <d v="2019-06-24T00:00:00"/>
    <x v="1"/>
    <x v="170"/>
    <s v="Huntington Beach"/>
    <x v="1"/>
    <x v="1"/>
    <x v="1"/>
    <s v="Art"/>
    <x v="370"/>
    <n v="95.92"/>
    <n v="8"/>
    <n v="0"/>
    <n v="25.898399999999995"/>
    <n v="767.36"/>
    <x v="3"/>
    <x v="1"/>
  </r>
  <r>
    <n v="418"/>
    <s v="CA-2018-148796"/>
    <d v="2018-04-14T00:00:00"/>
    <x v="1"/>
    <x v="171"/>
    <s v="Los Angeles"/>
    <x v="1"/>
    <x v="1"/>
    <x v="0"/>
    <s v="Chairs"/>
    <x v="371"/>
    <n v="383.8"/>
    <n v="5"/>
    <n v="0.2"/>
    <n v="38.379999999999981"/>
    <n v="1535.2"/>
    <x v="0"/>
    <x v="3"/>
  </r>
  <r>
    <n v="419"/>
    <s v="CA-2019-154816"/>
    <d v="2019-11-06T00:00:00"/>
    <x v="1"/>
    <x v="146"/>
    <s v="Richmond"/>
    <x v="0"/>
    <x v="0"/>
    <x v="1"/>
    <s v="Paper"/>
    <x v="372"/>
    <n v="5.78"/>
    <n v="1"/>
    <n v="0"/>
    <n v="2.8322000000000003"/>
    <n v="5.78"/>
    <x v="3"/>
    <x v="0"/>
  </r>
  <r>
    <n v="420"/>
    <s v="CA-2019-110478"/>
    <d v="2019-03-04T00:00:00"/>
    <x v="1"/>
    <x v="133"/>
    <s v="Los Angeles"/>
    <x v="1"/>
    <x v="1"/>
    <x v="1"/>
    <s v="Art"/>
    <x v="373"/>
    <n v="9.32"/>
    <n v="4"/>
    <n v="0"/>
    <n v="2.702799999999999"/>
    <n v="37.28"/>
    <x v="3"/>
    <x v="10"/>
  </r>
  <r>
    <n v="421"/>
    <s v="CA-2019-110478"/>
    <d v="2019-03-04T00:00:00"/>
    <x v="1"/>
    <x v="133"/>
    <s v="Los Angeles"/>
    <x v="1"/>
    <x v="1"/>
    <x v="1"/>
    <s v="Envelopes"/>
    <x v="374"/>
    <n v="15.25"/>
    <n v="1"/>
    <n v="0"/>
    <n v="7.0149999999999988"/>
    <n v="15.25"/>
    <x v="3"/>
    <x v="10"/>
  </r>
  <r>
    <n v="422"/>
    <s v="CA-2016-142048"/>
    <d v="2016-06-22T00:00:00"/>
    <x v="2"/>
    <x v="32"/>
    <s v="Louisville"/>
    <x v="22"/>
    <x v="1"/>
    <x v="2"/>
    <s v="Accessories"/>
    <x v="375"/>
    <n v="196.75200000000001"/>
    <n v="6"/>
    <n v="0.2"/>
    <n v="56.566200000000009"/>
    <n v="944.40960000000018"/>
    <x v="2"/>
    <x v="1"/>
  </r>
  <r>
    <n v="423"/>
    <s v="CA-2019-125388"/>
    <d v="2019-10-19T00:00:00"/>
    <x v="1"/>
    <x v="172"/>
    <s v="Lawrence"/>
    <x v="31"/>
    <x v="3"/>
    <x v="0"/>
    <s v="Furnishings"/>
    <x v="376"/>
    <n v="56.56"/>
    <n v="4"/>
    <n v="0"/>
    <n v="14.705600000000004"/>
    <n v="226.24"/>
    <x v="3"/>
    <x v="2"/>
  </r>
  <r>
    <n v="424"/>
    <s v="CA-2019-125388"/>
    <d v="2019-10-19T00:00:00"/>
    <x v="1"/>
    <x v="172"/>
    <s v="Lawrence"/>
    <x v="31"/>
    <x v="3"/>
    <x v="1"/>
    <s v="Storage"/>
    <x v="377"/>
    <n v="32.700000000000003"/>
    <n v="3"/>
    <n v="0"/>
    <n v="8.5019999999999989"/>
    <n v="98.100000000000009"/>
    <x v="3"/>
    <x v="2"/>
  </r>
  <r>
    <n v="425"/>
    <s v="CA-2019-155705"/>
    <d v="2019-08-21T00:00:00"/>
    <x v="0"/>
    <x v="173"/>
    <s v="Jackson"/>
    <x v="35"/>
    <x v="0"/>
    <x v="0"/>
    <s v="Chairs"/>
    <x v="378"/>
    <n v="866.4"/>
    <n v="4"/>
    <n v="0"/>
    <n v="225.26400000000001"/>
    <n v="3465.6"/>
    <x v="3"/>
    <x v="6"/>
  </r>
  <r>
    <n v="426"/>
    <s v="CA-2019-149160"/>
    <d v="2019-11-23T00:00:00"/>
    <x v="0"/>
    <x v="25"/>
    <s v="Canton"/>
    <x v="12"/>
    <x v="2"/>
    <x v="0"/>
    <s v="Furnishings"/>
    <x v="379"/>
    <n v="28.4"/>
    <n v="2"/>
    <n v="0"/>
    <n v="11.076000000000001"/>
    <n v="56.8"/>
    <x v="3"/>
    <x v="0"/>
  </r>
  <r>
    <n v="427"/>
    <s v="CA-2019-149160"/>
    <d v="2019-11-23T00:00:00"/>
    <x v="0"/>
    <x v="25"/>
    <s v="Canton"/>
    <x v="12"/>
    <x v="2"/>
    <x v="1"/>
    <s v="Binders"/>
    <x v="380"/>
    <n v="287.92"/>
    <n v="8"/>
    <n v="0"/>
    <n v="138.20160000000001"/>
    <n v="2303.36"/>
    <x v="3"/>
    <x v="0"/>
  </r>
  <r>
    <n v="428"/>
    <s v="CA-2016-101476"/>
    <d v="2016-09-12T00:00:00"/>
    <x v="2"/>
    <x v="174"/>
    <s v="New Rochelle"/>
    <x v="15"/>
    <x v="3"/>
    <x v="2"/>
    <s v="Machines"/>
    <x v="381"/>
    <n v="69.989999999999995"/>
    <n v="1"/>
    <n v="0"/>
    <n v="30.095700000000001"/>
    <n v="69.989999999999995"/>
    <x v="2"/>
    <x v="8"/>
  </r>
  <r>
    <n v="429"/>
    <s v="CA-2019-152275"/>
    <d v="2019-10-01T00:00:00"/>
    <x v="1"/>
    <x v="175"/>
    <s v="San Antonio"/>
    <x v="5"/>
    <x v="2"/>
    <x v="1"/>
    <s v="Art"/>
    <x v="382"/>
    <n v="6.6719999999999988"/>
    <n v="6"/>
    <n v="0.2"/>
    <n v="0.50039999999999996"/>
    <n v="32.025599999999997"/>
    <x v="3"/>
    <x v="2"/>
  </r>
  <r>
    <n v="430"/>
    <s v="US-2018-123750"/>
    <d v="2018-04-15T00:00:00"/>
    <x v="1"/>
    <x v="176"/>
    <s v="Gastonia"/>
    <x v="3"/>
    <x v="0"/>
    <x v="1"/>
    <s v="Binders"/>
    <x v="383"/>
    <n v="189.58800000000005"/>
    <n v="2"/>
    <n v="0.7"/>
    <n v="-145.35079999999999"/>
    <n v="113.75280000000005"/>
    <x v="0"/>
    <x v="3"/>
  </r>
  <r>
    <n v="431"/>
    <s v="US-2018-123750"/>
    <d v="2018-04-15T00:00:00"/>
    <x v="1"/>
    <x v="176"/>
    <s v="Gastonia"/>
    <x v="3"/>
    <x v="0"/>
    <x v="2"/>
    <s v="Accessories"/>
    <x v="172"/>
    <n v="408.74399999999997"/>
    <n v="7"/>
    <n v="0.2"/>
    <n v="76.639499999999984"/>
    <n v="2288.9663999999998"/>
    <x v="0"/>
    <x v="3"/>
  </r>
  <r>
    <n v="432"/>
    <s v="US-2018-123750"/>
    <d v="2018-04-15T00:00:00"/>
    <x v="1"/>
    <x v="176"/>
    <s v="Gastonia"/>
    <x v="3"/>
    <x v="0"/>
    <x v="2"/>
    <s v="Accessories"/>
    <x v="172"/>
    <n v="291.95999999999998"/>
    <n v="5"/>
    <n v="0.2"/>
    <n v="54.742499999999978"/>
    <n v="1167.8399999999999"/>
    <x v="0"/>
    <x v="3"/>
  </r>
  <r>
    <n v="433"/>
    <s v="US-2018-123750"/>
    <d v="2018-04-15T00:00:00"/>
    <x v="1"/>
    <x v="176"/>
    <s v="Gastonia"/>
    <x v="3"/>
    <x v="0"/>
    <x v="1"/>
    <s v="Storage"/>
    <x v="384"/>
    <n v="4.7679999999999998"/>
    <n v="2"/>
    <n v="0.2"/>
    <n v="-0.7748000000000006"/>
    <n v="7.6288"/>
    <x v="0"/>
    <x v="3"/>
  </r>
  <r>
    <n v="434"/>
    <s v="CA-2018-127369"/>
    <d v="2018-06-06T00:00:00"/>
    <x v="2"/>
    <x v="72"/>
    <s v="Lowell"/>
    <x v="31"/>
    <x v="3"/>
    <x v="1"/>
    <s v="Storage"/>
    <x v="385"/>
    <n v="714.30000000000007"/>
    <n v="5"/>
    <n v="0"/>
    <n v="207.14699999999993"/>
    <n v="3571.5000000000005"/>
    <x v="0"/>
    <x v="1"/>
  </r>
  <r>
    <n v="435"/>
    <s v="US-2016-150574"/>
    <d v="2016-12-19T00:00:00"/>
    <x v="1"/>
    <x v="177"/>
    <s v="Jacksonville"/>
    <x v="2"/>
    <x v="0"/>
    <x v="1"/>
    <s v="Binders"/>
    <x v="386"/>
    <n v="4.8120000000000003"/>
    <n v="2"/>
    <n v="0.7"/>
    <n v="-3.6891999999999996"/>
    <n v="2.8872000000000004"/>
    <x v="2"/>
    <x v="4"/>
  </r>
  <r>
    <n v="436"/>
    <s v="US-2016-150574"/>
    <d v="2016-12-19T00:00:00"/>
    <x v="1"/>
    <x v="177"/>
    <s v="Jacksonville"/>
    <x v="2"/>
    <x v="0"/>
    <x v="2"/>
    <s v="Accessories"/>
    <x v="387"/>
    <n v="247.8"/>
    <n v="5"/>
    <n v="0.2"/>
    <n v="-18.584999999999994"/>
    <n v="991.2"/>
    <x v="2"/>
    <x v="4"/>
  </r>
  <r>
    <n v="437"/>
    <s v="CA-2018-147375"/>
    <d v="2018-06-12T00:00:00"/>
    <x v="0"/>
    <x v="178"/>
    <s v="Chicago"/>
    <x v="10"/>
    <x v="2"/>
    <x v="2"/>
    <s v="Machines"/>
    <x v="388"/>
    <n v="1007.979"/>
    <n v="3"/>
    <n v="0.3"/>
    <n v="43.199100000000044"/>
    <n v="2116.7558999999997"/>
    <x v="0"/>
    <x v="1"/>
  </r>
  <r>
    <n v="438"/>
    <s v="CA-2018-147375"/>
    <d v="2018-06-12T00:00:00"/>
    <x v="0"/>
    <x v="178"/>
    <s v="Chicago"/>
    <x v="10"/>
    <x v="2"/>
    <x v="1"/>
    <s v="Paper"/>
    <x v="366"/>
    <n v="313.488"/>
    <n v="7"/>
    <n v="0.2"/>
    <n v="113.63939999999998"/>
    <n v="1755.5328000000002"/>
    <x v="0"/>
    <x v="1"/>
  </r>
  <r>
    <n v="439"/>
    <s v="CA-2019-130043"/>
    <d v="2019-09-15T00:00:00"/>
    <x v="1"/>
    <x v="179"/>
    <s v="Houston"/>
    <x v="5"/>
    <x v="2"/>
    <x v="1"/>
    <s v="Paper"/>
    <x v="389"/>
    <n v="31.872000000000003"/>
    <n v="8"/>
    <n v="0.2"/>
    <n v="11.553600000000003"/>
    <n v="203.98080000000004"/>
    <x v="3"/>
    <x v="8"/>
  </r>
  <r>
    <n v="440"/>
    <s v="CA-2019-157252"/>
    <d v="2019-01-20T00:00:00"/>
    <x v="0"/>
    <x v="51"/>
    <s v="New York City"/>
    <x v="15"/>
    <x v="3"/>
    <x v="0"/>
    <s v="Chairs"/>
    <x v="390"/>
    <n v="207.84600000000003"/>
    <n v="3"/>
    <n v="0.1"/>
    <n v="2.3093999999999895"/>
    <n v="561.18420000000015"/>
    <x v="3"/>
    <x v="9"/>
  </r>
  <r>
    <n v="441"/>
    <s v="CA-2018-115756"/>
    <d v="2018-09-05T00:00:00"/>
    <x v="0"/>
    <x v="7"/>
    <s v="Detroit"/>
    <x v="12"/>
    <x v="2"/>
    <x v="0"/>
    <s v="Furnishings"/>
    <x v="391"/>
    <n v="12.22"/>
    <n v="1"/>
    <n v="0"/>
    <n v="3.6659999999999986"/>
    <n v="12.22"/>
    <x v="0"/>
    <x v="8"/>
  </r>
  <r>
    <n v="442"/>
    <s v="CA-2018-115756"/>
    <d v="2018-09-05T00:00:00"/>
    <x v="0"/>
    <x v="7"/>
    <s v="Detroit"/>
    <x v="12"/>
    <x v="2"/>
    <x v="1"/>
    <s v="Storage"/>
    <x v="392"/>
    <n v="194.94"/>
    <n v="3"/>
    <n v="0"/>
    <n v="23.392800000000008"/>
    <n v="584.81999999999994"/>
    <x v="0"/>
    <x v="8"/>
  </r>
  <r>
    <n v="443"/>
    <s v="CA-2018-115756"/>
    <d v="2018-09-05T00:00:00"/>
    <x v="0"/>
    <x v="7"/>
    <s v="Detroit"/>
    <x v="12"/>
    <x v="2"/>
    <x v="1"/>
    <s v="Storage"/>
    <x v="393"/>
    <n v="70.949999999999989"/>
    <n v="3"/>
    <n v="0"/>
    <n v="20.575499999999998"/>
    <n v="212.84999999999997"/>
    <x v="0"/>
    <x v="8"/>
  </r>
  <r>
    <n v="444"/>
    <s v="CA-2018-115756"/>
    <d v="2018-09-05T00:00:00"/>
    <x v="0"/>
    <x v="7"/>
    <s v="Detroit"/>
    <x v="12"/>
    <x v="2"/>
    <x v="1"/>
    <s v="Paper"/>
    <x v="394"/>
    <n v="91.36"/>
    <n v="4"/>
    <n v="0"/>
    <n v="42.025599999999997"/>
    <n v="365.44"/>
    <x v="0"/>
    <x v="8"/>
  </r>
  <r>
    <n v="445"/>
    <s v="CA-2018-115756"/>
    <d v="2018-09-05T00:00:00"/>
    <x v="0"/>
    <x v="7"/>
    <s v="Detroit"/>
    <x v="12"/>
    <x v="2"/>
    <x v="0"/>
    <s v="Chairs"/>
    <x v="395"/>
    <n v="242.94"/>
    <n v="3"/>
    <n v="0"/>
    <n v="29.152800000000013"/>
    <n v="728.81999999999994"/>
    <x v="0"/>
    <x v="8"/>
  </r>
  <r>
    <n v="446"/>
    <s v="CA-2018-115756"/>
    <d v="2018-09-05T00:00:00"/>
    <x v="0"/>
    <x v="7"/>
    <s v="Detroit"/>
    <x v="12"/>
    <x v="2"/>
    <x v="1"/>
    <s v="Labels"/>
    <x v="396"/>
    <n v="22.05"/>
    <n v="7"/>
    <n v="0"/>
    <n v="10.584"/>
    <n v="154.35"/>
    <x v="0"/>
    <x v="8"/>
  </r>
  <r>
    <n v="447"/>
    <s v="CA-2019-154214"/>
    <d v="2019-03-20T00:00:00"/>
    <x v="0"/>
    <x v="180"/>
    <s v="Columbus"/>
    <x v="14"/>
    <x v="2"/>
    <x v="0"/>
    <s v="Furnishings"/>
    <x v="397"/>
    <n v="2.91"/>
    <n v="1"/>
    <n v="0"/>
    <n v="1.3676999999999999"/>
    <n v="2.91"/>
    <x v="3"/>
    <x v="10"/>
  </r>
  <r>
    <n v="448"/>
    <s v="CA-2018-166674"/>
    <d v="2018-04-01T00:00:00"/>
    <x v="0"/>
    <x v="181"/>
    <s v="Auburn"/>
    <x v="15"/>
    <x v="3"/>
    <x v="1"/>
    <s v="Art"/>
    <x v="398"/>
    <n v="59.519999999999996"/>
    <n v="3"/>
    <n v="0"/>
    <n v="15.475200000000001"/>
    <n v="178.56"/>
    <x v="0"/>
    <x v="3"/>
  </r>
  <r>
    <n v="449"/>
    <s v="CA-2018-166674"/>
    <d v="2018-04-01T00:00:00"/>
    <x v="0"/>
    <x v="181"/>
    <s v="Auburn"/>
    <x v="15"/>
    <x v="3"/>
    <x v="1"/>
    <s v="Storage"/>
    <x v="399"/>
    <n v="161.94"/>
    <n v="3"/>
    <n v="0"/>
    <n v="9.716399999999993"/>
    <n v="485.82"/>
    <x v="0"/>
    <x v="3"/>
  </r>
  <r>
    <n v="450"/>
    <s v="CA-2018-166674"/>
    <d v="2018-04-01T00:00:00"/>
    <x v="0"/>
    <x v="181"/>
    <s v="Auburn"/>
    <x v="15"/>
    <x v="3"/>
    <x v="1"/>
    <s v="Art"/>
    <x v="400"/>
    <n v="263.88"/>
    <n v="6"/>
    <n v="0"/>
    <n v="71.247600000000006"/>
    <n v="1583.28"/>
    <x v="0"/>
    <x v="3"/>
  </r>
  <r>
    <n v="451"/>
    <s v="CA-2018-166674"/>
    <d v="2018-04-01T00:00:00"/>
    <x v="0"/>
    <x v="181"/>
    <s v="Auburn"/>
    <x v="15"/>
    <x v="3"/>
    <x v="1"/>
    <s v="Art"/>
    <x v="401"/>
    <n v="30.48"/>
    <n v="3"/>
    <n v="0"/>
    <n v="7.9248000000000012"/>
    <n v="91.44"/>
    <x v="0"/>
    <x v="3"/>
  </r>
  <r>
    <n v="452"/>
    <s v="CA-2018-166674"/>
    <d v="2018-04-01T00:00:00"/>
    <x v="0"/>
    <x v="181"/>
    <s v="Auburn"/>
    <x v="15"/>
    <x v="3"/>
    <x v="1"/>
    <s v="Art"/>
    <x v="402"/>
    <n v="9.84"/>
    <n v="3"/>
    <n v="0"/>
    <n v="2.8535999999999988"/>
    <n v="29.52"/>
    <x v="0"/>
    <x v="3"/>
  </r>
  <r>
    <n v="453"/>
    <s v="CA-2018-166674"/>
    <d v="2018-04-01T00:00:00"/>
    <x v="0"/>
    <x v="181"/>
    <s v="Auburn"/>
    <x v="15"/>
    <x v="3"/>
    <x v="2"/>
    <s v="Phones"/>
    <x v="403"/>
    <n v="35.119999999999997"/>
    <n v="4"/>
    <n v="0"/>
    <n v="9.1311999999999998"/>
    <n v="140.47999999999999"/>
    <x v="0"/>
    <x v="3"/>
  </r>
  <r>
    <n v="454"/>
    <s v="CA-2019-147277"/>
    <d v="2019-10-20T00:00:00"/>
    <x v="1"/>
    <x v="182"/>
    <s v="Akron"/>
    <x v="24"/>
    <x v="3"/>
    <x v="0"/>
    <s v="Tables"/>
    <x v="10"/>
    <n v="284.36399999999998"/>
    <n v="2"/>
    <n v="0.4"/>
    <n v="-75.830400000000054"/>
    <n v="341.23679999999996"/>
    <x v="3"/>
    <x v="2"/>
  </r>
  <r>
    <n v="455"/>
    <s v="CA-2019-147277"/>
    <d v="2019-10-20T00:00:00"/>
    <x v="1"/>
    <x v="182"/>
    <s v="Akron"/>
    <x v="24"/>
    <x v="3"/>
    <x v="1"/>
    <s v="Storage"/>
    <x v="404"/>
    <n v="665.40800000000002"/>
    <n v="2"/>
    <n v="0.2"/>
    <n v="66.540799999999962"/>
    <n v="1064.6528000000001"/>
    <x v="3"/>
    <x v="2"/>
  </r>
  <r>
    <n v="456"/>
    <s v="CA-2018-100153"/>
    <d v="2018-12-13T00:00:00"/>
    <x v="1"/>
    <x v="175"/>
    <s v="Norman"/>
    <x v="26"/>
    <x v="2"/>
    <x v="2"/>
    <s v="Accessories"/>
    <x v="405"/>
    <n v="63.88"/>
    <n v="4"/>
    <n v="0"/>
    <n v="24.913200000000003"/>
    <n v="255.52"/>
    <x v="0"/>
    <x v="4"/>
  </r>
  <r>
    <n v="457"/>
    <s v="US-2016-110674"/>
    <d v="2016-02-12T00:00:00"/>
    <x v="1"/>
    <x v="183"/>
    <s v="Concord"/>
    <x v="1"/>
    <x v="1"/>
    <x v="0"/>
    <s v="Chairs"/>
    <x v="406"/>
    <n v="129.56800000000001"/>
    <n v="2"/>
    <n v="0.2"/>
    <n v="-24.294000000000018"/>
    <n v="207.30880000000002"/>
    <x v="2"/>
    <x v="11"/>
  </r>
  <r>
    <n v="458"/>
    <s v="US-2018-157945"/>
    <d v="2018-09-26T00:00:00"/>
    <x v="1"/>
    <x v="173"/>
    <s v="Decatur"/>
    <x v="10"/>
    <x v="2"/>
    <x v="0"/>
    <s v="Chairs"/>
    <x v="407"/>
    <n v="747.55799999999999"/>
    <n v="3"/>
    <n v="0.3"/>
    <n v="-96.11460000000011"/>
    <n v="1569.8717999999999"/>
    <x v="0"/>
    <x v="8"/>
  </r>
  <r>
    <n v="459"/>
    <s v="US-2018-157945"/>
    <d v="2018-09-26T00:00:00"/>
    <x v="1"/>
    <x v="173"/>
    <s v="Decatur"/>
    <x v="10"/>
    <x v="2"/>
    <x v="1"/>
    <s v="Envelopes"/>
    <x v="153"/>
    <n v="8.9280000000000008"/>
    <n v="2"/>
    <n v="0.2"/>
    <n v="3.3479999999999999"/>
    <n v="14.284800000000002"/>
    <x v="0"/>
    <x v="8"/>
  </r>
  <r>
    <n v="460"/>
    <s v="CA-2017-109638"/>
    <d v="2017-12-15T00:00:00"/>
    <x v="1"/>
    <x v="98"/>
    <s v="Seattle"/>
    <x v="4"/>
    <x v="1"/>
    <x v="1"/>
    <s v="Appliances"/>
    <x v="408"/>
    <n v="103.92"/>
    <n v="4"/>
    <n v="0"/>
    <n v="36.372"/>
    <n v="415.68"/>
    <x v="1"/>
    <x v="4"/>
  </r>
  <r>
    <n v="461"/>
    <s v="CA-2017-109638"/>
    <d v="2017-12-15T00:00:00"/>
    <x v="1"/>
    <x v="98"/>
    <s v="Seattle"/>
    <x v="4"/>
    <x v="1"/>
    <x v="2"/>
    <s v="Accessories"/>
    <x v="409"/>
    <n v="899.91"/>
    <n v="9"/>
    <n v="0"/>
    <n v="377.96220000000005"/>
    <n v="8099.19"/>
    <x v="1"/>
    <x v="4"/>
  </r>
  <r>
    <n v="462"/>
    <s v="CA-2017-109638"/>
    <d v="2017-12-15T00:00:00"/>
    <x v="1"/>
    <x v="98"/>
    <s v="Seattle"/>
    <x v="4"/>
    <x v="1"/>
    <x v="1"/>
    <s v="Binders"/>
    <x v="410"/>
    <n v="51.311999999999998"/>
    <n v="3"/>
    <n v="0.2"/>
    <n v="18.600599999999996"/>
    <n v="123.14879999999999"/>
    <x v="1"/>
    <x v="4"/>
  </r>
  <r>
    <n v="463"/>
    <s v="CA-2018-109869"/>
    <d v="2018-04-22T00:00:00"/>
    <x v="1"/>
    <x v="184"/>
    <s v="Phoenix"/>
    <x v="16"/>
    <x v="1"/>
    <x v="0"/>
    <s v="Furnishings"/>
    <x v="325"/>
    <n v="23.56"/>
    <n v="5"/>
    <n v="0.2"/>
    <n v="7.0680000000000005"/>
    <n v="94.240000000000009"/>
    <x v="0"/>
    <x v="3"/>
  </r>
  <r>
    <n v="464"/>
    <s v="CA-2018-109869"/>
    <d v="2018-04-22T00:00:00"/>
    <x v="1"/>
    <x v="184"/>
    <s v="Phoenix"/>
    <x v="16"/>
    <x v="1"/>
    <x v="0"/>
    <s v="Tables"/>
    <x v="411"/>
    <n v="1272.6299999999999"/>
    <n v="6"/>
    <n v="0.5"/>
    <n v="-814.4831999999999"/>
    <n v="3817.8899999999994"/>
    <x v="0"/>
    <x v="3"/>
  </r>
  <r>
    <n v="465"/>
    <s v="CA-2018-109869"/>
    <d v="2018-04-22T00:00:00"/>
    <x v="1"/>
    <x v="184"/>
    <s v="Phoenix"/>
    <x v="16"/>
    <x v="1"/>
    <x v="1"/>
    <s v="Binders"/>
    <x v="412"/>
    <n v="28.484999999999999"/>
    <n v="5"/>
    <n v="0.7"/>
    <n v="-20.888999999999989"/>
    <n v="42.727500000000006"/>
    <x v="0"/>
    <x v="3"/>
  </r>
  <r>
    <n v="466"/>
    <s v="CA-2018-109869"/>
    <d v="2018-04-22T00:00:00"/>
    <x v="1"/>
    <x v="184"/>
    <s v="Phoenix"/>
    <x v="16"/>
    <x v="1"/>
    <x v="1"/>
    <s v="Supplies"/>
    <x v="413"/>
    <n v="185.376"/>
    <n v="2"/>
    <n v="0.2"/>
    <n v="-34.758000000000017"/>
    <n v="296.60160000000002"/>
    <x v="0"/>
    <x v="3"/>
  </r>
  <r>
    <n v="467"/>
    <s v="CA-2018-109869"/>
    <d v="2018-04-22T00:00:00"/>
    <x v="1"/>
    <x v="184"/>
    <s v="Phoenix"/>
    <x v="16"/>
    <x v="1"/>
    <x v="1"/>
    <s v="Appliances"/>
    <x v="414"/>
    <n v="78.272000000000006"/>
    <n v="2"/>
    <n v="0.2"/>
    <n v="5.8704000000000001"/>
    <n v="125.23520000000002"/>
    <x v="0"/>
    <x v="3"/>
  </r>
  <r>
    <n v="468"/>
    <s v="US-2017-101399"/>
    <d v="2017-01-17T00:00:00"/>
    <x v="1"/>
    <x v="185"/>
    <s v="Park Ridge"/>
    <x v="10"/>
    <x v="2"/>
    <x v="0"/>
    <s v="Furnishings"/>
    <x v="269"/>
    <n v="254.74400000000003"/>
    <n v="7"/>
    <n v="0.6"/>
    <n v="-312.06139999999994"/>
    <n v="713.28320000000008"/>
    <x v="1"/>
    <x v="9"/>
  </r>
  <r>
    <n v="469"/>
    <s v="CA-2019-154907"/>
    <d v="2019-03-31T00:00:00"/>
    <x v="1"/>
    <x v="103"/>
    <s v="Amarillo"/>
    <x v="5"/>
    <x v="2"/>
    <x v="0"/>
    <s v="Bookcases"/>
    <x v="415"/>
    <n v="205.33279999999996"/>
    <n v="2"/>
    <n v="0.32"/>
    <n v="-36.235200000000006"/>
    <n v="279.25260799999995"/>
    <x v="3"/>
    <x v="10"/>
  </r>
  <r>
    <n v="470"/>
    <s v="US-2018-100419"/>
    <d v="2018-12-16T00:00:00"/>
    <x v="0"/>
    <x v="113"/>
    <s v="Chicago"/>
    <x v="10"/>
    <x v="2"/>
    <x v="1"/>
    <s v="Binders"/>
    <x v="416"/>
    <n v="4.7879999999999985"/>
    <n v="3"/>
    <n v="0.8"/>
    <n v="-7.9001999999999999"/>
    <n v="2.8727999999999985"/>
    <x v="0"/>
    <x v="4"/>
  </r>
  <r>
    <n v="471"/>
    <s v="CA-2017-154144"/>
    <d v="2017-12-20T00:00:00"/>
    <x v="1"/>
    <x v="186"/>
    <s v="Lindenhurst"/>
    <x v="15"/>
    <x v="3"/>
    <x v="1"/>
    <s v="Paper"/>
    <x v="417"/>
    <n v="55.48"/>
    <n v="1"/>
    <n v="0"/>
    <n v="26.630399999999998"/>
    <n v="55.48"/>
    <x v="1"/>
    <x v="4"/>
  </r>
  <r>
    <n v="472"/>
    <s v="CA-2016-144666"/>
    <d v="2016-11-09T00:00:00"/>
    <x v="0"/>
    <x v="187"/>
    <s v="San Francisco"/>
    <x v="1"/>
    <x v="1"/>
    <x v="1"/>
    <s v="Storage"/>
    <x v="418"/>
    <n v="340.92"/>
    <n v="3"/>
    <n v="0"/>
    <n v="3.4091999999999842"/>
    <n v="1022.76"/>
    <x v="2"/>
    <x v="0"/>
  </r>
  <r>
    <n v="473"/>
    <s v="CA-2016-144666"/>
    <d v="2016-11-09T00:00:00"/>
    <x v="0"/>
    <x v="187"/>
    <s v="San Francisco"/>
    <x v="1"/>
    <x v="1"/>
    <x v="0"/>
    <s v="Bookcases"/>
    <x v="419"/>
    <n v="222.66599999999997"/>
    <n v="2"/>
    <n v="0.15"/>
    <n v="10.478399999999979"/>
    <n v="378.53219999999993"/>
    <x v="2"/>
    <x v="0"/>
  </r>
  <r>
    <n v="474"/>
    <s v="CA-2016-144666"/>
    <d v="2016-11-09T00:00:00"/>
    <x v="0"/>
    <x v="187"/>
    <s v="San Francisco"/>
    <x v="1"/>
    <x v="1"/>
    <x v="2"/>
    <s v="Phones"/>
    <x v="420"/>
    <n v="703.96800000000007"/>
    <n v="4"/>
    <n v="0.2"/>
    <n v="87.995999999999924"/>
    <n v="2252.6976000000004"/>
    <x v="2"/>
    <x v="0"/>
  </r>
  <r>
    <n v="475"/>
    <s v="CA-2016-144666"/>
    <d v="2016-11-09T00:00:00"/>
    <x v="0"/>
    <x v="187"/>
    <s v="San Francisco"/>
    <x v="1"/>
    <x v="1"/>
    <x v="1"/>
    <s v="Storage"/>
    <x v="421"/>
    <n v="92.52"/>
    <n v="6"/>
    <n v="0"/>
    <n v="24.980400000000007"/>
    <n v="555.12"/>
    <x v="2"/>
    <x v="0"/>
  </r>
  <r>
    <n v="476"/>
    <s v="CA-2016-144666"/>
    <d v="2016-11-09T00:00:00"/>
    <x v="0"/>
    <x v="187"/>
    <s v="San Francisco"/>
    <x v="1"/>
    <x v="1"/>
    <x v="1"/>
    <s v="Paper"/>
    <x v="422"/>
    <n v="62.649999999999991"/>
    <n v="7"/>
    <n v="0"/>
    <n v="28.818999999999996"/>
    <n v="438.54999999999995"/>
    <x v="2"/>
    <x v="0"/>
  </r>
  <r>
    <n v="477"/>
    <s v="CA-2016-144666"/>
    <d v="2016-11-09T00:00:00"/>
    <x v="0"/>
    <x v="187"/>
    <s v="San Francisco"/>
    <x v="1"/>
    <x v="1"/>
    <x v="1"/>
    <s v="Paper"/>
    <x v="423"/>
    <n v="94.85"/>
    <n v="5"/>
    <n v="0"/>
    <n v="45.527999999999992"/>
    <n v="474.25"/>
    <x v="2"/>
    <x v="0"/>
  </r>
  <r>
    <n v="478"/>
    <s v="CA-2018-103891"/>
    <d v="2018-07-12T00:00:00"/>
    <x v="1"/>
    <x v="120"/>
    <s v="Los Angeles"/>
    <x v="1"/>
    <x v="1"/>
    <x v="2"/>
    <s v="Phones"/>
    <x v="424"/>
    <n v="95.76"/>
    <n v="6"/>
    <n v="0.2"/>
    <n v="7.1819999999999951"/>
    <n v="459.64800000000008"/>
    <x v="0"/>
    <x v="7"/>
  </r>
  <r>
    <n v="479"/>
    <s v="CA-2018-152632"/>
    <d v="2018-10-27T00:00:00"/>
    <x v="1"/>
    <x v="188"/>
    <s v="Troy"/>
    <x v="15"/>
    <x v="3"/>
    <x v="0"/>
    <s v="Furnishings"/>
    <x v="278"/>
    <n v="40.200000000000003"/>
    <n v="3"/>
    <n v="0"/>
    <n v="19.295999999999999"/>
    <n v="120.60000000000001"/>
    <x v="0"/>
    <x v="2"/>
  </r>
  <r>
    <n v="480"/>
    <s v="CA-2018-100790"/>
    <d v="2018-06-26T00:00:00"/>
    <x v="1"/>
    <x v="189"/>
    <s v="New York City"/>
    <x v="15"/>
    <x v="3"/>
    <x v="1"/>
    <s v="Art"/>
    <x v="425"/>
    <n v="14.7"/>
    <n v="5"/>
    <n v="0"/>
    <n v="6.6150000000000002"/>
    <n v="73.5"/>
    <x v="0"/>
    <x v="1"/>
  </r>
  <r>
    <n v="481"/>
    <s v="CA-2018-100790"/>
    <d v="2018-06-26T00:00:00"/>
    <x v="1"/>
    <x v="189"/>
    <s v="New York City"/>
    <x v="15"/>
    <x v="3"/>
    <x v="1"/>
    <s v="Storage"/>
    <x v="426"/>
    <n v="704.25"/>
    <n v="5"/>
    <n v="0"/>
    <n v="84.51"/>
    <n v="3521.25"/>
    <x v="0"/>
    <x v="1"/>
  </r>
  <r>
    <n v="482"/>
    <s v="CA-2016-134677"/>
    <d v="2016-10-06T00:00:00"/>
    <x v="1"/>
    <x v="190"/>
    <s v="San Diego"/>
    <x v="1"/>
    <x v="1"/>
    <x v="2"/>
    <s v="Accessories"/>
    <x v="427"/>
    <n v="9.09"/>
    <n v="3"/>
    <n v="0"/>
    <n v="1.9088999999999996"/>
    <n v="27.27"/>
    <x v="2"/>
    <x v="2"/>
  </r>
  <r>
    <n v="483"/>
    <s v="CA-2016-127691"/>
    <d v="2016-07-22T00:00:00"/>
    <x v="1"/>
    <x v="191"/>
    <s v="New York City"/>
    <x v="15"/>
    <x v="3"/>
    <x v="1"/>
    <s v="Art"/>
    <x v="79"/>
    <n v="5.96"/>
    <n v="2"/>
    <n v="0"/>
    <n v="1.6688000000000001"/>
    <n v="11.92"/>
    <x v="2"/>
    <x v="7"/>
  </r>
  <r>
    <n v="484"/>
    <s v="CA-2016-127691"/>
    <d v="2016-07-22T00:00:00"/>
    <x v="1"/>
    <x v="191"/>
    <s v="New York City"/>
    <x v="15"/>
    <x v="3"/>
    <x v="2"/>
    <s v="Accessories"/>
    <x v="428"/>
    <n v="159.97999999999999"/>
    <n v="2"/>
    <n v="0"/>
    <n v="57.592799999999997"/>
    <n v="319.95999999999998"/>
    <x v="2"/>
    <x v="7"/>
  </r>
  <r>
    <n v="485"/>
    <s v="CA-2019-140963"/>
    <d v="2019-06-10T00:00:00"/>
    <x v="2"/>
    <x v="192"/>
    <s v="Los Angeles"/>
    <x v="1"/>
    <x v="1"/>
    <x v="1"/>
    <s v="Labels"/>
    <x v="429"/>
    <n v="29.6"/>
    <n v="2"/>
    <n v="0"/>
    <n v="14.8"/>
    <n v="59.2"/>
    <x v="3"/>
    <x v="1"/>
  </r>
  <r>
    <n v="486"/>
    <s v="CA-2019-140963"/>
    <d v="2019-06-10T00:00:00"/>
    <x v="2"/>
    <x v="192"/>
    <s v="Los Angeles"/>
    <x v="1"/>
    <x v="1"/>
    <x v="0"/>
    <s v="Bookcases"/>
    <x v="430"/>
    <n v="514.16499999999996"/>
    <n v="5"/>
    <n v="0.15"/>
    <n v="-30.24499999999999"/>
    <n v="2185.2012499999996"/>
    <x v="3"/>
    <x v="1"/>
  </r>
  <r>
    <n v="487"/>
    <s v="CA-2019-140963"/>
    <d v="2019-06-10T00:00:00"/>
    <x v="2"/>
    <x v="192"/>
    <s v="Los Angeles"/>
    <x v="1"/>
    <x v="1"/>
    <x v="2"/>
    <s v="Phones"/>
    <x v="431"/>
    <n v="279.95999999999998"/>
    <n v="5"/>
    <n v="0.2"/>
    <n v="17.497500000000016"/>
    <n v="1119.8399999999999"/>
    <x v="3"/>
    <x v="1"/>
  </r>
  <r>
    <n v="488"/>
    <s v="CA-2016-154627"/>
    <d v="2016-10-29T00:00:00"/>
    <x v="2"/>
    <x v="193"/>
    <s v="Chicago"/>
    <x v="10"/>
    <x v="2"/>
    <x v="2"/>
    <s v="Phones"/>
    <x v="432"/>
    <n v="2735.9520000000002"/>
    <n v="6"/>
    <n v="0.2"/>
    <n v="341.99399999999969"/>
    <n v="13132.569600000001"/>
    <x v="2"/>
    <x v="2"/>
  </r>
  <r>
    <n v="489"/>
    <s v="CA-2016-133753"/>
    <d v="2016-06-09T00:00:00"/>
    <x v="0"/>
    <x v="194"/>
    <s v="Huntsville"/>
    <x v="5"/>
    <x v="2"/>
    <x v="2"/>
    <s v="Phones"/>
    <x v="433"/>
    <n v="7.9920000000000009"/>
    <n v="1"/>
    <n v="0.2"/>
    <n v="0.59940000000000015"/>
    <n v="6.3936000000000011"/>
    <x v="2"/>
    <x v="1"/>
  </r>
  <r>
    <n v="490"/>
    <s v="CA-2016-133753"/>
    <d v="2016-06-09T00:00:00"/>
    <x v="0"/>
    <x v="194"/>
    <s v="Huntsville"/>
    <x v="5"/>
    <x v="2"/>
    <x v="2"/>
    <s v="Accessories"/>
    <x v="434"/>
    <n v="63.984000000000009"/>
    <n v="2"/>
    <n v="0.2"/>
    <n v="10.397399999999998"/>
    <n v="102.37440000000002"/>
    <x v="2"/>
    <x v="1"/>
  </r>
  <r>
    <n v="491"/>
    <s v="CA-2016-133753"/>
    <d v="2016-06-09T00:00:00"/>
    <x v="0"/>
    <x v="194"/>
    <s v="Huntsville"/>
    <x v="5"/>
    <x v="2"/>
    <x v="1"/>
    <s v="Art"/>
    <x v="400"/>
    <n v="70.367999999999995"/>
    <n v="2"/>
    <n v="0.2"/>
    <n v="6.1572000000000031"/>
    <n v="112.58879999999999"/>
    <x v="2"/>
    <x v="1"/>
  </r>
  <r>
    <n v="492"/>
    <s v="CA-2016-113362"/>
    <d v="2016-09-14T00:00:00"/>
    <x v="1"/>
    <x v="195"/>
    <s v="Rochester"/>
    <x v="15"/>
    <x v="3"/>
    <x v="1"/>
    <s v="Storage"/>
    <x v="435"/>
    <n v="449.15"/>
    <n v="5"/>
    <n v="0"/>
    <n v="8.9829999999999899"/>
    <n v="2245.75"/>
    <x v="2"/>
    <x v="8"/>
  </r>
  <r>
    <n v="493"/>
    <s v="CA-2016-113362"/>
    <d v="2016-09-14T00:00:00"/>
    <x v="1"/>
    <x v="195"/>
    <s v="Rochester"/>
    <x v="15"/>
    <x v="3"/>
    <x v="1"/>
    <s v="Envelopes"/>
    <x v="436"/>
    <n v="11.07"/>
    <n v="3"/>
    <n v="0"/>
    <n v="5.0921999999999992"/>
    <n v="33.21"/>
    <x v="2"/>
    <x v="8"/>
  </r>
  <r>
    <n v="494"/>
    <s v="CA-2018-169166"/>
    <d v="2018-05-09T00:00:00"/>
    <x v="1"/>
    <x v="196"/>
    <s v="Seattle"/>
    <x v="4"/>
    <x v="1"/>
    <x v="2"/>
    <s v="Accessories"/>
    <x v="437"/>
    <n v="93.98"/>
    <n v="2"/>
    <n v="0"/>
    <n v="13.157200000000003"/>
    <n v="187.96"/>
    <x v="0"/>
    <x v="5"/>
  </r>
  <r>
    <n v="495"/>
    <s v="US-2018-120929"/>
    <d v="2018-03-18T00:00:00"/>
    <x v="0"/>
    <x v="197"/>
    <s v="Memphis"/>
    <x v="18"/>
    <x v="0"/>
    <x v="0"/>
    <s v="Tables"/>
    <x v="438"/>
    <n v="189.88200000000001"/>
    <n v="3"/>
    <n v="0.4"/>
    <n v="-94.941000000000017"/>
    <n v="341.78759999999994"/>
    <x v="0"/>
    <x v="10"/>
  </r>
  <r>
    <n v="496"/>
    <s v="CA-2017-134782"/>
    <d v="2017-12-27T00:00:00"/>
    <x v="1"/>
    <x v="198"/>
    <s v="Fayetteville"/>
    <x v="36"/>
    <x v="0"/>
    <x v="1"/>
    <s v="Envelopes"/>
    <x v="439"/>
    <n v="105.42"/>
    <n v="2"/>
    <n v="0"/>
    <n v="51.655799999999999"/>
    <n v="210.84"/>
    <x v="1"/>
    <x v="4"/>
  </r>
  <r>
    <n v="497"/>
    <s v="CA-2018-126158"/>
    <d v="2018-07-25T00:00:00"/>
    <x v="1"/>
    <x v="183"/>
    <s v="Costa Mesa"/>
    <x v="1"/>
    <x v="1"/>
    <x v="1"/>
    <s v="Binders"/>
    <x v="440"/>
    <n v="119.61600000000001"/>
    <n v="8"/>
    <n v="0.2"/>
    <n v="40.370399999999997"/>
    <n v="765.54240000000016"/>
    <x v="0"/>
    <x v="7"/>
  </r>
  <r>
    <n v="498"/>
    <s v="CA-2018-126158"/>
    <d v="2018-07-25T00:00:00"/>
    <x v="1"/>
    <x v="183"/>
    <s v="Costa Mesa"/>
    <x v="1"/>
    <x v="1"/>
    <x v="0"/>
    <s v="Furnishings"/>
    <x v="441"/>
    <n v="255.76"/>
    <n v="4"/>
    <n v="0"/>
    <n v="81.843199999999996"/>
    <n v="1023.04"/>
    <x v="0"/>
    <x v="7"/>
  </r>
  <r>
    <n v="499"/>
    <s v="CA-2018-126158"/>
    <d v="2018-07-25T00:00:00"/>
    <x v="1"/>
    <x v="183"/>
    <s v="Costa Mesa"/>
    <x v="1"/>
    <x v="1"/>
    <x v="0"/>
    <s v="Chairs"/>
    <x v="291"/>
    <n v="241.56799999999998"/>
    <n v="2"/>
    <n v="0.2"/>
    <n v="18.11760000000001"/>
    <n v="386.50880000000001"/>
    <x v="0"/>
    <x v="7"/>
  </r>
  <r>
    <n v="500"/>
    <s v="CA-2018-126158"/>
    <d v="2018-07-25T00:00:00"/>
    <x v="1"/>
    <x v="183"/>
    <s v="Costa Mesa"/>
    <x v="1"/>
    <x v="1"/>
    <x v="0"/>
    <s v="Furnishings"/>
    <x v="442"/>
    <n v="69.3"/>
    <n v="9"/>
    <n v="0"/>
    <n v="22.868999999999996"/>
    <n v="623.69999999999993"/>
    <x v="0"/>
    <x v="7"/>
  </r>
  <r>
    <n v="501"/>
    <s v="US-2018-105578"/>
    <d v="2018-05-30T00:00:00"/>
    <x v="1"/>
    <x v="199"/>
    <s v="Parker"/>
    <x v="22"/>
    <x v="1"/>
    <x v="1"/>
    <s v="Binders"/>
    <x v="443"/>
    <n v="22.620000000000005"/>
    <n v="2"/>
    <n v="0.7"/>
    <n v="-15.079999999999998"/>
    <n v="13.572000000000005"/>
    <x v="0"/>
    <x v="5"/>
  </r>
  <r>
    <n v="502"/>
    <s v="US-2018-105578"/>
    <d v="2018-05-30T00:00:00"/>
    <x v="1"/>
    <x v="199"/>
    <s v="Parker"/>
    <x v="22"/>
    <x v="1"/>
    <x v="1"/>
    <s v="Binders"/>
    <x v="444"/>
    <n v="14.952000000000004"/>
    <n v="2"/>
    <n v="0.7"/>
    <n v="-11.961599999999997"/>
    <n v="8.9712000000000032"/>
    <x v="0"/>
    <x v="5"/>
  </r>
  <r>
    <n v="503"/>
    <s v="US-2018-105578"/>
    <d v="2018-05-30T00:00:00"/>
    <x v="1"/>
    <x v="199"/>
    <s v="Parker"/>
    <x v="22"/>
    <x v="1"/>
    <x v="0"/>
    <s v="Chairs"/>
    <x v="445"/>
    <n v="801.5680000000001"/>
    <n v="2"/>
    <n v="0.2"/>
    <n v="50.097999999999985"/>
    <n v="1282.5088000000003"/>
    <x v="0"/>
    <x v="5"/>
  </r>
  <r>
    <n v="504"/>
    <s v="US-2018-105578"/>
    <d v="2018-05-30T00:00:00"/>
    <x v="1"/>
    <x v="199"/>
    <s v="Parker"/>
    <x v="22"/>
    <x v="1"/>
    <x v="1"/>
    <s v="Binders"/>
    <x v="446"/>
    <n v="2.3760000000000003"/>
    <n v="3"/>
    <n v="0.7"/>
    <n v="-1.9007999999999998"/>
    <n v="2.1384000000000007"/>
    <x v="0"/>
    <x v="5"/>
  </r>
  <r>
    <n v="505"/>
    <s v="US-2018-105578"/>
    <d v="2018-05-30T00:00:00"/>
    <x v="1"/>
    <x v="199"/>
    <s v="Parker"/>
    <x v="22"/>
    <x v="1"/>
    <x v="1"/>
    <s v="Paper"/>
    <x v="447"/>
    <n v="32.792000000000002"/>
    <n v="1"/>
    <n v="0.2"/>
    <n v="11.8871"/>
    <n v="26.233600000000003"/>
    <x v="0"/>
    <x v="5"/>
  </r>
  <r>
    <n v="506"/>
    <s v="CA-2019-134978"/>
    <d v="2019-11-12T00:00:00"/>
    <x v="0"/>
    <x v="182"/>
    <s v="New York City"/>
    <x v="15"/>
    <x v="3"/>
    <x v="1"/>
    <s v="Binders"/>
    <x v="122"/>
    <n v="15.920000000000002"/>
    <n v="5"/>
    <n v="0.2"/>
    <n v="5.3729999999999993"/>
    <n v="63.680000000000007"/>
    <x v="3"/>
    <x v="0"/>
  </r>
  <r>
    <n v="507"/>
    <s v="CA-2017-145352"/>
    <d v="2017-03-16T00:00:00"/>
    <x v="1"/>
    <x v="200"/>
    <s v="Atlanta"/>
    <x v="32"/>
    <x v="0"/>
    <x v="1"/>
    <s v="Art"/>
    <x v="448"/>
    <n v="2.74"/>
    <n v="1"/>
    <n v="0"/>
    <n v="0.73980000000000024"/>
    <n v="2.74"/>
    <x v="1"/>
    <x v="10"/>
  </r>
  <r>
    <n v="508"/>
    <s v="CA-2017-145352"/>
    <d v="2017-03-16T00:00:00"/>
    <x v="1"/>
    <x v="200"/>
    <s v="Atlanta"/>
    <x v="32"/>
    <x v="0"/>
    <x v="1"/>
    <s v="Art"/>
    <x v="449"/>
    <n v="8.34"/>
    <n v="3"/>
    <n v="0"/>
    <n v="2.1683999999999997"/>
    <n v="25.02"/>
    <x v="1"/>
    <x v="10"/>
  </r>
  <r>
    <n v="509"/>
    <s v="CA-2017-145352"/>
    <d v="2017-03-16T00:00:00"/>
    <x v="1"/>
    <x v="200"/>
    <s v="Atlanta"/>
    <x v="32"/>
    <x v="0"/>
    <x v="1"/>
    <s v="Storage"/>
    <x v="450"/>
    <n v="46.74"/>
    <n v="3"/>
    <n v="0"/>
    <n v="11.684999999999999"/>
    <n v="140.22"/>
    <x v="1"/>
    <x v="10"/>
  </r>
  <r>
    <n v="510"/>
    <s v="CA-2017-145352"/>
    <d v="2017-03-16T00:00:00"/>
    <x v="1"/>
    <x v="200"/>
    <s v="Atlanta"/>
    <x v="32"/>
    <x v="0"/>
    <x v="1"/>
    <s v="Binders"/>
    <x v="451"/>
    <n v="6354.95"/>
    <n v="5"/>
    <n v="0"/>
    <n v="3177.4749999999999"/>
    <n v="31774.75"/>
    <x v="1"/>
    <x v="10"/>
  </r>
  <r>
    <n v="511"/>
    <s v="CA-2019-135307"/>
    <d v="2019-11-26T00:00:00"/>
    <x v="2"/>
    <x v="201"/>
    <s v="Gladstone"/>
    <x v="25"/>
    <x v="2"/>
    <x v="0"/>
    <s v="Furnishings"/>
    <x v="452"/>
    <n v="126.30000000000001"/>
    <n v="3"/>
    <n v="0"/>
    <n v="40.415999999999997"/>
    <n v="378.90000000000003"/>
    <x v="3"/>
    <x v="0"/>
  </r>
  <r>
    <n v="512"/>
    <s v="CA-2019-135307"/>
    <d v="2019-11-26T00:00:00"/>
    <x v="2"/>
    <x v="201"/>
    <s v="Gladstone"/>
    <x v="25"/>
    <x v="2"/>
    <x v="2"/>
    <s v="Accessories"/>
    <x v="453"/>
    <n v="38.04"/>
    <n v="2"/>
    <n v="0"/>
    <n v="12.172799999999999"/>
    <n v="76.08"/>
    <x v="3"/>
    <x v="0"/>
  </r>
  <r>
    <n v="513"/>
    <s v="CA-2018-106341"/>
    <d v="2018-10-20T00:00:00"/>
    <x v="2"/>
    <x v="166"/>
    <s v="Newark"/>
    <x v="24"/>
    <x v="3"/>
    <x v="1"/>
    <s v="Art"/>
    <x v="79"/>
    <n v="7.1519999999999992"/>
    <n v="3"/>
    <n v="0.2"/>
    <n v="0.71520000000000028"/>
    <n v="17.164799999999996"/>
    <x v="0"/>
    <x v="2"/>
  </r>
  <r>
    <n v="514"/>
    <s v="CA-2019-163405"/>
    <d v="2019-12-21T00:00:00"/>
    <x v="1"/>
    <x v="202"/>
    <s v="Los Angeles"/>
    <x v="1"/>
    <x v="1"/>
    <x v="1"/>
    <s v="Art"/>
    <x v="454"/>
    <n v="6.63"/>
    <n v="3"/>
    <n v="0"/>
    <n v="1.7901"/>
    <n v="19.89"/>
    <x v="3"/>
    <x v="4"/>
  </r>
  <r>
    <n v="515"/>
    <s v="CA-2019-163405"/>
    <d v="2019-12-21T00:00:00"/>
    <x v="1"/>
    <x v="202"/>
    <s v="Los Angeles"/>
    <x v="1"/>
    <x v="1"/>
    <x v="1"/>
    <s v="Art"/>
    <x v="455"/>
    <n v="5.88"/>
    <n v="2"/>
    <n v="0"/>
    <n v="1.7051999999999996"/>
    <n v="11.76"/>
    <x v="3"/>
    <x v="4"/>
  </r>
  <r>
    <n v="516"/>
    <s v="CA-2019-127432"/>
    <d v="2019-01-22T00:00:00"/>
    <x v="1"/>
    <x v="57"/>
    <s v="Great Falls"/>
    <x v="37"/>
    <x v="1"/>
    <x v="2"/>
    <s v="Copiers"/>
    <x v="456"/>
    <n v="2999.95"/>
    <n v="5"/>
    <n v="0"/>
    <n v="1379.9769999999999"/>
    <n v="14999.75"/>
    <x v="3"/>
    <x v="9"/>
  </r>
  <r>
    <n v="517"/>
    <s v="CA-2019-127432"/>
    <d v="2019-01-22T00:00:00"/>
    <x v="1"/>
    <x v="57"/>
    <s v="Great Falls"/>
    <x v="37"/>
    <x v="1"/>
    <x v="1"/>
    <s v="Storage"/>
    <x v="457"/>
    <n v="51.449999999999996"/>
    <n v="3"/>
    <n v="0"/>
    <n v="13.891499999999999"/>
    <n v="154.35"/>
    <x v="3"/>
    <x v="9"/>
  </r>
  <r>
    <n v="518"/>
    <s v="CA-2019-127432"/>
    <d v="2019-01-22T00:00:00"/>
    <x v="1"/>
    <x v="57"/>
    <s v="Great Falls"/>
    <x v="37"/>
    <x v="1"/>
    <x v="1"/>
    <s v="Paper"/>
    <x v="458"/>
    <n v="11.96"/>
    <n v="2"/>
    <n v="0"/>
    <n v="5.3819999999999997"/>
    <n v="23.92"/>
    <x v="3"/>
    <x v="9"/>
  </r>
  <r>
    <n v="519"/>
    <s v="CA-2019-127432"/>
    <d v="2019-01-22T00:00:00"/>
    <x v="1"/>
    <x v="57"/>
    <s v="Great Falls"/>
    <x v="37"/>
    <x v="1"/>
    <x v="1"/>
    <s v="Storage"/>
    <x v="459"/>
    <n v="1126.02"/>
    <n v="3"/>
    <n v="0"/>
    <n v="56.300999999999988"/>
    <n v="3378.06"/>
    <x v="3"/>
    <x v="9"/>
  </r>
  <r>
    <n v="520"/>
    <s v="CA-2017-157812"/>
    <d v="2017-03-22T00:00:00"/>
    <x v="1"/>
    <x v="203"/>
    <s v="Houston"/>
    <x v="5"/>
    <x v="2"/>
    <x v="2"/>
    <s v="Accessories"/>
    <x v="43"/>
    <n v="18.391999999999999"/>
    <n v="1"/>
    <n v="0.2"/>
    <n v="5.2877000000000001"/>
    <n v="14.7136"/>
    <x v="1"/>
    <x v="10"/>
  </r>
  <r>
    <n v="521"/>
    <s v="CA-2017-157812"/>
    <d v="2017-03-22T00:00:00"/>
    <x v="1"/>
    <x v="203"/>
    <s v="Houston"/>
    <x v="5"/>
    <x v="2"/>
    <x v="1"/>
    <s v="Storage"/>
    <x v="460"/>
    <n v="129.56800000000001"/>
    <n v="2"/>
    <n v="0.2"/>
    <n v="-25.91360000000001"/>
    <n v="207.30880000000002"/>
    <x v="1"/>
    <x v="10"/>
  </r>
  <r>
    <n v="522"/>
    <s v="CA-2017-157812"/>
    <d v="2017-03-22T00:00:00"/>
    <x v="1"/>
    <x v="203"/>
    <s v="Houston"/>
    <x v="5"/>
    <x v="2"/>
    <x v="1"/>
    <s v="Binders"/>
    <x v="461"/>
    <n v="14.111999999999997"/>
    <n v="9"/>
    <n v="0.8"/>
    <n v="-21.167999999999999"/>
    <n v="25.401599999999988"/>
    <x v="1"/>
    <x v="10"/>
  </r>
  <r>
    <n v="523"/>
    <s v="CA-2019-145142"/>
    <d v="2019-01-23T00:00:00"/>
    <x v="2"/>
    <x v="204"/>
    <s v="Detroit"/>
    <x v="12"/>
    <x v="2"/>
    <x v="0"/>
    <s v="Tables"/>
    <x v="438"/>
    <n v="210.98"/>
    <n v="2"/>
    <n v="0"/>
    <n v="21.097999999999985"/>
    <n v="421.96"/>
    <x v="3"/>
    <x v="9"/>
  </r>
  <r>
    <n v="524"/>
    <s v="US-2018-139486"/>
    <d v="2018-05-21T00:00:00"/>
    <x v="2"/>
    <x v="109"/>
    <s v="Los Angeles"/>
    <x v="1"/>
    <x v="1"/>
    <x v="2"/>
    <s v="Phones"/>
    <x v="462"/>
    <n v="55.176000000000002"/>
    <n v="3"/>
    <n v="0.2"/>
    <n v="-12.414599999999997"/>
    <n v="132.42240000000001"/>
    <x v="0"/>
    <x v="5"/>
  </r>
  <r>
    <n v="525"/>
    <s v="US-2018-139486"/>
    <d v="2018-05-21T00:00:00"/>
    <x v="2"/>
    <x v="109"/>
    <s v="Los Angeles"/>
    <x v="1"/>
    <x v="1"/>
    <x v="2"/>
    <s v="Accessories"/>
    <x v="463"/>
    <n v="66.260000000000005"/>
    <n v="2"/>
    <n v="0"/>
    <n v="27.166600000000003"/>
    <n v="132.52000000000001"/>
    <x v="0"/>
    <x v="5"/>
  </r>
  <r>
    <n v="526"/>
    <s v="CA-2017-158792"/>
    <d v="2017-12-26T00:00:00"/>
    <x v="1"/>
    <x v="205"/>
    <s v="Lawrence"/>
    <x v="31"/>
    <x v="3"/>
    <x v="1"/>
    <s v="Fasteners"/>
    <x v="128"/>
    <n v="22.200000000000003"/>
    <n v="5"/>
    <n v="0"/>
    <n v="10.434000000000001"/>
    <n v="111.00000000000001"/>
    <x v="1"/>
    <x v="4"/>
  </r>
  <r>
    <n v="527"/>
    <s v="CA-2019-113558"/>
    <d v="2019-10-21T00:00:00"/>
    <x v="1"/>
    <x v="206"/>
    <s v="Lakeland"/>
    <x v="2"/>
    <x v="0"/>
    <x v="0"/>
    <s v="Chairs"/>
    <x v="464"/>
    <n v="683.95200000000011"/>
    <n v="3"/>
    <n v="0.2"/>
    <n v="42.746999999999986"/>
    <n v="1641.4848000000002"/>
    <x v="3"/>
    <x v="2"/>
  </r>
  <r>
    <n v="528"/>
    <s v="CA-2019-113558"/>
    <d v="2019-10-21T00:00:00"/>
    <x v="1"/>
    <x v="206"/>
    <s v="Lakeland"/>
    <x v="2"/>
    <x v="0"/>
    <x v="0"/>
    <s v="Furnishings"/>
    <x v="285"/>
    <n v="45.695999999999998"/>
    <n v="3"/>
    <n v="0.2"/>
    <n v="5.1407999999999916"/>
    <n v="109.6704"/>
    <x v="3"/>
    <x v="2"/>
  </r>
  <r>
    <n v="529"/>
    <s v="US-2017-138303"/>
    <d v="2017-09-03T00:00:00"/>
    <x v="1"/>
    <x v="207"/>
    <s v="Philadelphia"/>
    <x v="9"/>
    <x v="3"/>
    <x v="1"/>
    <s v="Storage"/>
    <x v="465"/>
    <n v="36.336000000000006"/>
    <n v="3"/>
    <n v="0.2"/>
    <n v="-7.2672000000000043"/>
    <n v="87.206400000000016"/>
    <x v="1"/>
    <x v="8"/>
  </r>
  <r>
    <n v="530"/>
    <s v="US-2017-138303"/>
    <d v="2017-09-03T00:00:00"/>
    <x v="1"/>
    <x v="207"/>
    <s v="Philadelphia"/>
    <x v="9"/>
    <x v="3"/>
    <x v="1"/>
    <s v="Supplies"/>
    <x v="466"/>
    <n v="666.24800000000005"/>
    <n v="1"/>
    <n v="0.2"/>
    <n v="-149.9058"/>
    <n v="532.99840000000006"/>
    <x v="1"/>
    <x v="8"/>
  </r>
  <r>
    <n v="531"/>
    <s v="US-2017-138303"/>
    <d v="2017-09-03T00:00:00"/>
    <x v="1"/>
    <x v="207"/>
    <s v="Philadelphia"/>
    <x v="9"/>
    <x v="3"/>
    <x v="1"/>
    <s v="Envelopes"/>
    <x v="467"/>
    <n v="52.512"/>
    <n v="6"/>
    <n v="0.2"/>
    <n v="19.692"/>
    <n v="252.05760000000001"/>
    <x v="1"/>
    <x v="8"/>
  </r>
  <r>
    <n v="532"/>
    <s v="CA-2017-102848"/>
    <d v="2017-11-07T00:00:00"/>
    <x v="0"/>
    <x v="208"/>
    <s v="Los Angeles"/>
    <x v="1"/>
    <x v="1"/>
    <x v="0"/>
    <s v="Chairs"/>
    <x v="468"/>
    <n v="190.72000000000003"/>
    <n v="1"/>
    <n v="0.2"/>
    <n v="11.919999999999987"/>
    <n v="152.57600000000002"/>
    <x v="1"/>
    <x v="0"/>
  </r>
  <r>
    <n v="533"/>
    <s v="US-2019-129441"/>
    <d v="2019-09-07T00:00:00"/>
    <x v="1"/>
    <x v="209"/>
    <s v="Los Angeles"/>
    <x v="1"/>
    <x v="1"/>
    <x v="0"/>
    <s v="Furnishings"/>
    <x v="469"/>
    <n v="47.94"/>
    <n v="3"/>
    <n v="0"/>
    <n v="2.3969999999999985"/>
    <n v="143.82"/>
    <x v="3"/>
    <x v="8"/>
  </r>
  <r>
    <n v="534"/>
    <s v="CA-2018-168753"/>
    <d v="2018-05-29T00:00:00"/>
    <x v="0"/>
    <x v="210"/>
    <s v="Montgomery"/>
    <x v="19"/>
    <x v="0"/>
    <x v="2"/>
    <s v="Phones"/>
    <x v="470"/>
    <n v="979.95"/>
    <n v="5"/>
    <n v="0"/>
    <n v="274.38600000000008"/>
    <n v="4899.75"/>
    <x v="0"/>
    <x v="5"/>
  </r>
  <r>
    <n v="535"/>
    <s v="CA-2018-168753"/>
    <d v="2018-05-29T00:00:00"/>
    <x v="0"/>
    <x v="210"/>
    <s v="Montgomery"/>
    <x v="19"/>
    <x v="0"/>
    <x v="1"/>
    <s v="Binders"/>
    <x v="249"/>
    <n v="22.75"/>
    <n v="5"/>
    <n v="0"/>
    <n v="11.375"/>
    <n v="113.75"/>
    <x v="0"/>
    <x v="5"/>
  </r>
  <r>
    <n v="536"/>
    <s v="CA-2018-126613"/>
    <d v="2018-07-10T00:00:00"/>
    <x v="1"/>
    <x v="211"/>
    <s v="Mesa"/>
    <x v="16"/>
    <x v="1"/>
    <x v="1"/>
    <s v="Storage"/>
    <x v="471"/>
    <n v="16.768000000000001"/>
    <n v="2"/>
    <n v="0.2"/>
    <n v="1.4672000000000001"/>
    <n v="26.828800000000001"/>
    <x v="0"/>
    <x v="7"/>
  </r>
  <r>
    <n v="537"/>
    <s v="US-2019-122637"/>
    <d v="2019-09-03T00:00:00"/>
    <x v="0"/>
    <x v="212"/>
    <s v="Chicago"/>
    <x v="10"/>
    <x v="2"/>
    <x v="1"/>
    <s v="Binders"/>
    <x v="472"/>
    <n v="42.615999999999993"/>
    <n v="7"/>
    <n v="0.8"/>
    <n v="-68.185600000000022"/>
    <n v="59.662399999999977"/>
    <x v="3"/>
    <x v="8"/>
  </r>
  <r>
    <n v="538"/>
    <s v="CA-2017-147851"/>
    <d v="2017-12-03T00:00:00"/>
    <x v="1"/>
    <x v="88"/>
    <s v="New York City"/>
    <x v="15"/>
    <x v="3"/>
    <x v="1"/>
    <s v="Binders"/>
    <x v="473"/>
    <n v="10.752000000000001"/>
    <n v="4"/>
    <n v="0.2"/>
    <n v="3.359999999999999"/>
    <n v="34.406400000000005"/>
    <x v="1"/>
    <x v="4"/>
  </r>
  <r>
    <n v="539"/>
    <s v="CA-2017-134894"/>
    <d v="2017-12-07T00:00:00"/>
    <x v="1"/>
    <x v="213"/>
    <s v="Henderson"/>
    <x v="0"/>
    <x v="0"/>
    <x v="1"/>
    <s v="Appliances"/>
    <x v="474"/>
    <n v="152.94"/>
    <n v="3"/>
    <n v="0"/>
    <n v="41.293800000000005"/>
    <n v="458.82"/>
    <x v="1"/>
    <x v="4"/>
  </r>
  <r>
    <n v="540"/>
    <s v="CA-2017-134894"/>
    <d v="2017-12-07T00:00:00"/>
    <x v="1"/>
    <x v="213"/>
    <s v="Henderson"/>
    <x v="0"/>
    <x v="0"/>
    <x v="0"/>
    <s v="Chairs"/>
    <x v="475"/>
    <n v="283.92"/>
    <n v="4"/>
    <n v="0"/>
    <n v="70.980000000000018"/>
    <n v="1135.68"/>
    <x v="1"/>
    <x v="4"/>
  </r>
  <r>
    <n v="541"/>
    <s v="CA-2016-140795"/>
    <d v="2016-02-01T00:00:00"/>
    <x v="2"/>
    <x v="214"/>
    <s v="Green Bay"/>
    <x v="6"/>
    <x v="2"/>
    <x v="2"/>
    <s v="Accessories"/>
    <x v="476"/>
    <n v="468.90000000000003"/>
    <n v="6"/>
    <n v="0"/>
    <n v="206.31600000000006"/>
    <n v="2813.4"/>
    <x v="2"/>
    <x v="11"/>
  </r>
  <r>
    <n v="542"/>
    <s v="CA-2018-136924"/>
    <d v="2018-07-14T00:00:00"/>
    <x v="2"/>
    <x v="20"/>
    <s v="Tucson"/>
    <x v="16"/>
    <x v="1"/>
    <x v="2"/>
    <s v="Phones"/>
    <x v="477"/>
    <n v="380.86400000000003"/>
    <n v="8"/>
    <n v="0.2"/>
    <n v="38.086400000000026"/>
    <n v="2437.5296000000003"/>
    <x v="0"/>
    <x v="7"/>
  </r>
  <r>
    <n v="543"/>
    <s v="US-2017-120161"/>
    <d v="2017-12-18T00:00:00"/>
    <x v="1"/>
    <x v="215"/>
    <s v="Springfield"/>
    <x v="24"/>
    <x v="3"/>
    <x v="1"/>
    <s v="Storage"/>
    <x v="435"/>
    <n v="646.77600000000007"/>
    <n v="9"/>
    <n v="0.2"/>
    <n v="-145.52460000000002"/>
    <n v="4656.7872000000007"/>
    <x v="1"/>
    <x v="4"/>
  </r>
  <r>
    <n v="544"/>
    <s v="CA-2016-103849"/>
    <d v="2016-05-11T00:00:00"/>
    <x v="1"/>
    <x v="38"/>
    <s v="Fort Worth"/>
    <x v="5"/>
    <x v="2"/>
    <x v="2"/>
    <s v="Accessories"/>
    <x v="478"/>
    <n v="58.112000000000002"/>
    <n v="2"/>
    <n v="0.2"/>
    <n v="7.263999999999994"/>
    <n v="92.979200000000006"/>
    <x v="2"/>
    <x v="5"/>
  </r>
  <r>
    <n v="545"/>
    <s v="CA-2016-103849"/>
    <d v="2016-05-11T00:00:00"/>
    <x v="1"/>
    <x v="38"/>
    <s v="Fort Worth"/>
    <x v="5"/>
    <x v="2"/>
    <x v="2"/>
    <s v="Phones"/>
    <x v="479"/>
    <n v="100.792"/>
    <n v="1"/>
    <n v="0.2"/>
    <n v="6.2995000000000019"/>
    <n v="80.633600000000001"/>
    <x v="2"/>
    <x v="5"/>
  </r>
  <r>
    <n v="546"/>
    <s v="CA-2016-103849"/>
    <d v="2016-05-11T00:00:00"/>
    <x v="1"/>
    <x v="38"/>
    <s v="Fort Worth"/>
    <x v="5"/>
    <x v="2"/>
    <x v="0"/>
    <s v="Furnishings"/>
    <x v="480"/>
    <n v="66.112000000000009"/>
    <n v="4"/>
    <n v="0.6"/>
    <n v="-84.292799999999986"/>
    <n v="105.77920000000002"/>
    <x v="2"/>
    <x v="5"/>
  </r>
  <r>
    <n v="547"/>
    <s v="CA-2019-162929"/>
    <d v="2019-11-19T00:00:00"/>
    <x v="2"/>
    <x v="216"/>
    <s v="New York City"/>
    <x v="15"/>
    <x v="3"/>
    <x v="1"/>
    <s v="Binders"/>
    <x v="481"/>
    <n v="41.28"/>
    <n v="6"/>
    <n v="0.2"/>
    <n v="13.931999999999999"/>
    <n v="198.14400000000001"/>
    <x v="3"/>
    <x v="0"/>
  </r>
  <r>
    <n v="548"/>
    <s v="CA-2019-162929"/>
    <d v="2019-11-19T00:00:00"/>
    <x v="2"/>
    <x v="216"/>
    <s v="New York City"/>
    <x v="15"/>
    <x v="3"/>
    <x v="1"/>
    <s v="Paper"/>
    <x v="482"/>
    <n v="13.36"/>
    <n v="2"/>
    <n v="0"/>
    <n v="6.4127999999999998"/>
    <n v="26.72"/>
    <x v="3"/>
    <x v="0"/>
  </r>
  <r>
    <n v="549"/>
    <s v="CA-2017-113173"/>
    <d v="2017-11-15T00:00:00"/>
    <x v="0"/>
    <x v="158"/>
    <s v="Chicago"/>
    <x v="10"/>
    <x v="2"/>
    <x v="1"/>
    <s v="Storage"/>
    <x v="54"/>
    <n v="250.27199999999999"/>
    <n v="9"/>
    <n v="0.2"/>
    <n v="15.641999999999982"/>
    <n v="1801.9584"/>
    <x v="1"/>
    <x v="0"/>
  </r>
  <r>
    <n v="550"/>
    <s v="CA-2017-113173"/>
    <d v="2017-11-15T00:00:00"/>
    <x v="0"/>
    <x v="158"/>
    <s v="Chicago"/>
    <x v="10"/>
    <x v="2"/>
    <x v="1"/>
    <s v="Binders"/>
    <x v="92"/>
    <n v="11.363999999999997"/>
    <n v="3"/>
    <n v="0.8"/>
    <n v="-17.045999999999999"/>
    <n v="6.8183999999999969"/>
    <x v="1"/>
    <x v="0"/>
  </r>
  <r>
    <n v="551"/>
    <s v="CA-2017-113173"/>
    <d v="2017-11-15T00:00:00"/>
    <x v="0"/>
    <x v="158"/>
    <s v="Chicago"/>
    <x v="10"/>
    <x v="2"/>
    <x v="1"/>
    <s v="Supplies"/>
    <x v="327"/>
    <n v="8.7200000000000006"/>
    <n v="5"/>
    <n v="0.2"/>
    <n v="-1.7440000000000015"/>
    <n v="34.880000000000003"/>
    <x v="1"/>
    <x v="0"/>
  </r>
  <r>
    <n v="552"/>
    <s v="CA-2018-136406"/>
    <d v="2018-04-15T00:00:00"/>
    <x v="0"/>
    <x v="217"/>
    <s v="San Francisco"/>
    <x v="1"/>
    <x v="1"/>
    <x v="0"/>
    <s v="Chairs"/>
    <x v="483"/>
    <n v="1121.568"/>
    <n v="2"/>
    <n v="0.2"/>
    <n v="0"/>
    <n v="1794.5088000000001"/>
    <x v="0"/>
    <x v="3"/>
  </r>
  <r>
    <n v="553"/>
    <s v="CA-2019-112774"/>
    <d v="2019-09-11T00:00:00"/>
    <x v="2"/>
    <x v="53"/>
    <s v="Jacksonville"/>
    <x v="2"/>
    <x v="0"/>
    <x v="0"/>
    <s v="Furnishings"/>
    <x v="484"/>
    <n v="34.504000000000005"/>
    <n v="1"/>
    <n v="0.2"/>
    <n v="6.0381999999999998"/>
    <n v="27.603200000000005"/>
    <x v="3"/>
    <x v="8"/>
  </r>
  <r>
    <n v="554"/>
    <s v="CA-2019-101945"/>
    <d v="2019-11-24T00:00:00"/>
    <x v="1"/>
    <x v="218"/>
    <s v="Houston"/>
    <x v="5"/>
    <x v="2"/>
    <x v="1"/>
    <s v="Fasteners"/>
    <x v="485"/>
    <n v="10.824"/>
    <n v="3"/>
    <n v="0.2"/>
    <n v="2.5707"/>
    <n v="25.977600000000002"/>
    <x v="3"/>
    <x v="0"/>
  </r>
  <r>
    <n v="555"/>
    <s v="CA-2019-100650"/>
    <d v="2019-06-29T00:00:00"/>
    <x v="0"/>
    <x v="158"/>
    <s v="Anaheim"/>
    <x v="1"/>
    <x v="1"/>
    <x v="1"/>
    <s v="Storage"/>
    <x v="486"/>
    <n v="1295.78"/>
    <n v="2"/>
    <n v="0"/>
    <n v="310.98720000000003"/>
    <n v="2591.56"/>
    <x v="3"/>
    <x v="1"/>
  </r>
  <r>
    <n v="556"/>
    <s v="CA-2016-155852"/>
    <d v="2016-03-03T00:00:00"/>
    <x v="0"/>
    <x v="219"/>
    <s v="Wilmington"/>
    <x v="3"/>
    <x v="0"/>
    <x v="1"/>
    <s v="Art"/>
    <x v="487"/>
    <n v="19.456000000000003"/>
    <n v="4"/>
    <n v="0.2"/>
    <n v="3.4047999999999981"/>
    <n v="62.259200000000014"/>
    <x v="2"/>
    <x v="10"/>
  </r>
  <r>
    <n v="557"/>
    <s v="CA-2018-113243"/>
    <d v="2018-06-10T00:00:00"/>
    <x v="1"/>
    <x v="220"/>
    <s v="Los Angeles"/>
    <x v="1"/>
    <x v="1"/>
    <x v="1"/>
    <s v="Labels"/>
    <x v="488"/>
    <n v="20.7"/>
    <n v="2"/>
    <n v="0"/>
    <n v="9.9359999999999999"/>
    <n v="41.4"/>
    <x v="0"/>
    <x v="1"/>
  </r>
  <r>
    <n v="558"/>
    <s v="CA-2018-113243"/>
    <d v="2018-06-10T00:00:00"/>
    <x v="1"/>
    <x v="220"/>
    <s v="Los Angeles"/>
    <x v="1"/>
    <x v="1"/>
    <x v="0"/>
    <s v="Tables"/>
    <x v="489"/>
    <n v="1335.68"/>
    <n v="4"/>
    <n v="0.2"/>
    <n v="-217.04800000000017"/>
    <n v="4274.1760000000004"/>
    <x v="0"/>
    <x v="1"/>
  </r>
  <r>
    <n v="559"/>
    <s v="CA-2018-113243"/>
    <d v="2018-06-10T00:00:00"/>
    <x v="1"/>
    <x v="220"/>
    <s v="Los Angeles"/>
    <x v="1"/>
    <x v="1"/>
    <x v="1"/>
    <s v="Paper"/>
    <x v="490"/>
    <n v="32.400000000000006"/>
    <n v="5"/>
    <n v="0"/>
    <n v="15.552000000000001"/>
    <n v="162.00000000000003"/>
    <x v="0"/>
    <x v="1"/>
  </r>
  <r>
    <n v="560"/>
    <s v="CA-2019-118731"/>
    <d v="2019-11-20T00:00:00"/>
    <x v="0"/>
    <x v="221"/>
    <s v="San Francisco"/>
    <x v="1"/>
    <x v="1"/>
    <x v="0"/>
    <s v="Furnishings"/>
    <x v="379"/>
    <n v="42.599999999999994"/>
    <n v="3"/>
    <n v="0"/>
    <n v="16.614000000000001"/>
    <n v="127.79999999999998"/>
    <x v="3"/>
    <x v="0"/>
  </r>
  <r>
    <n v="561"/>
    <s v="CA-2019-118731"/>
    <d v="2019-11-20T00:00:00"/>
    <x v="0"/>
    <x v="221"/>
    <s v="San Francisco"/>
    <x v="1"/>
    <x v="1"/>
    <x v="1"/>
    <s v="Binders"/>
    <x v="491"/>
    <n v="84.056000000000012"/>
    <n v="7"/>
    <n v="0.2"/>
    <n v="27.318199999999983"/>
    <n v="470.71360000000004"/>
    <x v="3"/>
    <x v="0"/>
  </r>
  <r>
    <n v="562"/>
    <s v="CA-2016-145576"/>
    <d v="2016-09-14T00:00:00"/>
    <x v="0"/>
    <x v="222"/>
    <s v="Tampa"/>
    <x v="2"/>
    <x v="0"/>
    <x v="1"/>
    <s v="Appliances"/>
    <x v="492"/>
    <n v="13"/>
    <n v="5"/>
    <n v="0.2"/>
    <n v="1.3000000000000007"/>
    <n v="52"/>
    <x v="2"/>
    <x v="8"/>
  </r>
  <r>
    <n v="563"/>
    <s v="CA-2016-145576"/>
    <d v="2016-09-14T00:00:00"/>
    <x v="0"/>
    <x v="222"/>
    <s v="Tampa"/>
    <x v="2"/>
    <x v="0"/>
    <x v="0"/>
    <s v="Furnishings"/>
    <x v="493"/>
    <n v="13.128"/>
    <n v="3"/>
    <n v="0.2"/>
    <n v="3.7743000000000002"/>
    <n v="31.507200000000001"/>
    <x v="2"/>
    <x v="8"/>
  </r>
  <r>
    <n v="564"/>
    <s v="CA-2017-130736"/>
    <d v="2017-12-07T00:00:00"/>
    <x v="2"/>
    <x v="223"/>
    <s v="Seattle"/>
    <x v="4"/>
    <x v="1"/>
    <x v="1"/>
    <s v="Fasteners"/>
    <x v="494"/>
    <n v="3.96"/>
    <n v="2"/>
    <n v="0"/>
    <n v="0"/>
    <n v="7.92"/>
    <x v="1"/>
    <x v="4"/>
  </r>
  <r>
    <n v="565"/>
    <s v="CA-2017-130736"/>
    <d v="2017-12-07T00:00:00"/>
    <x v="2"/>
    <x v="223"/>
    <s v="Seattle"/>
    <x v="4"/>
    <x v="1"/>
    <x v="1"/>
    <s v="Labels"/>
    <x v="286"/>
    <n v="2.61"/>
    <n v="1"/>
    <n v="0"/>
    <n v="1.2005999999999999"/>
    <n v="2.61"/>
    <x v="1"/>
    <x v="4"/>
  </r>
  <r>
    <n v="566"/>
    <s v="CA-2019-137099"/>
    <d v="2019-12-07T00:00:00"/>
    <x v="2"/>
    <x v="224"/>
    <s v="Los Angeles"/>
    <x v="1"/>
    <x v="1"/>
    <x v="2"/>
    <s v="Phones"/>
    <x v="495"/>
    <n v="374.37600000000003"/>
    <n v="3"/>
    <n v="0.2"/>
    <n v="46.796999999999983"/>
    <n v="898.50240000000019"/>
    <x v="3"/>
    <x v="4"/>
  </r>
  <r>
    <n v="567"/>
    <s v="CA-2019-156951"/>
    <d v="2019-10-01T00:00:00"/>
    <x v="1"/>
    <x v="225"/>
    <s v="Seattle"/>
    <x v="4"/>
    <x v="1"/>
    <x v="1"/>
    <s v="Paper"/>
    <x v="496"/>
    <n v="91.84"/>
    <n v="8"/>
    <n v="0"/>
    <n v="45.001600000000003"/>
    <n v="734.72"/>
    <x v="3"/>
    <x v="2"/>
  </r>
  <r>
    <n v="568"/>
    <s v="CA-2019-156951"/>
    <d v="2019-10-01T00:00:00"/>
    <x v="1"/>
    <x v="225"/>
    <s v="Seattle"/>
    <x v="4"/>
    <x v="1"/>
    <x v="1"/>
    <s v="Binders"/>
    <x v="497"/>
    <n v="81.088000000000008"/>
    <n v="7"/>
    <n v="0.2"/>
    <n v="27.3672"/>
    <n v="454.09280000000012"/>
    <x v="3"/>
    <x v="2"/>
  </r>
  <r>
    <n v="569"/>
    <s v="CA-2019-156951"/>
    <d v="2019-10-01T00:00:00"/>
    <x v="1"/>
    <x v="225"/>
    <s v="Seattle"/>
    <x v="4"/>
    <x v="1"/>
    <x v="1"/>
    <s v="Paper"/>
    <x v="498"/>
    <n v="19.440000000000001"/>
    <n v="3"/>
    <n v="0"/>
    <n v="9.3312000000000008"/>
    <n v="58.320000000000007"/>
    <x v="3"/>
    <x v="2"/>
  </r>
  <r>
    <n v="570"/>
    <s v="CA-2019-156951"/>
    <d v="2019-10-01T00:00:00"/>
    <x v="1"/>
    <x v="225"/>
    <s v="Seattle"/>
    <x v="4"/>
    <x v="1"/>
    <x v="0"/>
    <s v="Chairs"/>
    <x v="499"/>
    <n v="451.15199999999993"/>
    <n v="3"/>
    <n v="0.2"/>
    <n v="0"/>
    <n v="1082.7647999999997"/>
    <x v="3"/>
    <x v="2"/>
  </r>
  <r>
    <n v="571"/>
    <s v="CA-2019-164826"/>
    <d v="2019-12-28T00:00:00"/>
    <x v="1"/>
    <x v="226"/>
    <s v="New York City"/>
    <x v="15"/>
    <x v="3"/>
    <x v="1"/>
    <s v="Labels"/>
    <x v="488"/>
    <n v="72.45"/>
    <n v="7"/>
    <n v="0"/>
    <n v="34.775999999999996"/>
    <n v="507.15000000000003"/>
    <x v="3"/>
    <x v="4"/>
  </r>
  <r>
    <n v="572"/>
    <s v="CA-2019-164826"/>
    <d v="2019-12-28T00:00:00"/>
    <x v="1"/>
    <x v="226"/>
    <s v="New York City"/>
    <x v="15"/>
    <x v="3"/>
    <x v="1"/>
    <s v="Fasteners"/>
    <x v="204"/>
    <n v="13.96"/>
    <n v="4"/>
    <n v="0"/>
    <n v="6.4215999999999998"/>
    <n v="55.84"/>
    <x v="3"/>
    <x v="4"/>
  </r>
  <r>
    <n v="573"/>
    <s v="CA-2019-164826"/>
    <d v="2019-12-28T00:00:00"/>
    <x v="1"/>
    <x v="226"/>
    <s v="New York City"/>
    <x v="15"/>
    <x v="3"/>
    <x v="1"/>
    <s v="Binders"/>
    <x v="305"/>
    <n v="33.264000000000003"/>
    <n v="7"/>
    <n v="0.2"/>
    <n v="11.226599999999999"/>
    <n v="186.27840000000003"/>
    <x v="3"/>
    <x v="4"/>
  </r>
  <r>
    <n v="574"/>
    <s v="CA-2019-164826"/>
    <d v="2019-12-28T00:00:00"/>
    <x v="1"/>
    <x v="226"/>
    <s v="New York City"/>
    <x v="15"/>
    <x v="3"/>
    <x v="2"/>
    <s v="Phones"/>
    <x v="500"/>
    <n v="14.850000000000001"/>
    <n v="3"/>
    <n v="0"/>
    <n v="4.0095000000000001"/>
    <n v="44.550000000000004"/>
    <x v="3"/>
    <x v="4"/>
  </r>
  <r>
    <n v="575"/>
    <s v="CA-2018-127250"/>
    <d v="2018-11-03T00:00:00"/>
    <x v="1"/>
    <x v="227"/>
    <s v="Marysville"/>
    <x v="4"/>
    <x v="1"/>
    <x v="1"/>
    <s v="Art"/>
    <x v="501"/>
    <n v="8.82"/>
    <n v="3"/>
    <n v="0"/>
    <n v="2.3814000000000002"/>
    <n v="26.46"/>
    <x v="0"/>
    <x v="0"/>
  </r>
  <r>
    <n v="576"/>
    <s v="CA-2017-149713"/>
    <d v="2017-09-18T00:00:00"/>
    <x v="0"/>
    <x v="228"/>
    <s v="Long Beach"/>
    <x v="1"/>
    <x v="1"/>
    <x v="1"/>
    <s v="Paper"/>
    <x v="496"/>
    <n v="160.72"/>
    <n v="14"/>
    <n v="0"/>
    <n v="78.752800000000008"/>
    <n v="2250.08"/>
    <x v="1"/>
    <x v="8"/>
  </r>
  <r>
    <n v="577"/>
    <s v="CA-2017-149713"/>
    <d v="2017-09-18T00:00:00"/>
    <x v="0"/>
    <x v="228"/>
    <s v="Long Beach"/>
    <x v="1"/>
    <x v="1"/>
    <x v="1"/>
    <s v="Paper"/>
    <x v="502"/>
    <n v="19.920000000000002"/>
    <n v="4"/>
    <n v="0"/>
    <n v="9.7608000000000015"/>
    <n v="79.680000000000007"/>
    <x v="1"/>
    <x v="8"/>
  </r>
  <r>
    <n v="578"/>
    <s v="CA-2017-149713"/>
    <d v="2017-09-18T00:00:00"/>
    <x v="0"/>
    <x v="228"/>
    <s v="Long Beach"/>
    <x v="1"/>
    <x v="1"/>
    <x v="1"/>
    <s v="Supplies"/>
    <x v="503"/>
    <n v="7.3"/>
    <n v="2"/>
    <n v="0"/>
    <n v="2.1899999999999995"/>
    <n v="14.6"/>
    <x v="1"/>
    <x v="8"/>
  </r>
  <r>
    <n v="579"/>
    <s v="CA-2019-118640"/>
    <d v="2019-07-20T00:00:00"/>
    <x v="1"/>
    <x v="229"/>
    <s v="Chicago"/>
    <x v="10"/>
    <x v="2"/>
    <x v="1"/>
    <s v="Storage"/>
    <x v="123"/>
    <n v="69.712000000000003"/>
    <n v="2"/>
    <n v="0.2"/>
    <n v="8.7139999999999951"/>
    <n v="111.53920000000001"/>
    <x v="3"/>
    <x v="7"/>
  </r>
  <r>
    <n v="580"/>
    <s v="CA-2019-118640"/>
    <d v="2019-07-20T00:00:00"/>
    <x v="1"/>
    <x v="229"/>
    <s v="Chicago"/>
    <x v="10"/>
    <x v="2"/>
    <x v="0"/>
    <s v="Furnishings"/>
    <x v="504"/>
    <n v="8.7919999999999998"/>
    <n v="1"/>
    <n v="0.6"/>
    <n v="-5.7148000000000003"/>
    <n v="3.5167999999999999"/>
    <x v="3"/>
    <x v="7"/>
  </r>
  <r>
    <n v="581"/>
    <s v="CA-2017-132906"/>
    <d v="2017-09-10T00:00:00"/>
    <x v="1"/>
    <x v="230"/>
    <s v="Los Angeles"/>
    <x v="1"/>
    <x v="1"/>
    <x v="1"/>
    <s v="Supplies"/>
    <x v="505"/>
    <n v="51.52"/>
    <n v="4"/>
    <n v="0"/>
    <n v="1.5456000000000003"/>
    <n v="206.08"/>
    <x v="1"/>
    <x v="8"/>
  </r>
  <r>
    <n v="582"/>
    <s v="CA-2019-145233"/>
    <d v="2019-12-01T00:00:00"/>
    <x v="1"/>
    <x v="231"/>
    <s v="Denver"/>
    <x v="22"/>
    <x v="1"/>
    <x v="2"/>
    <s v="Phones"/>
    <x v="34"/>
    <n v="470.37600000000009"/>
    <n v="3"/>
    <n v="0.2"/>
    <n v="52.917299999999955"/>
    <n v="1128.9024000000002"/>
    <x v="3"/>
    <x v="4"/>
  </r>
  <r>
    <n v="583"/>
    <s v="CA-2019-145233"/>
    <d v="2019-12-01T00:00:00"/>
    <x v="1"/>
    <x v="231"/>
    <s v="Denver"/>
    <x v="22"/>
    <x v="1"/>
    <x v="2"/>
    <s v="Phones"/>
    <x v="506"/>
    <n v="105.584"/>
    <n v="2"/>
    <n v="0.2"/>
    <n v="9.2386000000000053"/>
    <n v="168.93440000000001"/>
    <x v="3"/>
    <x v="4"/>
  </r>
  <r>
    <n v="584"/>
    <s v="CA-2019-145233"/>
    <d v="2019-12-01T00:00:00"/>
    <x v="1"/>
    <x v="231"/>
    <s v="Denver"/>
    <x v="22"/>
    <x v="1"/>
    <x v="1"/>
    <s v="Appliances"/>
    <x v="95"/>
    <n v="31.152000000000001"/>
    <n v="3"/>
    <n v="0.2"/>
    <n v="3.5045999999999964"/>
    <n v="74.764800000000008"/>
    <x v="3"/>
    <x v="4"/>
  </r>
  <r>
    <n v="585"/>
    <s v="CA-2019-145233"/>
    <d v="2019-12-01T00:00:00"/>
    <x v="1"/>
    <x v="231"/>
    <s v="Denver"/>
    <x v="22"/>
    <x v="1"/>
    <x v="1"/>
    <s v="Binders"/>
    <x v="507"/>
    <n v="6.7830000000000004"/>
    <n v="7"/>
    <n v="0.7"/>
    <n v="-4.7480999999999973"/>
    <n v="14.244300000000003"/>
    <x v="3"/>
    <x v="4"/>
  </r>
  <r>
    <n v="586"/>
    <s v="CA-2019-145233"/>
    <d v="2019-12-01T00:00:00"/>
    <x v="1"/>
    <x v="231"/>
    <s v="Denver"/>
    <x v="22"/>
    <x v="1"/>
    <x v="2"/>
    <s v="Phones"/>
    <x v="144"/>
    <n v="406.36799999999999"/>
    <n v="4"/>
    <n v="0.2"/>
    <n v="30.477599999999981"/>
    <n v="1300.3776"/>
    <x v="3"/>
    <x v="4"/>
  </r>
  <r>
    <n v="587"/>
    <s v="CA-2017-128139"/>
    <d v="2017-07-03T00:00:00"/>
    <x v="1"/>
    <x v="232"/>
    <s v="Richmond"/>
    <x v="0"/>
    <x v="0"/>
    <x v="0"/>
    <s v="Chairs"/>
    <x v="368"/>
    <n v="70.98"/>
    <n v="1"/>
    <n v="0"/>
    <n v="4.968599999999995"/>
    <n v="70.98"/>
    <x v="1"/>
    <x v="7"/>
  </r>
  <r>
    <n v="588"/>
    <s v="CA-2017-128139"/>
    <d v="2017-07-03T00:00:00"/>
    <x v="1"/>
    <x v="232"/>
    <s v="Richmond"/>
    <x v="0"/>
    <x v="0"/>
    <x v="1"/>
    <s v="Labels"/>
    <x v="508"/>
    <n v="294.93"/>
    <n v="3"/>
    <n v="0"/>
    <n v="144.51570000000001"/>
    <n v="884.79"/>
    <x v="1"/>
    <x v="7"/>
  </r>
  <r>
    <n v="589"/>
    <s v="US-2018-156986"/>
    <d v="2018-03-20T00:00:00"/>
    <x v="1"/>
    <x v="233"/>
    <s v="Salem"/>
    <x v="21"/>
    <x v="1"/>
    <x v="2"/>
    <s v="Phones"/>
    <x v="509"/>
    <n v="84.784000000000006"/>
    <n v="2"/>
    <n v="0.2"/>
    <n v="-20.136200000000006"/>
    <n v="135.65440000000001"/>
    <x v="0"/>
    <x v="10"/>
  </r>
  <r>
    <n v="590"/>
    <s v="US-2018-156986"/>
    <d v="2018-03-20T00:00:00"/>
    <x v="1"/>
    <x v="233"/>
    <s v="Salem"/>
    <x v="21"/>
    <x v="1"/>
    <x v="1"/>
    <s v="Paper"/>
    <x v="510"/>
    <n v="20.736000000000004"/>
    <n v="4"/>
    <n v="0.2"/>
    <n v="7.2576000000000001"/>
    <n v="66.355200000000011"/>
    <x v="0"/>
    <x v="10"/>
  </r>
  <r>
    <n v="591"/>
    <s v="US-2018-156986"/>
    <d v="2018-03-20T00:00:00"/>
    <x v="1"/>
    <x v="233"/>
    <s v="Salem"/>
    <x v="21"/>
    <x v="1"/>
    <x v="1"/>
    <s v="Binders"/>
    <x v="440"/>
    <n v="16.821000000000005"/>
    <n v="3"/>
    <n v="0.7"/>
    <n v="-12.896100000000004"/>
    <n v="15.138900000000007"/>
    <x v="0"/>
    <x v="10"/>
  </r>
  <r>
    <n v="592"/>
    <s v="US-2018-156986"/>
    <d v="2018-03-20T00:00:00"/>
    <x v="1"/>
    <x v="233"/>
    <s v="Salem"/>
    <x v="21"/>
    <x v="1"/>
    <x v="1"/>
    <s v="Paper"/>
    <x v="511"/>
    <n v="10.368000000000002"/>
    <n v="2"/>
    <n v="0.2"/>
    <n v="3.6288"/>
    <n v="16.588800000000003"/>
    <x v="0"/>
    <x v="10"/>
  </r>
  <r>
    <n v="593"/>
    <s v="CA-2016-135405"/>
    <d v="2016-01-09T00:00:00"/>
    <x v="1"/>
    <x v="234"/>
    <s v="Laredo"/>
    <x v="5"/>
    <x v="2"/>
    <x v="1"/>
    <s v="Art"/>
    <x v="512"/>
    <n v="9.3439999999999994"/>
    <n v="2"/>
    <n v="0.2"/>
    <n v="1.1679999999999997"/>
    <n v="14.9504"/>
    <x v="2"/>
    <x v="9"/>
  </r>
  <r>
    <n v="594"/>
    <s v="CA-2016-135405"/>
    <d v="2016-01-09T00:00:00"/>
    <x v="1"/>
    <x v="234"/>
    <s v="Laredo"/>
    <x v="5"/>
    <x v="2"/>
    <x v="2"/>
    <s v="Accessories"/>
    <x v="198"/>
    <n v="31.200000000000003"/>
    <n v="3"/>
    <n v="0.2"/>
    <n v="9.7499999999999964"/>
    <n v="74.88000000000001"/>
    <x v="2"/>
    <x v="9"/>
  </r>
  <r>
    <n v="595"/>
    <s v="CA-2016-131450"/>
    <d v="2016-08-08T00:00:00"/>
    <x v="1"/>
    <x v="235"/>
    <s v="San Diego"/>
    <x v="1"/>
    <x v="1"/>
    <x v="1"/>
    <s v="Appliances"/>
    <x v="513"/>
    <n v="76.12"/>
    <n v="2"/>
    <n v="0"/>
    <n v="22.074799999999996"/>
    <n v="152.24"/>
    <x v="2"/>
    <x v="6"/>
  </r>
  <r>
    <n v="596"/>
    <s v="CA-2016-131450"/>
    <d v="2016-08-08T00:00:00"/>
    <x v="1"/>
    <x v="235"/>
    <s v="San Diego"/>
    <x v="1"/>
    <x v="1"/>
    <x v="2"/>
    <s v="Copiers"/>
    <x v="361"/>
    <n v="1199.9760000000001"/>
    <n v="3"/>
    <n v="0.2"/>
    <n v="434.99130000000002"/>
    <n v="2879.9424000000004"/>
    <x v="2"/>
    <x v="6"/>
  </r>
  <r>
    <n v="597"/>
    <s v="CA-2016-131450"/>
    <d v="2016-08-08T00:00:00"/>
    <x v="1"/>
    <x v="235"/>
    <s v="San Diego"/>
    <x v="1"/>
    <x v="1"/>
    <x v="2"/>
    <s v="Phones"/>
    <x v="288"/>
    <n v="445.96000000000004"/>
    <n v="5"/>
    <n v="0.2"/>
    <n v="55.744999999999948"/>
    <n v="1783.8400000000001"/>
    <x v="2"/>
    <x v="6"/>
  </r>
  <r>
    <n v="598"/>
    <s v="CA-2016-131450"/>
    <d v="2016-08-08T00:00:00"/>
    <x v="1"/>
    <x v="235"/>
    <s v="San Diego"/>
    <x v="1"/>
    <x v="1"/>
    <x v="0"/>
    <s v="Furnishings"/>
    <x v="514"/>
    <n v="327.76"/>
    <n v="8"/>
    <n v="0"/>
    <n v="91.772800000000018"/>
    <n v="2622.08"/>
    <x v="2"/>
    <x v="6"/>
  </r>
  <r>
    <n v="599"/>
    <s v="CA-2018-120180"/>
    <d v="2018-07-14T00:00:00"/>
    <x v="2"/>
    <x v="236"/>
    <s v="Philadelphia"/>
    <x v="9"/>
    <x v="3"/>
    <x v="1"/>
    <s v="Supplies"/>
    <x v="515"/>
    <n v="11.632"/>
    <n v="2"/>
    <n v="0.2"/>
    <n v="1.0178000000000007"/>
    <n v="18.6112"/>
    <x v="0"/>
    <x v="7"/>
  </r>
  <r>
    <n v="600"/>
    <s v="US-2018-100720"/>
    <d v="2018-07-16T00:00:00"/>
    <x v="1"/>
    <x v="237"/>
    <s v="Philadelphia"/>
    <x v="9"/>
    <x v="3"/>
    <x v="2"/>
    <s v="Phones"/>
    <x v="516"/>
    <n v="143.98199999999997"/>
    <n v="3"/>
    <n v="0.4"/>
    <n v="-28.796400000000006"/>
    <n v="259.16759999999994"/>
    <x v="0"/>
    <x v="7"/>
  </r>
  <r>
    <n v="601"/>
    <s v="US-2018-100720"/>
    <d v="2018-07-16T00:00:00"/>
    <x v="1"/>
    <x v="237"/>
    <s v="Philadelphia"/>
    <x v="9"/>
    <x v="3"/>
    <x v="2"/>
    <s v="Phones"/>
    <x v="517"/>
    <n v="494.37599999999998"/>
    <n v="4"/>
    <n v="0.4"/>
    <n v="-115.35440000000006"/>
    <n v="1186.5023999999999"/>
    <x v="0"/>
    <x v="7"/>
  </r>
  <r>
    <n v="602"/>
    <s v="US-2018-100720"/>
    <d v="2018-07-16T00:00:00"/>
    <x v="1"/>
    <x v="237"/>
    <s v="Philadelphia"/>
    <x v="9"/>
    <x v="3"/>
    <x v="1"/>
    <s v="Supplies"/>
    <x v="503"/>
    <n v="5.84"/>
    <n v="2"/>
    <n v="0.2"/>
    <n v="0.72999999999999954"/>
    <n v="9.3439999999999994"/>
    <x v="0"/>
    <x v="7"/>
  </r>
  <r>
    <n v="603"/>
    <s v="CA-2016-149958"/>
    <d v="2016-03-15T00:00:00"/>
    <x v="1"/>
    <x v="238"/>
    <s v="Tampa"/>
    <x v="2"/>
    <x v="0"/>
    <x v="1"/>
    <s v="Storage"/>
    <x v="518"/>
    <n v="142.77600000000001"/>
    <n v="1"/>
    <n v="0.2"/>
    <n v="17.84699999999998"/>
    <n v="114.22080000000001"/>
    <x v="2"/>
    <x v="10"/>
  </r>
  <r>
    <n v="604"/>
    <s v="CA-2016-149958"/>
    <d v="2016-03-15T00:00:00"/>
    <x v="1"/>
    <x v="238"/>
    <s v="Tampa"/>
    <x v="2"/>
    <x v="0"/>
    <x v="0"/>
    <s v="Furnishings"/>
    <x v="285"/>
    <n v="45.695999999999998"/>
    <n v="3"/>
    <n v="0.2"/>
    <n v="5.1407999999999916"/>
    <n v="109.6704"/>
    <x v="2"/>
    <x v="10"/>
  </r>
  <r>
    <n v="605"/>
    <s v="CA-2016-149958"/>
    <d v="2016-03-15T00:00:00"/>
    <x v="1"/>
    <x v="238"/>
    <s v="Tampa"/>
    <x v="2"/>
    <x v="0"/>
    <x v="1"/>
    <s v="Binders"/>
    <x v="386"/>
    <n v="7.218"/>
    <n v="3"/>
    <n v="0.7"/>
    <n v="-5.5338000000000012"/>
    <n v="6.4962000000000009"/>
    <x v="2"/>
    <x v="10"/>
  </r>
  <r>
    <n v="606"/>
    <s v="CA-2016-149958"/>
    <d v="2016-03-15T00:00:00"/>
    <x v="1"/>
    <x v="238"/>
    <s v="Tampa"/>
    <x v="2"/>
    <x v="0"/>
    <x v="1"/>
    <s v="Binders"/>
    <x v="380"/>
    <n v="43.188000000000009"/>
    <n v="4"/>
    <n v="0.7"/>
    <n v="-31.671199999999999"/>
    <n v="51.825600000000016"/>
    <x v="2"/>
    <x v="10"/>
  </r>
  <r>
    <n v="607"/>
    <s v="CA-2016-149958"/>
    <d v="2016-03-15T00:00:00"/>
    <x v="1"/>
    <x v="238"/>
    <s v="Tampa"/>
    <x v="2"/>
    <x v="0"/>
    <x v="1"/>
    <s v="Paper"/>
    <x v="519"/>
    <n v="131.904"/>
    <n v="3"/>
    <n v="0.2"/>
    <n v="47.815200000000004"/>
    <n v="316.56960000000004"/>
    <x v="2"/>
    <x v="10"/>
  </r>
  <r>
    <n v="608"/>
    <s v="US-2016-105767"/>
    <d v="2016-05-23T00:00:00"/>
    <x v="1"/>
    <x v="239"/>
    <s v="Philadelphia"/>
    <x v="9"/>
    <x v="3"/>
    <x v="1"/>
    <s v="Binders"/>
    <x v="520"/>
    <n v="3.2820000000000005"/>
    <n v="2"/>
    <n v="0.7"/>
    <n v="-2.6256000000000004"/>
    <n v="1.9692000000000005"/>
    <x v="2"/>
    <x v="5"/>
  </r>
  <r>
    <n v="609"/>
    <s v="US-2016-105767"/>
    <d v="2016-05-23T00:00:00"/>
    <x v="1"/>
    <x v="239"/>
    <s v="Philadelphia"/>
    <x v="9"/>
    <x v="3"/>
    <x v="1"/>
    <s v="Art"/>
    <x v="455"/>
    <n v="21.167999999999999"/>
    <n v="9"/>
    <n v="0.2"/>
    <n v="2.3813999999999984"/>
    <n v="152.40960000000001"/>
    <x v="2"/>
    <x v="5"/>
  </r>
  <r>
    <n v="610"/>
    <s v="US-2016-105767"/>
    <d v="2016-05-23T00:00:00"/>
    <x v="1"/>
    <x v="239"/>
    <s v="Philadelphia"/>
    <x v="9"/>
    <x v="3"/>
    <x v="2"/>
    <s v="Phones"/>
    <x v="521"/>
    <n v="55.188000000000002"/>
    <n v="2"/>
    <n v="0.4"/>
    <n v="-10.117800000000003"/>
    <n v="66.2256"/>
    <x v="2"/>
    <x v="5"/>
  </r>
  <r>
    <n v="611"/>
    <s v="CA-2018-161816"/>
    <d v="2018-04-28T00:00:00"/>
    <x v="2"/>
    <x v="240"/>
    <s v="Dallas"/>
    <x v="5"/>
    <x v="2"/>
    <x v="2"/>
    <s v="Phones"/>
    <x v="348"/>
    <n v="369.57600000000002"/>
    <n v="3"/>
    <n v="0.2"/>
    <n v="41.577299999999951"/>
    <n v="886.9824000000001"/>
    <x v="0"/>
    <x v="3"/>
  </r>
  <r>
    <n v="612"/>
    <s v="CA-2018-161816"/>
    <d v="2018-04-28T00:00:00"/>
    <x v="2"/>
    <x v="240"/>
    <s v="Dallas"/>
    <x v="5"/>
    <x v="2"/>
    <x v="1"/>
    <s v="Labels"/>
    <x v="522"/>
    <n v="15.712000000000002"/>
    <n v="4"/>
    <n v="0.2"/>
    <n v="5.6955999999999989"/>
    <n v="50.278400000000005"/>
    <x v="0"/>
    <x v="3"/>
  </r>
  <r>
    <n v="613"/>
    <s v="CA-2018-121223"/>
    <d v="2018-09-11T00:00:00"/>
    <x v="0"/>
    <x v="241"/>
    <s v="Philadelphia"/>
    <x v="9"/>
    <x v="3"/>
    <x v="1"/>
    <s v="Paper"/>
    <x v="523"/>
    <n v="8.4480000000000004"/>
    <n v="2"/>
    <n v="0.2"/>
    <n v="2.6399999999999997"/>
    <n v="13.516800000000002"/>
    <x v="0"/>
    <x v="8"/>
  </r>
  <r>
    <n v="614"/>
    <s v="CA-2018-121223"/>
    <d v="2018-09-11T00:00:00"/>
    <x v="0"/>
    <x v="241"/>
    <s v="Philadelphia"/>
    <x v="9"/>
    <x v="3"/>
    <x v="2"/>
    <s v="Phones"/>
    <x v="524"/>
    <n v="728.94600000000003"/>
    <n v="9"/>
    <n v="0.4"/>
    <n v="-157.93830000000008"/>
    <n v="3936.3083999999999"/>
    <x v="0"/>
    <x v="8"/>
  </r>
  <r>
    <n v="615"/>
    <s v="CA-2019-138611"/>
    <d v="2019-11-14T00:00:00"/>
    <x v="0"/>
    <x v="242"/>
    <s v="Grove City"/>
    <x v="24"/>
    <x v="3"/>
    <x v="2"/>
    <s v="Phones"/>
    <x v="223"/>
    <n v="119.93999999999998"/>
    <n v="10"/>
    <n v="0.4"/>
    <n v="15.99199999999999"/>
    <n v="719.63999999999987"/>
    <x v="3"/>
    <x v="0"/>
  </r>
  <r>
    <n v="616"/>
    <s v="CA-2019-138611"/>
    <d v="2019-11-14T00:00:00"/>
    <x v="0"/>
    <x v="242"/>
    <s v="Grove City"/>
    <x v="24"/>
    <x v="3"/>
    <x v="1"/>
    <s v="Binders"/>
    <x v="525"/>
    <n v="3.6480000000000006"/>
    <n v="2"/>
    <n v="0.7"/>
    <n v="-2.7967999999999993"/>
    <n v="2.1888000000000005"/>
    <x v="3"/>
    <x v="0"/>
  </r>
  <r>
    <n v="617"/>
    <s v="CA-2019-117947"/>
    <d v="2019-08-18T00:00:00"/>
    <x v="0"/>
    <x v="243"/>
    <s v="New York City"/>
    <x v="15"/>
    <x v="3"/>
    <x v="0"/>
    <s v="Furnishings"/>
    <x v="526"/>
    <n v="40.479999999999997"/>
    <n v="2"/>
    <n v="0"/>
    <n v="15.787199999999999"/>
    <n v="80.959999999999994"/>
    <x v="3"/>
    <x v="6"/>
  </r>
  <r>
    <n v="618"/>
    <s v="CA-2019-117947"/>
    <d v="2019-08-18T00:00:00"/>
    <x v="0"/>
    <x v="243"/>
    <s v="New York City"/>
    <x v="15"/>
    <x v="3"/>
    <x v="0"/>
    <s v="Furnishings"/>
    <x v="527"/>
    <n v="9.94"/>
    <n v="2"/>
    <n v="0"/>
    <n v="3.0813999999999995"/>
    <n v="19.88"/>
    <x v="3"/>
    <x v="6"/>
  </r>
  <r>
    <n v="619"/>
    <s v="CA-2019-117947"/>
    <d v="2019-08-18T00:00:00"/>
    <x v="0"/>
    <x v="243"/>
    <s v="New York City"/>
    <x v="15"/>
    <x v="3"/>
    <x v="1"/>
    <s v="Binders"/>
    <x v="528"/>
    <n v="107.42400000000001"/>
    <n v="9"/>
    <n v="0.2"/>
    <n v="33.569999999999986"/>
    <n v="773.45280000000002"/>
    <x v="3"/>
    <x v="6"/>
  </r>
  <r>
    <n v="620"/>
    <s v="CA-2019-117947"/>
    <d v="2019-08-18T00:00:00"/>
    <x v="0"/>
    <x v="243"/>
    <s v="New York City"/>
    <x v="15"/>
    <x v="3"/>
    <x v="2"/>
    <s v="Phones"/>
    <x v="529"/>
    <n v="37.909999999999997"/>
    <n v="1"/>
    <n v="0"/>
    <n v="10.993899999999996"/>
    <n v="37.909999999999997"/>
    <x v="3"/>
    <x v="6"/>
  </r>
  <r>
    <n v="621"/>
    <s v="CA-2019-117947"/>
    <d v="2019-08-18T00:00:00"/>
    <x v="0"/>
    <x v="243"/>
    <s v="New York City"/>
    <x v="15"/>
    <x v="3"/>
    <x v="0"/>
    <s v="Furnishings"/>
    <x v="139"/>
    <n v="88.02"/>
    <n v="3"/>
    <n v="0"/>
    <n v="27.286199999999994"/>
    <n v="264.06"/>
    <x v="3"/>
    <x v="6"/>
  </r>
  <r>
    <n v="622"/>
    <s v="US-2016-111171"/>
    <d v="2016-12-26T00:00:00"/>
    <x v="1"/>
    <x v="244"/>
    <s v="Chicago"/>
    <x v="10"/>
    <x v="2"/>
    <x v="1"/>
    <s v="Binders"/>
    <x v="530"/>
    <n v="8.6899999999999977"/>
    <n v="5"/>
    <n v="0.8"/>
    <n v="-14.773"/>
    <n v="8.6899999999999959"/>
    <x v="2"/>
    <x v="4"/>
  </r>
  <r>
    <n v="623"/>
    <s v="CA-2017-138009"/>
    <d v="2017-11-29T00:00:00"/>
    <x v="1"/>
    <x v="245"/>
    <s v="Dearborn"/>
    <x v="12"/>
    <x v="2"/>
    <x v="0"/>
    <s v="Chairs"/>
    <x v="531"/>
    <n v="301.95999999999998"/>
    <n v="2"/>
    <n v="0"/>
    <n v="87.568399999999968"/>
    <n v="603.91999999999996"/>
    <x v="1"/>
    <x v="0"/>
  </r>
  <r>
    <n v="624"/>
    <s v="CA-2017-138009"/>
    <d v="2017-11-29T00:00:00"/>
    <x v="1"/>
    <x v="245"/>
    <s v="Dearborn"/>
    <x v="12"/>
    <x v="2"/>
    <x v="1"/>
    <s v="Appliances"/>
    <x v="532"/>
    <n v="555.21"/>
    <n v="5"/>
    <n v="0.1"/>
    <n v="178.90100000000001"/>
    <n v="2498.4450000000002"/>
    <x v="1"/>
    <x v="0"/>
  </r>
  <r>
    <n v="625"/>
    <s v="CA-2017-138009"/>
    <d v="2017-11-29T00:00:00"/>
    <x v="1"/>
    <x v="245"/>
    <s v="Dearborn"/>
    <x v="12"/>
    <x v="2"/>
    <x v="1"/>
    <s v="Storage"/>
    <x v="533"/>
    <n v="523.48"/>
    <n v="4"/>
    <n v="0"/>
    <n v="130.87"/>
    <n v="2093.92"/>
    <x v="1"/>
    <x v="0"/>
  </r>
  <r>
    <n v="626"/>
    <s v="CA-2017-138009"/>
    <d v="2017-11-29T00:00:00"/>
    <x v="1"/>
    <x v="245"/>
    <s v="Dearborn"/>
    <x v="12"/>
    <x v="2"/>
    <x v="1"/>
    <s v="Art"/>
    <x v="30"/>
    <n v="161.82"/>
    <n v="9"/>
    <n v="0"/>
    <n v="46.927799999999984"/>
    <n v="1456.3799999999999"/>
    <x v="1"/>
    <x v="0"/>
  </r>
  <r>
    <n v="627"/>
    <s v="CA-2019-163020"/>
    <d v="2019-09-15T00:00:00"/>
    <x v="1"/>
    <x v="246"/>
    <s v="New York City"/>
    <x v="15"/>
    <x v="3"/>
    <x v="0"/>
    <s v="Furnishings"/>
    <x v="534"/>
    <n v="35.56"/>
    <n v="7"/>
    <n v="0"/>
    <n v="12.090399999999999"/>
    <n v="248.92000000000002"/>
    <x v="3"/>
    <x v="8"/>
  </r>
  <r>
    <n v="628"/>
    <s v="CA-2019-153787"/>
    <d v="2019-05-19T00:00:00"/>
    <x v="1"/>
    <x v="247"/>
    <s v="Seattle"/>
    <x v="4"/>
    <x v="1"/>
    <x v="1"/>
    <s v="Appliances"/>
    <x v="535"/>
    <n v="97.16"/>
    <n v="2"/>
    <n v="0"/>
    <n v="28.176399999999987"/>
    <n v="194.32"/>
    <x v="3"/>
    <x v="5"/>
  </r>
  <r>
    <n v="629"/>
    <s v="CA-2019-133431"/>
    <d v="2019-12-17T00:00:00"/>
    <x v="1"/>
    <x v="95"/>
    <s v="San Francisco"/>
    <x v="1"/>
    <x v="1"/>
    <x v="1"/>
    <s v="Binders"/>
    <x v="536"/>
    <n v="15.24"/>
    <n v="5"/>
    <n v="0.2"/>
    <n v="5.1434999999999977"/>
    <n v="60.960000000000008"/>
    <x v="3"/>
    <x v="4"/>
  </r>
  <r>
    <n v="630"/>
    <s v="CA-2019-133431"/>
    <d v="2019-12-17T00:00:00"/>
    <x v="1"/>
    <x v="95"/>
    <s v="San Francisco"/>
    <x v="1"/>
    <x v="1"/>
    <x v="1"/>
    <s v="Paper"/>
    <x v="250"/>
    <n v="13.23"/>
    <n v="3"/>
    <n v="0"/>
    <n v="6.0857999999999999"/>
    <n v="39.69"/>
    <x v="3"/>
    <x v="4"/>
  </r>
  <r>
    <n v="631"/>
    <s v="US-2018-135720"/>
    <d v="2018-12-11T00:00:00"/>
    <x v="0"/>
    <x v="248"/>
    <s v="Aurora"/>
    <x v="22"/>
    <x v="1"/>
    <x v="1"/>
    <s v="Storage"/>
    <x v="537"/>
    <n v="243.38400000000001"/>
    <n v="3"/>
    <n v="0.2"/>
    <n v="-51.719100000000012"/>
    <n v="584.12160000000006"/>
    <x v="0"/>
    <x v="4"/>
  </r>
  <r>
    <n v="632"/>
    <s v="US-2018-135720"/>
    <d v="2018-12-11T00:00:00"/>
    <x v="0"/>
    <x v="248"/>
    <s v="Aurora"/>
    <x v="22"/>
    <x v="1"/>
    <x v="2"/>
    <s v="Accessories"/>
    <x v="538"/>
    <n v="119.80000000000001"/>
    <n v="5"/>
    <n v="0.2"/>
    <n v="29.950000000000003"/>
    <n v="479.20000000000005"/>
    <x v="0"/>
    <x v="4"/>
  </r>
  <r>
    <n v="633"/>
    <s v="US-2018-135720"/>
    <d v="2018-12-11T00:00:00"/>
    <x v="0"/>
    <x v="248"/>
    <s v="Aurora"/>
    <x v="22"/>
    <x v="1"/>
    <x v="2"/>
    <s v="Phones"/>
    <x v="539"/>
    <n v="300.76799999999997"/>
    <n v="4"/>
    <n v="0.2"/>
    <n v="30.076800000000006"/>
    <n v="962.45759999999996"/>
    <x v="0"/>
    <x v="4"/>
  </r>
  <r>
    <n v="634"/>
    <s v="CA-2019-144694"/>
    <d v="2019-09-24T00:00:00"/>
    <x v="0"/>
    <x v="205"/>
    <s v="Miami"/>
    <x v="2"/>
    <x v="0"/>
    <x v="2"/>
    <s v="Accessories"/>
    <x v="540"/>
    <n v="17.880000000000003"/>
    <n v="3"/>
    <n v="0.2"/>
    <n v="2.458499999999999"/>
    <n v="42.912000000000006"/>
    <x v="3"/>
    <x v="8"/>
  </r>
  <r>
    <n v="635"/>
    <s v="CA-2019-144694"/>
    <d v="2019-09-24T00:00:00"/>
    <x v="0"/>
    <x v="205"/>
    <s v="Miami"/>
    <x v="2"/>
    <x v="0"/>
    <x v="1"/>
    <s v="Labels"/>
    <x v="508"/>
    <n v="235.94400000000002"/>
    <n v="3"/>
    <n v="0.2"/>
    <n v="85.529700000000005"/>
    <n v="566.26560000000006"/>
    <x v="3"/>
    <x v="8"/>
  </r>
  <r>
    <n v="636"/>
    <s v="CA-2017-168004"/>
    <d v="2017-10-04T00:00:00"/>
    <x v="0"/>
    <x v="249"/>
    <s v="Warner Robins"/>
    <x v="32"/>
    <x v="0"/>
    <x v="0"/>
    <s v="Chairs"/>
    <x v="541"/>
    <n v="392.93999999999994"/>
    <n v="3"/>
    <n v="0"/>
    <n v="43.223399999999984"/>
    <n v="1178.8199999999997"/>
    <x v="1"/>
    <x v="2"/>
  </r>
  <r>
    <n v="637"/>
    <s v="US-2018-123470"/>
    <d v="2018-08-15T00:00:00"/>
    <x v="1"/>
    <x v="250"/>
    <s v="Aurora"/>
    <x v="22"/>
    <x v="1"/>
    <x v="1"/>
    <s v="Binders"/>
    <x v="542"/>
    <n v="18.882000000000005"/>
    <n v="3"/>
    <n v="0.7"/>
    <n v="-13.846800000000002"/>
    <n v="16.993800000000007"/>
    <x v="0"/>
    <x v="6"/>
  </r>
  <r>
    <n v="638"/>
    <s v="US-2018-123470"/>
    <d v="2018-08-15T00:00:00"/>
    <x v="1"/>
    <x v="250"/>
    <s v="Aurora"/>
    <x v="22"/>
    <x v="1"/>
    <x v="1"/>
    <s v="Appliances"/>
    <x v="543"/>
    <n v="122.328"/>
    <n v="3"/>
    <n v="0.2"/>
    <n v="12.232799999999997"/>
    <n v="293.58720000000005"/>
    <x v="0"/>
    <x v="6"/>
  </r>
  <r>
    <n v="639"/>
    <s v="CA-2018-115917"/>
    <d v="2018-05-20T00:00:00"/>
    <x v="1"/>
    <x v="46"/>
    <s v="Vallejo"/>
    <x v="1"/>
    <x v="1"/>
    <x v="0"/>
    <s v="Furnishings"/>
    <x v="221"/>
    <n v="1049.2"/>
    <n v="5"/>
    <n v="0"/>
    <n v="272.79200000000003"/>
    <n v="5246"/>
    <x v="0"/>
    <x v="5"/>
  </r>
  <r>
    <n v="640"/>
    <s v="CA-2018-115917"/>
    <d v="2018-05-20T00:00:00"/>
    <x v="1"/>
    <x v="46"/>
    <s v="Vallejo"/>
    <x v="1"/>
    <x v="1"/>
    <x v="1"/>
    <s v="Binders"/>
    <x v="544"/>
    <n v="15.424000000000001"/>
    <n v="4"/>
    <n v="0.2"/>
    <n v="5.0128000000000004"/>
    <n v="49.356800000000007"/>
    <x v="0"/>
    <x v="5"/>
  </r>
  <r>
    <n v="641"/>
    <s v="CA-2018-147067"/>
    <d v="2018-12-18T00:00:00"/>
    <x v="1"/>
    <x v="251"/>
    <s v="Minneapolis"/>
    <x v="11"/>
    <x v="2"/>
    <x v="0"/>
    <s v="Furnishings"/>
    <x v="545"/>
    <n v="18.84"/>
    <n v="3"/>
    <n v="0"/>
    <n v="6.0287999999999995"/>
    <n v="56.519999999999996"/>
    <x v="0"/>
    <x v="4"/>
  </r>
  <r>
    <n v="642"/>
    <s v="CA-2019-167913"/>
    <d v="2019-07-30T00:00:00"/>
    <x v="0"/>
    <x v="252"/>
    <s v="Mission Viejo"/>
    <x v="1"/>
    <x v="1"/>
    <x v="1"/>
    <s v="Storage"/>
    <x v="546"/>
    <n v="330.4"/>
    <n v="2"/>
    <n v="0"/>
    <n v="85.903999999999996"/>
    <n v="660.8"/>
    <x v="3"/>
    <x v="7"/>
  </r>
  <r>
    <n v="643"/>
    <s v="CA-2019-167913"/>
    <d v="2019-07-30T00:00:00"/>
    <x v="0"/>
    <x v="252"/>
    <s v="Mission Viejo"/>
    <x v="1"/>
    <x v="1"/>
    <x v="1"/>
    <s v="Labels"/>
    <x v="547"/>
    <n v="26.25"/>
    <n v="7"/>
    <n v="0"/>
    <n v="12.599999999999998"/>
    <n v="183.75"/>
    <x v="3"/>
    <x v="7"/>
  </r>
  <r>
    <n v="644"/>
    <s v="CA-2019-106103"/>
    <d v="2019-06-10T00:00:00"/>
    <x v="1"/>
    <x v="253"/>
    <s v="Rochester Hills"/>
    <x v="12"/>
    <x v="2"/>
    <x v="2"/>
    <s v="Accessories"/>
    <x v="463"/>
    <n v="132.52000000000001"/>
    <n v="4"/>
    <n v="0"/>
    <n v="54.333200000000005"/>
    <n v="530.08000000000004"/>
    <x v="3"/>
    <x v="1"/>
  </r>
  <r>
    <n v="645"/>
    <s v="US-2019-127719"/>
    <d v="2019-07-21T00:00:00"/>
    <x v="1"/>
    <x v="69"/>
    <s v="Plainfield"/>
    <x v="30"/>
    <x v="3"/>
    <x v="1"/>
    <s v="Paper"/>
    <x v="548"/>
    <n v="6.48"/>
    <n v="1"/>
    <n v="0"/>
    <n v="3.1752000000000002"/>
    <n v="6.48"/>
    <x v="3"/>
    <x v="7"/>
  </r>
  <r>
    <n v="646"/>
    <s v="CA-2019-126221"/>
    <d v="2019-12-30T00:00:00"/>
    <x v="1"/>
    <x v="254"/>
    <s v="Columbus"/>
    <x v="14"/>
    <x v="2"/>
    <x v="1"/>
    <s v="Appliances"/>
    <x v="549"/>
    <n v="209.3"/>
    <n v="2"/>
    <n v="0"/>
    <n v="56.510999999999996"/>
    <n v="418.6"/>
    <x v="3"/>
    <x v="4"/>
  </r>
  <r>
    <n v="647"/>
    <s v="CA-2018-103947"/>
    <d v="2018-04-01T00:00:00"/>
    <x v="1"/>
    <x v="121"/>
    <s v="Sierra Vista"/>
    <x v="16"/>
    <x v="1"/>
    <x v="1"/>
    <s v="Fasteners"/>
    <x v="128"/>
    <n v="31.560000000000002"/>
    <n v="5"/>
    <n v="0.2"/>
    <n v="9.8624999999999972"/>
    <n v="126.24000000000001"/>
    <x v="0"/>
    <x v="3"/>
  </r>
  <r>
    <n v="648"/>
    <s v="CA-2018-103947"/>
    <d v="2018-04-01T00:00:00"/>
    <x v="1"/>
    <x v="121"/>
    <s v="Sierra Vista"/>
    <x v="16"/>
    <x v="1"/>
    <x v="1"/>
    <s v="Appliances"/>
    <x v="550"/>
    <n v="30.144000000000002"/>
    <n v="2"/>
    <n v="0.2"/>
    <n v="3.0143999999999993"/>
    <n v="48.230400000000003"/>
    <x v="0"/>
    <x v="3"/>
  </r>
  <r>
    <n v="649"/>
    <s v="CA-2018-160745"/>
    <d v="2018-12-11T00:00:00"/>
    <x v="0"/>
    <x v="255"/>
    <s v="Vancouver"/>
    <x v="4"/>
    <x v="1"/>
    <x v="0"/>
    <s v="Furnishings"/>
    <x v="345"/>
    <n v="14.8"/>
    <n v="4"/>
    <n v="0"/>
    <n v="6.0680000000000014"/>
    <n v="59.2"/>
    <x v="0"/>
    <x v="4"/>
  </r>
  <r>
    <n v="650"/>
    <s v="CA-2018-160745"/>
    <d v="2018-12-11T00:00:00"/>
    <x v="0"/>
    <x v="255"/>
    <s v="Vancouver"/>
    <x v="4"/>
    <x v="1"/>
    <x v="2"/>
    <s v="Phones"/>
    <x v="173"/>
    <n v="302.37599999999998"/>
    <n v="3"/>
    <n v="0.2"/>
    <n v="22.678200000000018"/>
    <n v="725.70240000000001"/>
    <x v="0"/>
    <x v="4"/>
  </r>
  <r>
    <n v="651"/>
    <s v="CA-2018-160745"/>
    <d v="2018-12-11T00:00:00"/>
    <x v="0"/>
    <x v="255"/>
    <s v="Vancouver"/>
    <x v="4"/>
    <x v="1"/>
    <x v="2"/>
    <s v="Accessories"/>
    <x v="551"/>
    <n v="316"/>
    <n v="4"/>
    <n v="0"/>
    <n v="31.599999999999966"/>
    <n v="1264"/>
    <x v="0"/>
    <x v="4"/>
  </r>
  <r>
    <n v="652"/>
    <s v="CA-2018-132661"/>
    <d v="2018-10-23T00:00:00"/>
    <x v="1"/>
    <x v="256"/>
    <s v="New York City"/>
    <x v="15"/>
    <x v="3"/>
    <x v="1"/>
    <s v="Paper"/>
    <x v="67"/>
    <n v="379.4"/>
    <n v="10"/>
    <n v="0"/>
    <n v="178.31799999999998"/>
    <n v="3794"/>
    <x v="0"/>
    <x v="2"/>
  </r>
  <r>
    <n v="653"/>
    <s v="CA-2019-140844"/>
    <d v="2019-06-19T00:00:00"/>
    <x v="1"/>
    <x v="153"/>
    <s v="New York City"/>
    <x v="15"/>
    <x v="3"/>
    <x v="1"/>
    <s v="Paper"/>
    <x v="62"/>
    <n v="97.82"/>
    <n v="2"/>
    <n v="0"/>
    <n v="45.975399999999993"/>
    <n v="195.64"/>
    <x v="3"/>
    <x v="1"/>
  </r>
  <r>
    <n v="654"/>
    <s v="CA-2019-140844"/>
    <d v="2019-06-19T00:00:00"/>
    <x v="1"/>
    <x v="153"/>
    <s v="New York City"/>
    <x v="15"/>
    <x v="3"/>
    <x v="2"/>
    <s v="Accessories"/>
    <x v="552"/>
    <n v="103.12"/>
    <n v="8"/>
    <n v="0"/>
    <n v="10.311999999999998"/>
    <n v="824.96"/>
    <x v="3"/>
    <x v="1"/>
  </r>
  <r>
    <n v="655"/>
    <s v="CA-2018-137239"/>
    <d v="2018-08-22T00:00:00"/>
    <x v="1"/>
    <x v="257"/>
    <s v="Columbus"/>
    <x v="24"/>
    <x v="3"/>
    <x v="1"/>
    <s v="Appliances"/>
    <x v="553"/>
    <n v="113.55200000000001"/>
    <n v="2"/>
    <n v="0.2"/>
    <n v="8.5163999999999938"/>
    <n v="181.68320000000003"/>
    <x v="0"/>
    <x v="6"/>
  </r>
  <r>
    <n v="656"/>
    <s v="CA-2018-137239"/>
    <d v="2018-08-22T00:00:00"/>
    <x v="1"/>
    <x v="257"/>
    <s v="Columbus"/>
    <x v="24"/>
    <x v="3"/>
    <x v="1"/>
    <s v="Binders"/>
    <x v="554"/>
    <n v="3.3180000000000005"/>
    <n v="2"/>
    <n v="0.7"/>
    <n v="-2.6543999999999999"/>
    <n v="1.9908000000000006"/>
    <x v="0"/>
    <x v="6"/>
  </r>
  <r>
    <n v="657"/>
    <s v="CA-2018-137239"/>
    <d v="2018-08-22T00:00:00"/>
    <x v="1"/>
    <x v="257"/>
    <s v="Columbus"/>
    <x v="24"/>
    <x v="3"/>
    <x v="1"/>
    <s v="Envelopes"/>
    <x v="555"/>
    <n v="134.28800000000001"/>
    <n v="2"/>
    <n v="0.2"/>
    <n v="45.322199999999995"/>
    <n v="214.86080000000004"/>
    <x v="0"/>
    <x v="6"/>
  </r>
  <r>
    <n v="658"/>
    <s v="US-2018-156097"/>
    <d v="2018-09-19T00:00:00"/>
    <x v="3"/>
    <x v="258"/>
    <s v="Aurora"/>
    <x v="10"/>
    <x v="2"/>
    <x v="0"/>
    <s v="Chairs"/>
    <x v="445"/>
    <n v="701.37199999999996"/>
    <n v="2"/>
    <n v="0.3"/>
    <n v="-50.098000000000013"/>
    <n v="981.92079999999987"/>
    <x v="0"/>
    <x v="8"/>
  </r>
  <r>
    <n v="659"/>
    <s v="US-2018-156097"/>
    <d v="2018-09-19T00:00:00"/>
    <x v="3"/>
    <x v="258"/>
    <s v="Aurora"/>
    <x v="10"/>
    <x v="2"/>
    <x v="1"/>
    <s v="Binders"/>
    <x v="68"/>
    <n v="2.3079999999999994"/>
    <n v="2"/>
    <n v="0.8"/>
    <n v="-3.4619999999999997"/>
    <n v="0.92319999999999958"/>
    <x v="0"/>
    <x v="8"/>
  </r>
  <r>
    <n v="660"/>
    <s v="CA-2017-146563"/>
    <d v="2017-08-24T00:00:00"/>
    <x v="1"/>
    <x v="90"/>
    <s v="Arlington"/>
    <x v="5"/>
    <x v="2"/>
    <x v="1"/>
    <s v="Storage"/>
    <x v="518"/>
    <n v="999.43200000000002"/>
    <n v="7"/>
    <n v="0.2"/>
    <n v="124.92899999999986"/>
    <n v="5596.8192000000008"/>
    <x v="1"/>
    <x v="6"/>
  </r>
  <r>
    <n v="661"/>
    <s v="CA-2017-146563"/>
    <d v="2017-08-24T00:00:00"/>
    <x v="1"/>
    <x v="90"/>
    <s v="Arlington"/>
    <x v="5"/>
    <x v="2"/>
    <x v="1"/>
    <s v="Storage"/>
    <x v="556"/>
    <n v="724.08"/>
    <n v="14"/>
    <n v="0.2"/>
    <n v="-135.7650000000001"/>
    <n v="8109.6960000000008"/>
    <x v="1"/>
    <x v="6"/>
  </r>
  <r>
    <n v="662"/>
    <s v="CA-2017-146563"/>
    <d v="2017-08-24T00:00:00"/>
    <x v="1"/>
    <x v="90"/>
    <s v="Arlington"/>
    <x v="5"/>
    <x v="2"/>
    <x v="0"/>
    <s v="Tables"/>
    <x v="114"/>
    <n v="918.78499999999985"/>
    <n v="5"/>
    <n v="0.3"/>
    <n v="-118.12950000000006"/>
    <n v="3215.7474999999995"/>
    <x v="1"/>
    <x v="6"/>
  </r>
  <r>
    <n v="663"/>
    <s v="CA-2017-146563"/>
    <d v="2017-08-24T00:00:00"/>
    <x v="1"/>
    <x v="90"/>
    <s v="Arlington"/>
    <x v="5"/>
    <x v="2"/>
    <x v="1"/>
    <s v="Binders"/>
    <x v="109"/>
    <n v="2.7239999999999993"/>
    <n v="3"/>
    <n v="0.8"/>
    <n v="-4.2222000000000008"/>
    <n v="1.634399999999999"/>
    <x v="1"/>
    <x v="6"/>
  </r>
  <r>
    <n v="664"/>
    <s v="CA-2018-123666"/>
    <d v="2018-03-26T00:00:00"/>
    <x v="1"/>
    <x v="259"/>
    <s v="New York City"/>
    <x v="15"/>
    <x v="3"/>
    <x v="1"/>
    <s v="Storage"/>
    <x v="197"/>
    <n v="459.95"/>
    <n v="5"/>
    <n v="0"/>
    <n v="18.397999999999968"/>
    <n v="2299.75"/>
    <x v="0"/>
    <x v="10"/>
  </r>
  <r>
    <n v="665"/>
    <s v="CA-2018-143308"/>
    <d v="2018-11-04T00:00:00"/>
    <x v="3"/>
    <x v="116"/>
    <s v="Louisville"/>
    <x v="0"/>
    <x v="0"/>
    <x v="1"/>
    <s v="Fasteners"/>
    <x v="110"/>
    <n v="10.74"/>
    <n v="3"/>
    <n v="0"/>
    <n v="5.2625999999999999"/>
    <n v="32.22"/>
    <x v="0"/>
    <x v="0"/>
  </r>
  <r>
    <n v="666"/>
    <s v="CA-2019-132682"/>
    <d v="2019-06-08T00:00:00"/>
    <x v="0"/>
    <x v="260"/>
    <s v="Dallas"/>
    <x v="5"/>
    <x v="2"/>
    <x v="1"/>
    <s v="Supplies"/>
    <x v="557"/>
    <n v="23.76"/>
    <n v="3"/>
    <n v="0.2"/>
    <n v="2.0789999999999997"/>
    <n v="57.024000000000001"/>
    <x v="3"/>
    <x v="1"/>
  </r>
  <r>
    <n v="667"/>
    <s v="CA-2019-132682"/>
    <d v="2019-06-08T00:00:00"/>
    <x v="0"/>
    <x v="260"/>
    <s v="Dallas"/>
    <x v="5"/>
    <x v="2"/>
    <x v="1"/>
    <s v="Paper"/>
    <x v="33"/>
    <n v="85.055999999999997"/>
    <n v="3"/>
    <n v="0.2"/>
    <n v="28.706399999999991"/>
    <n v="204.13440000000003"/>
    <x v="3"/>
    <x v="1"/>
  </r>
  <r>
    <n v="668"/>
    <s v="CA-2019-132682"/>
    <d v="2019-06-08T00:00:00"/>
    <x v="0"/>
    <x v="260"/>
    <s v="Dallas"/>
    <x v="5"/>
    <x v="2"/>
    <x v="2"/>
    <s v="Phones"/>
    <x v="558"/>
    <n v="381.57600000000002"/>
    <n v="3"/>
    <n v="0.2"/>
    <n v="28.618200000000002"/>
    <n v="915.78240000000005"/>
    <x v="3"/>
    <x v="1"/>
  </r>
  <r>
    <n v="669"/>
    <s v="CA-2016-156314"/>
    <d v="2016-12-24T00:00:00"/>
    <x v="2"/>
    <x v="261"/>
    <s v="Cleveland"/>
    <x v="24"/>
    <x v="3"/>
    <x v="0"/>
    <s v="Furnishings"/>
    <x v="559"/>
    <n v="30.36"/>
    <n v="5"/>
    <n v="0.2"/>
    <n v="8.7285000000000004"/>
    <n v="121.44000000000001"/>
    <x v="2"/>
    <x v="4"/>
  </r>
  <r>
    <n v="670"/>
    <s v="US-2019-106663"/>
    <d v="2019-06-09T00:00:00"/>
    <x v="1"/>
    <x v="246"/>
    <s v="Chicago"/>
    <x v="10"/>
    <x v="2"/>
    <x v="0"/>
    <s v="Furnishings"/>
    <x v="560"/>
    <n v="23.976000000000003"/>
    <n v="3"/>
    <n v="0.6"/>
    <n v="-14.385599999999997"/>
    <n v="28.771200000000007"/>
    <x v="3"/>
    <x v="1"/>
  </r>
  <r>
    <n v="671"/>
    <s v="US-2019-106663"/>
    <d v="2019-06-09T00:00:00"/>
    <x v="1"/>
    <x v="246"/>
    <s v="Chicago"/>
    <x v="10"/>
    <x v="2"/>
    <x v="0"/>
    <s v="Tables"/>
    <x v="561"/>
    <n v="108.925"/>
    <n v="1"/>
    <n v="0.5"/>
    <n v="-71.890500000000017"/>
    <n v="54.462499999999999"/>
    <x v="3"/>
    <x v="1"/>
  </r>
  <r>
    <n v="672"/>
    <s v="US-2019-106663"/>
    <d v="2019-06-09T00:00:00"/>
    <x v="1"/>
    <x v="246"/>
    <s v="Chicago"/>
    <x v="10"/>
    <x v="2"/>
    <x v="1"/>
    <s v="Paper"/>
    <x v="562"/>
    <n v="36.351999999999997"/>
    <n v="8"/>
    <n v="0.2"/>
    <n v="11.359999999999998"/>
    <n v="232.65279999999998"/>
    <x v="3"/>
    <x v="1"/>
  </r>
  <r>
    <n v="673"/>
    <s v="CA-2019-111178"/>
    <d v="2019-06-15T00:00:00"/>
    <x v="1"/>
    <x v="143"/>
    <s v="Quincy"/>
    <x v="10"/>
    <x v="2"/>
    <x v="1"/>
    <s v="Art"/>
    <x v="563"/>
    <n v="19.559999999999999"/>
    <n v="5"/>
    <n v="0.2"/>
    <n v="1.7115"/>
    <n v="78.240000000000009"/>
    <x v="3"/>
    <x v="1"/>
  </r>
  <r>
    <n v="674"/>
    <s v="CA-2019-130351"/>
    <d v="2019-12-05T00:00:00"/>
    <x v="2"/>
    <x v="262"/>
    <s v="Columbus"/>
    <x v="14"/>
    <x v="2"/>
    <x v="1"/>
    <s v="Appliances"/>
    <x v="564"/>
    <n v="61.44"/>
    <n v="3"/>
    <n v="0"/>
    <n v="16.588799999999999"/>
    <n v="184.32"/>
    <x v="3"/>
    <x v="4"/>
  </r>
  <r>
    <n v="675"/>
    <s v="CA-2019-130351"/>
    <d v="2019-12-05T00:00:00"/>
    <x v="2"/>
    <x v="262"/>
    <s v="Columbus"/>
    <x v="14"/>
    <x v="2"/>
    <x v="1"/>
    <s v="Paper"/>
    <x v="565"/>
    <n v="38.9"/>
    <n v="5"/>
    <n v="0"/>
    <n v="17.504999999999995"/>
    <n v="194.5"/>
    <x v="3"/>
    <x v="4"/>
  </r>
  <r>
    <n v="676"/>
    <s v="CA-2019-130351"/>
    <d v="2019-12-05T00:00:00"/>
    <x v="2"/>
    <x v="262"/>
    <s v="Columbus"/>
    <x v="14"/>
    <x v="2"/>
    <x v="2"/>
    <s v="Accessories"/>
    <x v="463"/>
    <n v="99.390000000000015"/>
    <n v="3"/>
    <n v="0"/>
    <n v="40.749900000000004"/>
    <n v="298.17000000000007"/>
    <x v="3"/>
    <x v="4"/>
  </r>
  <r>
    <n v="677"/>
    <s v="US-2019-119438"/>
    <d v="2019-03-18T00:00:00"/>
    <x v="1"/>
    <x v="263"/>
    <s v="Tyler"/>
    <x v="5"/>
    <x v="2"/>
    <x v="1"/>
    <s v="Appliances"/>
    <x v="566"/>
    <n v="2.6879999999999997"/>
    <n v="3"/>
    <n v="0.8"/>
    <n v="-7.3920000000000021"/>
    <n v="1.6127999999999996"/>
    <x v="3"/>
    <x v="10"/>
  </r>
  <r>
    <n v="678"/>
    <s v="US-2019-119438"/>
    <d v="2019-03-18T00:00:00"/>
    <x v="1"/>
    <x v="263"/>
    <s v="Tyler"/>
    <x v="5"/>
    <x v="2"/>
    <x v="2"/>
    <s v="Accessories"/>
    <x v="567"/>
    <n v="27.816000000000003"/>
    <n v="3"/>
    <n v="0.2"/>
    <n v="4.5200999999999958"/>
    <n v="66.758400000000009"/>
    <x v="3"/>
    <x v="10"/>
  </r>
  <r>
    <n v="679"/>
    <s v="US-2019-119438"/>
    <d v="2019-03-18T00:00:00"/>
    <x v="1"/>
    <x v="263"/>
    <s v="Tyler"/>
    <x v="5"/>
    <x v="2"/>
    <x v="0"/>
    <s v="Furnishings"/>
    <x v="568"/>
    <n v="82.524000000000001"/>
    <n v="3"/>
    <n v="0.6"/>
    <n v="-41.261999999999972"/>
    <n v="99.028800000000004"/>
    <x v="3"/>
    <x v="10"/>
  </r>
  <r>
    <n v="680"/>
    <s v="US-2019-119438"/>
    <d v="2019-03-18T00:00:00"/>
    <x v="1"/>
    <x v="263"/>
    <s v="Tyler"/>
    <x v="5"/>
    <x v="2"/>
    <x v="1"/>
    <s v="Binders"/>
    <x v="569"/>
    <n v="182.99399999999997"/>
    <n v="3"/>
    <n v="0.8"/>
    <n v="-320.23950000000013"/>
    <n v="109.79639999999996"/>
    <x v="3"/>
    <x v="10"/>
  </r>
  <r>
    <n v="681"/>
    <s v="CA-2018-164511"/>
    <d v="2018-11-19T00:00:00"/>
    <x v="1"/>
    <x v="264"/>
    <s v="New York City"/>
    <x v="15"/>
    <x v="3"/>
    <x v="1"/>
    <s v="Binders"/>
    <x v="570"/>
    <n v="14.352000000000002"/>
    <n v="3"/>
    <n v="0.2"/>
    <n v="4.6643999999999988"/>
    <n v="34.444800000000008"/>
    <x v="0"/>
    <x v="0"/>
  </r>
  <r>
    <n v="682"/>
    <s v="CA-2018-164511"/>
    <d v="2018-11-19T00:00:00"/>
    <x v="1"/>
    <x v="264"/>
    <s v="New York City"/>
    <x v="15"/>
    <x v="3"/>
    <x v="1"/>
    <s v="Storage"/>
    <x v="571"/>
    <n v="64.959999999999994"/>
    <n v="2"/>
    <n v="0"/>
    <n v="2.598399999999998"/>
    <n v="129.91999999999999"/>
    <x v="0"/>
    <x v="0"/>
  </r>
  <r>
    <n v="683"/>
    <s v="CA-2018-164511"/>
    <d v="2018-11-19T00:00:00"/>
    <x v="1"/>
    <x v="264"/>
    <s v="New York City"/>
    <x v="15"/>
    <x v="3"/>
    <x v="1"/>
    <s v="Storage"/>
    <x v="457"/>
    <n v="68.599999999999994"/>
    <n v="4"/>
    <n v="0"/>
    <n v="18.521999999999998"/>
    <n v="274.39999999999998"/>
    <x v="0"/>
    <x v="0"/>
  </r>
  <r>
    <n v="684"/>
    <s v="US-2019-168116"/>
    <d v="2019-11-04T00:00:00"/>
    <x v="3"/>
    <x v="265"/>
    <s v="Burlington"/>
    <x v="3"/>
    <x v="0"/>
    <x v="2"/>
    <s v="Machines"/>
    <x v="572"/>
    <n v="7999.98"/>
    <n v="4"/>
    <n v="0.5"/>
    <n v="-3839.9903999999988"/>
    <n v="15999.96"/>
    <x v="3"/>
    <x v="0"/>
  </r>
  <r>
    <n v="685"/>
    <s v="US-2019-168116"/>
    <d v="2019-11-04T00:00:00"/>
    <x v="3"/>
    <x v="265"/>
    <s v="Burlington"/>
    <x v="3"/>
    <x v="0"/>
    <x v="1"/>
    <s v="Appliances"/>
    <x v="549"/>
    <n v="167.44000000000003"/>
    <n v="2"/>
    <n v="0.2"/>
    <n v="14.650999999999989"/>
    <n v="267.90400000000005"/>
    <x v="3"/>
    <x v="0"/>
  </r>
  <r>
    <n v="686"/>
    <s v="CA-2016-157784"/>
    <d v="2016-07-05T00:00:00"/>
    <x v="2"/>
    <x v="266"/>
    <s v="Jackson"/>
    <x v="35"/>
    <x v="0"/>
    <x v="2"/>
    <s v="Accessories"/>
    <x v="331"/>
    <n v="479.97"/>
    <n v="3"/>
    <n v="0"/>
    <n v="163.18979999999999"/>
    <n v="1439.91"/>
    <x v="2"/>
    <x v="7"/>
  </r>
  <r>
    <n v="687"/>
    <s v="CA-2016-157784"/>
    <d v="2016-07-05T00:00:00"/>
    <x v="2"/>
    <x v="266"/>
    <s v="Jackson"/>
    <x v="35"/>
    <x v="0"/>
    <x v="1"/>
    <s v="Labels"/>
    <x v="573"/>
    <n v="14.62"/>
    <n v="2"/>
    <n v="0"/>
    <n v="6.8713999999999995"/>
    <n v="29.24"/>
    <x v="2"/>
    <x v="7"/>
  </r>
  <r>
    <n v="688"/>
    <s v="CA-2016-157784"/>
    <d v="2016-07-05T00:00:00"/>
    <x v="2"/>
    <x v="266"/>
    <s v="Jackson"/>
    <x v="35"/>
    <x v="0"/>
    <x v="1"/>
    <s v="Paper"/>
    <x v="88"/>
    <n v="19.440000000000001"/>
    <n v="3"/>
    <n v="0"/>
    <n v="9.3312000000000008"/>
    <n v="58.320000000000007"/>
    <x v="2"/>
    <x v="7"/>
  </r>
  <r>
    <n v="689"/>
    <s v="CA-2019-161480"/>
    <d v="2019-12-25T00:00:00"/>
    <x v="1"/>
    <x v="267"/>
    <s v="New York City"/>
    <x v="15"/>
    <x v="3"/>
    <x v="0"/>
    <s v="Bookcases"/>
    <x v="574"/>
    <n v="191.98400000000001"/>
    <n v="2"/>
    <n v="0.2"/>
    <n v="4.7995999999999768"/>
    <n v="307.17440000000005"/>
    <x v="3"/>
    <x v="4"/>
  </r>
  <r>
    <n v="690"/>
    <s v="US-2016-117135"/>
    <d v="2016-06-21T00:00:00"/>
    <x v="0"/>
    <x v="268"/>
    <s v="Waynesboro"/>
    <x v="17"/>
    <x v="0"/>
    <x v="0"/>
    <s v="Furnishings"/>
    <x v="575"/>
    <n v="104.01"/>
    <n v="1"/>
    <n v="0"/>
    <n v="14.561400000000006"/>
    <n v="104.01"/>
    <x v="2"/>
    <x v="1"/>
  </r>
  <r>
    <n v="691"/>
    <s v="US-2016-117135"/>
    <d v="2016-06-21T00:00:00"/>
    <x v="0"/>
    <x v="268"/>
    <s v="Waynesboro"/>
    <x v="17"/>
    <x v="0"/>
    <x v="2"/>
    <s v="Phones"/>
    <x v="11"/>
    <n v="284.82"/>
    <n v="1"/>
    <n v="0"/>
    <n v="74.053200000000004"/>
    <n v="284.82"/>
    <x v="2"/>
    <x v="1"/>
  </r>
  <r>
    <n v="692"/>
    <s v="US-2016-117135"/>
    <d v="2016-06-21T00:00:00"/>
    <x v="0"/>
    <x v="268"/>
    <s v="Waynesboro"/>
    <x v="17"/>
    <x v="0"/>
    <x v="1"/>
    <s v="Storage"/>
    <x v="576"/>
    <n v="36.839999999999996"/>
    <n v="3"/>
    <n v="0"/>
    <n v="10.315199999999999"/>
    <n v="110.51999999999998"/>
    <x v="2"/>
    <x v="1"/>
  </r>
  <r>
    <n v="693"/>
    <s v="CA-2017-131534"/>
    <d v="2017-03-28T00:00:00"/>
    <x v="1"/>
    <x v="269"/>
    <s v="Los Angeles"/>
    <x v="1"/>
    <x v="1"/>
    <x v="2"/>
    <s v="Accessories"/>
    <x v="577"/>
    <n v="166.24"/>
    <n v="1"/>
    <n v="0"/>
    <n v="24.936000000000007"/>
    <n v="166.24"/>
    <x v="1"/>
    <x v="10"/>
  </r>
  <r>
    <n v="694"/>
    <s v="CA-2017-131534"/>
    <d v="2017-03-28T00:00:00"/>
    <x v="1"/>
    <x v="269"/>
    <s v="Los Angeles"/>
    <x v="1"/>
    <x v="1"/>
    <x v="1"/>
    <s v="Paper"/>
    <x v="578"/>
    <n v="33.4"/>
    <n v="5"/>
    <n v="0"/>
    <n v="16.032"/>
    <n v="167"/>
    <x v="1"/>
    <x v="10"/>
  </r>
  <r>
    <n v="695"/>
    <s v="CA-2017-119291"/>
    <d v="2017-05-14T00:00:00"/>
    <x v="2"/>
    <x v="270"/>
    <s v="Chester"/>
    <x v="9"/>
    <x v="3"/>
    <x v="1"/>
    <s v="Art"/>
    <x v="290"/>
    <n v="198.27200000000002"/>
    <n v="8"/>
    <n v="0.2"/>
    <n v="17.34879999999999"/>
    <n v="1268.9408000000003"/>
    <x v="1"/>
    <x v="5"/>
  </r>
  <r>
    <n v="696"/>
    <s v="CA-2017-119291"/>
    <d v="2017-05-14T00:00:00"/>
    <x v="2"/>
    <x v="270"/>
    <s v="Chester"/>
    <x v="9"/>
    <x v="3"/>
    <x v="1"/>
    <s v="Labels"/>
    <x v="579"/>
    <n v="47.360000000000007"/>
    <n v="4"/>
    <n v="0.2"/>
    <n v="17.759999999999998"/>
    <n v="151.55200000000002"/>
    <x v="1"/>
    <x v="5"/>
  </r>
  <r>
    <n v="697"/>
    <s v="CA-2017-119291"/>
    <d v="2017-05-14T00:00:00"/>
    <x v="2"/>
    <x v="270"/>
    <s v="Chester"/>
    <x v="9"/>
    <x v="3"/>
    <x v="1"/>
    <s v="Envelopes"/>
    <x v="81"/>
    <n v="200.98400000000004"/>
    <n v="7"/>
    <n v="0.2"/>
    <n v="62.807499999999976"/>
    <n v="1125.5104000000003"/>
    <x v="1"/>
    <x v="5"/>
  </r>
  <r>
    <n v="698"/>
    <s v="CA-2017-119291"/>
    <d v="2017-05-14T00:00:00"/>
    <x v="2"/>
    <x v="270"/>
    <s v="Chester"/>
    <x v="9"/>
    <x v="3"/>
    <x v="1"/>
    <s v="Labels"/>
    <x v="580"/>
    <n v="97.696000000000012"/>
    <n v="4"/>
    <n v="0.2"/>
    <n v="31.751200000000001"/>
    <n v="312.62720000000007"/>
    <x v="1"/>
    <x v="5"/>
  </r>
  <r>
    <n v="699"/>
    <s v="CA-2017-119291"/>
    <d v="2017-05-14T00:00:00"/>
    <x v="2"/>
    <x v="270"/>
    <s v="Chester"/>
    <x v="9"/>
    <x v="3"/>
    <x v="1"/>
    <s v="Art"/>
    <x v="581"/>
    <n v="2.6960000000000002"/>
    <n v="1"/>
    <n v="0.2"/>
    <n v="0.8088000000000003"/>
    <n v="2.1568000000000001"/>
    <x v="1"/>
    <x v="5"/>
  </r>
  <r>
    <n v="700"/>
    <s v="CA-2017-119291"/>
    <d v="2017-05-14T00:00:00"/>
    <x v="2"/>
    <x v="270"/>
    <s v="Chester"/>
    <x v="9"/>
    <x v="3"/>
    <x v="1"/>
    <s v="Binders"/>
    <x v="582"/>
    <n v="18.588000000000005"/>
    <n v="2"/>
    <n v="0.7"/>
    <n v="-13.6312"/>
    <n v="11.152800000000004"/>
    <x v="1"/>
    <x v="5"/>
  </r>
  <r>
    <n v="701"/>
    <s v="CA-2017-119291"/>
    <d v="2017-05-14T00:00:00"/>
    <x v="2"/>
    <x v="270"/>
    <s v="Chester"/>
    <x v="9"/>
    <x v="3"/>
    <x v="1"/>
    <s v="Binders"/>
    <x v="304"/>
    <n v="4.8960000000000008"/>
    <n v="3"/>
    <n v="0.7"/>
    <n v="-3.4271999999999991"/>
    <n v="4.4064000000000014"/>
    <x v="1"/>
    <x v="5"/>
  </r>
  <r>
    <n v="702"/>
    <s v="CA-2019-114552"/>
    <d v="2019-09-02T00:00:00"/>
    <x v="1"/>
    <x v="114"/>
    <s v="Cleveland"/>
    <x v="24"/>
    <x v="3"/>
    <x v="0"/>
    <s v="Furnishings"/>
    <x v="192"/>
    <n v="15.072000000000003"/>
    <n v="3"/>
    <n v="0.2"/>
    <n v="4.1448"/>
    <n v="36.172800000000009"/>
    <x v="3"/>
    <x v="8"/>
  </r>
  <r>
    <n v="703"/>
    <s v="CA-2018-163755"/>
    <d v="2018-11-04T00:00:00"/>
    <x v="0"/>
    <x v="155"/>
    <s v="Seattle"/>
    <x v="4"/>
    <x v="1"/>
    <x v="0"/>
    <s v="Furnishings"/>
    <x v="583"/>
    <n v="209.88"/>
    <n v="3"/>
    <n v="0"/>
    <n v="35.679599999999979"/>
    <n v="629.64"/>
    <x v="0"/>
    <x v="0"/>
  </r>
  <r>
    <n v="704"/>
    <s v="CA-2017-142027"/>
    <d v="2017-04-09T00:00:00"/>
    <x v="1"/>
    <x v="271"/>
    <s v="Long Beach"/>
    <x v="1"/>
    <x v="1"/>
    <x v="0"/>
    <s v="Tables"/>
    <x v="584"/>
    <n v="369.91200000000003"/>
    <n v="3"/>
    <n v="0.2"/>
    <n v="-13.871700000000047"/>
    <n v="887.78880000000015"/>
    <x v="1"/>
    <x v="3"/>
  </r>
  <r>
    <n v="705"/>
    <s v="CA-2016-138527"/>
    <d v="2016-09-12T00:00:00"/>
    <x v="1"/>
    <x v="272"/>
    <s v="Cary"/>
    <x v="3"/>
    <x v="0"/>
    <x v="1"/>
    <s v="Paper"/>
    <x v="585"/>
    <n v="10.368000000000002"/>
    <n v="2"/>
    <n v="0.2"/>
    <n v="3.6288"/>
    <n v="16.588800000000003"/>
    <x v="2"/>
    <x v="8"/>
  </r>
  <r>
    <n v="706"/>
    <s v="CA-2016-138527"/>
    <d v="2016-09-12T00:00:00"/>
    <x v="1"/>
    <x v="272"/>
    <s v="Cary"/>
    <x v="3"/>
    <x v="0"/>
    <x v="1"/>
    <s v="Appliances"/>
    <x v="586"/>
    <n v="166.84"/>
    <n v="5"/>
    <n v="0.2"/>
    <n v="18.769499999999987"/>
    <n v="667.36000000000013"/>
    <x v="2"/>
    <x v="8"/>
  </r>
  <r>
    <n v="707"/>
    <s v="CA-2016-138527"/>
    <d v="2016-09-12T00:00:00"/>
    <x v="1"/>
    <x v="272"/>
    <s v="Cary"/>
    <x v="3"/>
    <x v="0"/>
    <x v="2"/>
    <s v="Accessories"/>
    <x v="453"/>
    <n v="15.216000000000001"/>
    <n v="1"/>
    <n v="0.2"/>
    <n v="2.2823999999999991"/>
    <n v="12.172800000000002"/>
    <x v="2"/>
    <x v="8"/>
  </r>
  <r>
    <n v="708"/>
    <s v="CA-2016-112158"/>
    <d v="2016-12-02T00:00:00"/>
    <x v="2"/>
    <x v="273"/>
    <s v="New York City"/>
    <x v="15"/>
    <x v="3"/>
    <x v="2"/>
    <s v="Accessories"/>
    <x v="247"/>
    <n v="119.96"/>
    <n v="4"/>
    <n v="0"/>
    <n v="52.78240000000001"/>
    <n v="479.84"/>
    <x v="2"/>
    <x v="4"/>
  </r>
  <r>
    <n v="709"/>
    <s v="CA-2016-112158"/>
    <d v="2016-12-02T00:00:00"/>
    <x v="2"/>
    <x v="273"/>
    <s v="New York City"/>
    <x v="15"/>
    <x v="3"/>
    <x v="0"/>
    <s v="Bookcases"/>
    <x v="587"/>
    <n v="883.92"/>
    <n v="5"/>
    <n v="0.2"/>
    <n v="-110.49000000000007"/>
    <n v="3535.68"/>
    <x v="2"/>
    <x v="4"/>
  </r>
  <r>
    <n v="710"/>
    <s v="CA-2016-112158"/>
    <d v="2016-12-02T00:00:00"/>
    <x v="2"/>
    <x v="273"/>
    <s v="New York City"/>
    <x v="15"/>
    <x v="3"/>
    <x v="1"/>
    <s v="Binders"/>
    <x v="347"/>
    <n v="46.72"/>
    <n v="8"/>
    <n v="0.2"/>
    <n v="15.767999999999997"/>
    <n v="299.00799999999998"/>
    <x v="2"/>
    <x v="4"/>
  </r>
  <r>
    <n v="711"/>
    <s v="CA-2016-113887"/>
    <d v="2016-04-05T00:00:00"/>
    <x v="2"/>
    <x v="274"/>
    <s v="New York City"/>
    <x v="15"/>
    <x v="3"/>
    <x v="1"/>
    <s v="Paper"/>
    <x v="417"/>
    <n v="55.48"/>
    <n v="1"/>
    <n v="0"/>
    <n v="26.630399999999998"/>
    <n v="55.48"/>
    <x v="2"/>
    <x v="3"/>
  </r>
  <r>
    <n v="712"/>
    <s v="CA-2019-146136"/>
    <d v="2019-09-03T00:00:00"/>
    <x v="1"/>
    <x v="275"/>
    <s v="Palm Coast"/>
    <x v="2"/>
    <x v="0"/>
    <x v="1"/>
    <s v="Envelopes"/>
    <x v="588"/>
    <n v="24.448"/>
    <n v="4"/>
    <n v="0.2"/>
    <n v="8.8623999999999992"/>
    <n v="78.23360000000001"/>
    <x v="3"/>
    <x v="8"/>
  </r>
  <r>
    <n v="713"/>
    <s v="US-2019-100048"/>
    <d v="2019-05-19T00:00:00"/>
    <x v="1"/>
    <x v="276"/>
    <s v="Mount Vernon"/>
    <x v="15"/>
    <x v="3"/>
    <x v="1"/>
    <s v="Appliances"/>
    <x v="589"/>
    <n v="281.34000000000003"/>
    <n v="6"/>
    <n v="0"/>
    <n v="109.72260000000001"/>
    <n v="1688.0400000000002"/>
    <x v="3"/>
    <x v="5"/>
  </r>
  <r>
    <n v="714"/>
    <s v="US-2019-100048"/>
    <d v="2019-05-19T00:00:00"/>
    <x v="1"/>
    <x v="276"/>
    <s v="Mount Vernon"/>
    <x v="15"/>
    <x v="3"/>
    <x v="2"/>
    <s v="Phones"/>
    <x v="348"/>
    <n v="307.98"/>
    <n v="2"/>
    <n v="0"/>
    <n v="89.314199999999971"/>
    <n v="615.96"/>
    <x v="3"/>
    <x v="5"/>
  </r>
  <r>
    <n v="715"/>
    <s v="US-2019-100048"/>
    <d v="2019-05-19T00:00:00"/>
    <x v="1"/>
    <x v="276"/>
    <s v="Mount Vernon"/>
    <x v="15"/>
    <x v="3"/>
    <x v="2"/>
    <s v="Accessories"/>
    <x v="590"/>
    <n v="299.96999999999997"/>
    <n v="3"/>
    <n v="0"/>
    <n v="113.98860000000001"/>
    <n v="899.90999999999985"/>
    <x v="3"/>
    <x v="5"/>
  </r>
  <r>
    <n v="716"/>
    <s v="CA-2016-153150"/>
    <d v="2016-07-01T00:00:00"/>
    <x v="0"/>
    <x v="114"/>
    <s v="Seattle"/>
    <x v="4"/>
    <x v="1"/>
    <x v="1"/>
    <s v="Binders"/>
    <x v="591"/>
    <n v="19.920000000000002"/>
    <n v="5"/>
    <n v="0.2"/>
    <n v="6.9719999999999995"/>
    <n v="79.680000000000007"/>
    <x v="2"/>
    <x v="7"/>
  </r>
  <r>
    <n v="717"/>
    <s v="CA-2016-130092"/>
    <d v="2016-01-11T00:00:00"/>
    <x v="2"/>
    <x v="277"/>
    <s v="Dover"/>
    <x v="13"/>
    <x v="3"/>
    <x v="0"/>
    <s v="Furnishings"/>
    <x v="527"/>
    <n v="9.94"/>
    <n v="2"/>
    <n v="0"/>
    <n v="3.0813999999999995"/>
    <n v="19.88"/>
    <x v="2"/>
    <x v="9"/>
  </r>
  <r>
    <n v="718"/>
    <s v="CA-2019-108910"/>
    <d v="2019-09-24T00:00:00"/>
    <x v="1"/>
    <x v="110"/>
    <s v="Newark"/>
    <x v="24"/>
    <x v="3"/>
    <x v="0"/>
    <s v="Furnishings"/>
    <x v="592"/>
    <n v="103.05599999999998"/>
    <n v="3"/>
    <n v="0.2"/>
    <n v="24.475800000000007"/>
    <n v="247.33439999999996"/>
    <x v="3"/>
    <x v="8"/>
  </r>
  <r>
    <n v="719"/>
    <s v="CA-2016-104472"/>
    <d v="2016-06-02T00:00:00"/>
    <x v="1"/>
    <x v="278"/>
    <s v="Orem"/>
    <x v="7"/>
    <x v="1"/>
    <x v="1"/>
    <s v="Binders"/>
    <x v="444"/>
    <n v="59.808000000000007"/>
    <n v="3"/>
    <n v="0.2"/>
    <n v="19.4376"/>
    <n v="143.53920000000002"/>
    <x v="2"/>
    <x v="1"/>
  </r>
  <r>
    <n v="720"/>
    <s v="CA-2016-104472"/>
    <d v="2016-06-02T00:00:00"/>
    <x v="1"/>
    <x v="278"/>
    <s v="Orem"/>
    <x v="7"/>
    <x v="1"/>
    <x v="0"/>
    <s v="Furnishings"/>
    <x v="391"/>
    <n v="73.320000000000007"/>
    <n v="6"/>
    <n v="0"/>
    <n v="21.995999999999992"/>
    <n v="439.92000000000007"/>
    <x v="2"/>
    <x v="1"/>
  </r>
  <r>
    <n v="721"/>
    <s v="CA-2018-112942"/>
    <d v="2018-02-13T00:00:00"/>
    <x v="1"/>
    <x v="279"/>
    <s v="Los Angeles"/>
    <x v="1"/>
    <x v="1"/>
    <x v="1"/>
    <s v="Paper"/>
    <x v="593"/>
    <n v="146.82"/>
    <n v="3"/>
    <n v="0"/>
    <n v="73.41"/>
    <n v="440.46"/>
    <x v="0"/>
    <x v="11"/>
  </r>
  <r>
    <n v="722"/>
    <s v="CA-2018-142335"/>
    <d v="2018-12-15T00:00:00"/>
    <x v="1"/>
    <x v="172"/>
    <s v="Detroit"/>
    <x v="12"/>
    <x v="2"/>
    <x v="0"/>
    <s v="Tables"/>
    <x v="594"/>
    <n v="1652.94"/>
    <n v="3"/>
    <n v="0"/>
    <n v="231.41160000000002"/>
    <n v="4958.82"/>
    <x v="0"/>
    <x v="4"/>
  </r>
  <r>
    <n v="723"/>
    <s v="CA-2018-142335"/>
    <d v="2018-12-15T00:00:00"/>
    <x v="1"/>
    <x v="172"/>
    <s v="Detroit"/>
    <x v="12"/>
    <x v="2"/>
    <x v="1"/>
    <s v="Storage"/>
    <x v="595"/>
    <n v="296.37"/>
    <n v="3"/>
    <n v="0"/>
    <n v="80.019899999999993"/>
    <n v="889.11"/>
    <x v="0"/>
    <x v="4"/>
  </r>
  <r>
    <n v="724"/>
    <s v="CA-2016-117429"/>
    <d v="2016-10-07T00:00:00"/>
    <x v="1"/>
    <x v="280"/>
    <s v="Philadelphia"/>
    <x v="9"/>
    <x v="3"/>
    <x v="0"/>
    <s v="Furnishings"/>
    <x v="596"/>
    <n v="129.91999999999999"/>
    <n v="5"/>
    <n v="0.2"/>
    <n v="21.112000000000002"/>
    <n v="519.67999999999995"/>
    <x v="2"/>
    <x v="2"/>
  </r>
  <r>
    <n v="725"/>
    <s v="CA-2018-114713"/>
    <d v="2018-07-07T00:00:00"/>
    <x v="1"/>
    <x v="281"/>
    <s v="Hialeah"/>
    <x v="2"/>
    <x v="0"/>
    <x v="1"/>
    <s v="Supplies"/>
    <x v="597"/>
    <n v="45.584000000000003"/>
    <n v="7"/>
    <n v="0.2"/>
    <n v="5.1281999999999996"/>
    <n v="255.27040000000002"/>
    <x v="0"/>
    <x v="7"/>
  </r>
  <r>
    <n v="726"/>
    <s v="CA-2019-144113"/>
    <d v="2019-09-16T00:00:00"/>
    <x v="1"/>
    <x v="282"/>
    <s v="Austin"/>
    <x v="5"/>
    <x v="2"/>
    <x v="1"/>
    <s v="Envelopes"/>
    <x v="598"/>
    <n v="17.568000000000001"/>
    <n v="2"/>
    <n v="0.2"/>
    <n v="6.3684000000000003"/>
    <n v="28.108800000000002"/>
    <x v="3"/>
    <x v="8"/>
  </r>
  <r>
    <n v="727"/>
    <s v="CA-2019-144113"/>
    <d v="2019-09-16T00:00:00"/>
    <x v="1"/>
    <x v="282"/>
    <s v="Austin"/>
    <x v="5"/>
    <x v="2"/>
    <x v="2"/>
    <s v="Phones"/>
    <x v="599"/>
    <n v="55.991999999999997"/>
    <n v="1"/>
    <n v="0.2"/>
    <n v="5.5992000000000015"/>
    <n v="44.793599999999998"/>
    <x v="3"/>
    <x v="8"/>
  </r>
  <r>
    <n v="728"/>
    <s v="US-2018-150861"/>
    <d v="2018-12-03T00:00:00"/>
    <x v="2"/>
    <x v="283"/>
    <s v="Oceanside"/>
    <x v="15"/>
    <x v="3"/>
    <x v="1"/>
    <s v="Paper"/>
    <x v="600"/>
    <n v="182.72"/>
    <n v="8"/>
    <n v="0"/>
    <n v="84.051199999999994"/>
    <n v="1461.76"/>
    <x v="0"/>
    <x v="4"/>
  </r>
  <r>
    <n v="729"/>
    <s v="US-2018-150861"/>
    <d v="2018-12-03T00:00:00"/>
    <x v="2"/>
    <x v="283"/>
    <s v="Oceanside"/>
    <x v="15"/>
    <x v="3"/>
    <x v="0"/>
    <s v="Tables"/>
    <x v="601"/>
    <n v="400.03199999999998"/>
    <n v="2"/>
    <n v="0.4"/>
    <n v="-153.34560000000005"/>
    <n v="480.03839999999997"/>
    <x v="0"/>
    <x v="4"/>
  </r>
  <r>
    <n v="730"/>
    <s v="US-2018-150861"/>
    <d v="2018-12-03T00:00:00"/>
    <x v="2"/>
    <x v="283"/>
    <s v="Oceanside"/>
    <x v="15"/>
    <x v="3"/>
    <x v="1"/>
    <s v="Storage"/>
    <x v="602"/>
    <n v="33.630000000000003"/>
    <n v="3"/>
    <n v="0"/>
    <n v="10.088999999999999"/>
    <n v="100.89000000000001"/>
    <x v="0"/>
    <x v="4"/>
  </r>
  <r>
    <n v="731"/>
    <s v="US-2018-150861"/>
    <d v="2018-12-03T00:00:00"/>
    <x v="2"/>
    <x v="283"/>
    <s v="Oceanside"/>
    <x v="15"/>
    <x v="3"/>
    <x v="0"/>
    <s v="Chairs"/>
    <x v="229"/>
    <n v="542.64599999999996"/>
    <n v="3"/>
    <n v="0.1"/>
    <n v="102.49980000000001"/>
    <n v="1465.1442"/>
    <x v="0"/>
    <x v="4"/>
  </r>
  <r>
    <n v="732"/>
    <s v="US-2018-150861"/>
    <d v="2018-12-03T00:00:00"/>
    <x v="2"/>
    <x v="283"/>
    <s v="Oceanside"/>
    <x v="15"/>
    <x v="3"/>
    <x v="1"/>
    <s v="Labels"/>
    <x v="396"/>
    <n v="6.3"/>
    <n v="2"/>
    <n v="0"/>
    <n v="3.024"/>
    <n v="12.6"/>
    <x v="0"/>
    <x v="4"/>
  </r>
  <r>
    <n v="733"/>
    <s v="CA-2019-131954"/>
    <d v="2019-01-21T00:00:00"/>
    <x v="1"/>
    <x v="284"/>
    <s v="Seattle"/>
    <x v="4"/>
    <x v="1"/>
    <x v="1"/>
    <s v="Storage"/>
    <x v="460"/>
    <n v="242.94"/>
    <n v="3"/>
    <n v="0"/>
    <n v="9.7175999999999902"/>
    <n v="728.81999999999994"/>
    <x v="3"/>
    <x v="9"/>
  </r>
  <r>
    <n v="734"/>
    <s v="CA-2019-131954"/>
    <d v="2019-01-21T00:00:00"/>
    <x v="1"/>
    <x v="284"/>
    <s v="Seattle"/>
    <x v="4"/>
    <x v="1"/>
    <x v="2"/>
    <s v="Accessories"/>
    <x v="603"/>
    <n v="179.97"/>
    <n v="3"/>
    <n v="0"/>
    <n v="86.385600000000011"/>
    <n v="539.91"/>
    <x v="3"/>
    <x v="9"/>
  </r>
  <r>
    <n v="735"/>
    <s v="CA-2019-131954"/>
    <d v="2019-01-21T00:00:00"/>
    <x v="1"/>
    <x v="284"/>
    <s v="Seattle"/>
    <x v="4"/>
    <x v="1"/>
    <x v="1"/>
    <s v="Binders"/>
    <x v="350"/>
    <n v="99.695999999999998"/>
    <n v="6"/>
    <n v="0.2"/>
    <n v="33.647399999999998"/>
    <n v="478.54079999999999"/>
    <x v="3"/>
    <x v="9"/>
  </r>
  <r>
    <n v="736"/>
    <s v="CA-2019-131954"/>
    <d v="2019-01-21T00:00:00"/>
    <x v="1"/>
    <x v="284"/>
    <s v="Seattle"/>
    <x v="4"/>
    <x v="1"/>
    <x v="1"/>
    <s v="Binders"/>
    <x v="44"/>
    <n v="27.936000000000003"/>
    <n v="4"/>
    <n v="0.2"/>
    <n v="9.4283999999999963"/>
    <n v="89.395200000000017"/>
    <x v="3"/>
    <x v="9"/>
  </r>
  <r>
    <n v="737"/>
    <s v="CA-2019-131954"/>
    <d v="2019-01-21T00:00:00"/>
    <x v="1"/>
    <x v="284"/>
    <s v="Seattle"/>
    <x v="4"/>
    <x v="1"/>
    <x v="0"/>
    <s v="Bookcases"/>
    <x v="604"/>
    <n v="84.98"/>
    <n v="1"/>
    <n v="0"/>
    <n v="18.695599999999999"/>
    <n v="84.98"/>
    <x v="3"/>
    <x v="9"/>
  </r>
  <r>
    <n v="738"/>
    <s v="CA-2019-131954"/>
    <d v="2019-01-21T00:00:00"/>
    <x v="1"/>
    <x v="284"/>
    <s v="Seattle"/>
    <x v="4"/>
    <x v="1"/>
    <x v="1"/>
    <s v="Binders"/>
    <x v="605"/>
    <n v="18.72"/>
    <n v="5"/>
    <n v="0.2"/>
    <n v="6.5519999999999996"/>
    <n v="74.88"/>
    <x v="3"/>
    <x v="9"/>
  </r>
  <r>
    <n v="739"/>
    <s v="CA-2016-132500"/>
    <d v="2016-09-08T00:00:00"/>
    <x v="1"/>
    <x v="47"/>
    <s v="San Francisco"/>
    <x v="1"/>
    <x v="1"/>
    <x v="2"/>
    <s v="Accessories"/>
    <x v="606"/>
    <n v="49.98"/>
    <n v="2"/>
    <n v="0"/>
    <n v="8.4965999999999937"/>
    <n v="99.96"/>
    <x v="2"/>
    <x v="8"/>
  </r>
  <r>
    <n v="740"/>
    <s v="CA-2016-112326"/>
    <d v="2016-01-04T00:00:00"/>
    <x v="1"/>
    <x v="285"/>
    <s v="Naperville"/>
    <x v="10"/>
    <x v="2"/>
    <x v="1"/>
    <s v="Labels"/>
    <x v="607"/>
    <n v="11.784000000000001"/>
    <n v="3"/>
    <n v="0.2"/>
    <n v="4.2716999999999992"/>
    <n v="28.281600000000005"/>
    <x v="2"/>
    <x v="9"/>
  </r>
  <r>
    <n v="741"/>
    <s v="CA-2016-112326"/>
    <d v="2016-01-04T00:00:00"/>
    <x v="1"/>
    <x v="285"/>
    <s v="Naperville"/>
    <x v="10"/>
    <x v="2"/>
    <x v="1"/>
    <s v="Storage"/>
    <x v="418"/>
    <n v="272.73599999999999"/>
    <n v="3"/>
    <n v="0.2"/>
    <n v="-64.774800000000013"/>
    <n v="654.56640000000004"/>
    <x v="2"/>
    <x v="9"/>
  </r>
  <r>
    <n v="742"/>
    <s v="CA-2016-112326"/>
    <d v="2016-01-04T00:00:00"/>
    <x v="1"/>
    <x v="285"/>
    <s v="Naperville"/>
    <x v="10"/>
    <x v="2"/>
    <x v="1"/>
    <s v="Binders"/>
    <x v="608"/>
    <n v="3.5399999999999991"/>
    <n v="2"/>
    <n v="0.8"/>
    <n v="-5.4870000000000001"/>
    <n v="1.4159999999999993"/>
    <x v="2"/>
    <x v="9"/>
  </r>
  <r>
    <n v="743"/>
    <s v="US-2018-146710"/>
    <d v="2018-08-27T00:00:00"/>
    <x v="1"/>
    <x v="286"/>
    <s v="Dallas"/>
    <x v="5"/>
    <x v="2"/>
    <x v="1"/>
    <s v="Supplies"/>
    <x v="505"/>
    <n v="51.52000000000001"/>
    <n v="5"/>
    <n v="0.2"/>
    <n v="-10.948000000000002"/>
    <n v="206.08000000000004"/>
    <x v="0"/>
    <x v="6"/>
  </r>
  <r>
    <n v="744"/>
    <s v="US-2018-146710"/>
    <d v="2018-08-27T00:00:00"/>
    <x v="1"/>
    <x v="286"/>
    <s v="Dallas"/>
    <x v="5"/>
    <x v="2"/>
    <x v="1"/>
    <s v="Paper"/>
    <x v="250"/>
    <n v="3.5280000000000005"/>
    <n v="1"/>
    <n v="0.2"/>
    <n v="1.1465999999999998"/>
    <n v="2.8224000000000005"/>
    <x v="0"/>
    <x v="6"/>
  </r>
  <r>
    <n v="745"/>
    <s v="US-2018-146710"/>
    <d v="2018-08-27T00:00:00"/>
    <x v="1"/>
    <x v="286"/>
    <s v="Dallas"/>
    <x v="5"/>
    <x v="2"/>
    <x v="1"/>
    <s v="Paper"/>
    <x v="609"/>
    <n v="4.6240000000000006"/>
    <n v="1"/>
    <n v="0.2"/>
    <n v="1.6762000000000001"/>
    <n v="3.6992000000000007"/>
    <x v="0"/>
    <x v="6"/>
  </r>
  <r>
    <n v="746"/>
    <s v="US-2018-146710"/>
    <d v="2018-08-27T00:00:00"/>
    <x v="1"/>
    <x v="286"/>
    <s v="Dallas"/>
    <x v="5"/>
    <x v="2"/>
    <x v="1"/>
    <s v="Supplies"/>
    <x v="610"/>
    <n v="55.167999999999999"/>
    <n v="4"/>
    <n v="0.2"/>
    <n v="6.2063999999999897"/>
    <n v="176.5376"/>
    <x v="0"/>
    <x v="6"/>
  </r>
  <r>
    <n v="747"/>
    <s v="CA-2016-124429"/>
    <d v="2016-05-27T00:00:00"/>
    <x v="3"/>
    <x v="186"/>
    <s v="San Diego"/>
    <x v="1"/>
    <x v="1"/>
    <x v="0"/>
    <s v="Tables"/>
    <x v="224"/>
    <n v="567.12"/>
    <n v="10"/>
    <n v="0.2"/>
    <n v="-28.355999999999952"/>
    <n v="4536.96"/>
    <x v="2"/>
    <x v="5"/>
  </r>
  <r>
    <n v="748"/>
    <s v="CA-2016-124429"/>
    <d v="2016-05-27T00:00:00"/>
    <x v="3"/>
    <x v="186"/>
    <s v="San Diego"/>
    <x v="1"/>
    <x v="1"/>
    <x v="1"/>
    <s v="Storage"/>
    <x v="435"/>
    <n v="359.32"/>
    <n v="4"/>
    <n v="0"/>
    <n v="7.1863999999999919"/>
    <n v="1437.28"/>
    <x v="2"/>
    <x v="5"/>
  </r>
  <r>
    <n v="749"/>
    <s v="CA-2018-150889"/>
    <d v="2018-03-20T00:00:00"/>
    <x v="0"/>
    <x v="287"/>
    <s v="Evanston"/>
    <x v="10"/>
    <x v="2"/>
    <x v="2"/>
    <s v="Phones"/>
    <x v="611"/>
    <n v="11.992000000000001"/>
    <n v="1"/>
    <n v="0.2"/>
    <n v="0.89939999999999909"/>
    <n v="9.5936000000000021"/>
    <x v="0"/>
    <x v="10"/>
  </r>
  <r>
    <n v="750"/>
    <s v="CA-2019-126074"/>
    <d v="2019-10-02T00:00:00"/>
    <x v="1"/>
    <x v="288"/>
    <s v="Trenton"/>
    <x v="12"/>
    <x v="2"/>
    <x v="1"/>
    <s v="Binders"/>
    <x v="612"/>
    <n v="58.050000000000004"/>
    <n v="3"/>
    <n v="0"/>
    <n v="26.702999999999999"/>
    <n v="174.15"/>
    <x v="3"/>
    <x v="2"/>
  </r>
  <r>
    <n v="751"/>
    <s v="CA-2019-126074"/>
    <d v="2019-10-02T00:00:00"/>
    <x v="1"/>
    <x v="288"/>
    <s v="Trenton"/>
    <x v="12"/>
    <x v="2"/>
    <x v="0"/>
    <s v="Furnishings"/>
    <x v="613"/>
    <n v="157.74"/>
    <n v="11"/>
    <n v="0"/>
    <n v="56.7864"/>
    <n v="1735.14"/>
    <x v="3"/>
    <x v="2"/>
  </r>
  <r>
    <n v="752"/>
    <s v="CA-2019-126074"/>
    <d v="2019-10-02T00:00:00"/>
    <x v="1"/>
    <x v="288"/>
    <s v="Trenton"/>
    <x v="12"/>
    <x v="2"/>
    <x v="1"/>
    <s v="Art"/>
    <x v="359"/>
    <n v="56.980000000000004"/>
    <n v="7"/>
    <n v="0"/>
    <n v="22.792000000000002"/>
    <n v="398.86"/>
    <x v="3"/>
    <x v="2"/>
  </r>
  <r>
    <n v="753"/>
    <s v="CA-2019-126074"/>
    <d v="2019-10-02T00:00:00"/>
    <x v="1"/>
    <x v="288"/>
    <s v="Trenton"/>
    <x v="12"/>
    <x v="2"/>
    <x v="1"/>
    <s v="Binders"/>
    <x v="614"/>
    <n v="2.88"/>
    <n v="1"/>
    <n v="0"/>
    <n v="1.4112"/>
    <n v="2.88"/>
    <x v="3"/>
    <x v="2"/>
  </r>
  <r>
    <n v="754"/>
    <s v="CA-2018-110499"/>
    <d v="2018-04-07T00:00:00"/>
    <x v="2"/>
    <x v="289"/>
    <s v="San Francisco"/>
    <x v="1"/>
    <x v="1"/>
    <x v="2"/>
    <s v="Copiers"/>
    <x v="615"/>
    <n v="1199.9760000000001"/>
    <n v="3"/>
    <n v="0.2"/>
    <n v="374.99249999999995"/>
    <n v="2879.9424000000004"/>
    <x v="0"/>
    <x v="3"/>
  </r>
  <r>
    <n v="755"/>
    <s v="CA-2017-135272"/>
    <d v="2017-12-07T00:00:00"/>
    <x v="1"/>
    <x v="234"/>
    <s v="Los Angeles"/>
    <x v="1"/>
    <x v="1"/>
    <x v="0"/>
    <s v="Furnishings"/>
    <x v="560"/>
    <n v="79.92"/>
    <n v="4"/>
    <n v="0"/>
    <n v="28.7712"/>
    <n v="319.68"/>
    <x v="1"/>
    <x v="4"/>
  </r>
  <r>
    <n v="756"/>
    <s v="CA-2018-140928"/>
    <d v="2018-09-18T00:00:00"/>
    <x v="1"/>
    <x v="240"/>
    <s v="Jacksonville"/>
    <x v="2"/>
    <x v="0"/>
    <x v="0"/>
    <s v="Tables"/>
    <x v="616"/>
    <n v="383.43799999999999"/>
    <n v="4"/>
    <n v="0.45"/>
    <n v="-167.3184"/>
    <n v="843.56360000000006"/>
    <x v="0"/>
    <x v="8"/>
  </r>
  <r>
    <n v="757"/>
    <s v="CA-2016-106803"/>
    <d v="2016-12-29T00:00:00"/>
    <x v="1"/>
    <x v="290"/>
    <s v="Cottage Grove"/>
    <x v="11"/>
    <x v="2"/>
    <x v="1"/>
    <s v="Storage"/>
    <x v="576"/>
    <n v="24.56"/>
    <n v="2"/>
    <n v="0"/>
    <n v="6.8767999999999994"/>
    <n v="49.12"/>
    <x v="2"/>
    <x v="4"/>
  </r>
  <r>
    <n v="758"/>
    <s v="CA-2016-106803"/>
    <d v="2016-12-29T00:00:00"/>
    <x v="1"/>
    <x v="290"/>
    <s v="Cottage Grove"/>
    <x v="11"/>
    <x v="2"/>
    <x v="2"/>
    <s v="Accessories"/>
    <x v="538"/>
    <n v="119.8"/>
    <n v="4"/>
    <n v="0"/>
    <n v="47.92"/>
    <n v="479.2"/>
    <x v="2"/>
    <x v="4"/>
  </r>
  <r>
    <n v="759"/>
    <s v="CA-2019-117240"/>
    <d v="2019-07-23T00:00:00"/>
    <x v="1"/>
    <x v="291"/>
    <s v="New York City"/>
    <x v="15"/>
    <x v="3"/>
    <x v="1"/>
    <s v="Binders"/>
    <x v="520"/>
    <n v="13.128"/>
    <n v="3"/>
    <n v="0.2"/>
    <n v="4.2665999999999986"/>
    <n v="31.507200000000001"/>
    <x v="3"/>
    <x v="7"/>
  </r>
  <r>
    <n v="760"/>
    <s v="CA-2019-133333"/>
    <d v="2019-09-18T00:00:00"/>
    <x v="1"/>
    <x v="292"/>
    <s v="Green Bay"/>
    <x v="6"/>
    <x v="2"/>
    <x v="1"/>
    <s v="Paper"/>
    <x v="562"/>
    <n v="22.72"/>
    <n v="4"/>
    <n v="0"/>
    <n v="10.223999999999998"/>
    <n v="90.88"/>
    <x v="3"/>
    <x v="8"/>
  </r>
  <r>
    <n v="761"/>
    <s v="CA-2017-112319"/>
    <d v="2017-08-31T00:00:00"/>
    <x v="1"/>
    <x v="239"/>
    <s v="Los Angeles"/>
    <x v="1"/>
    <x v="1"/>
    <x v="1"/>
    <s v="Paper"/>
    <x v="490"/>
    <n v="58.320000000000007"/>
    <n v="9"/>
    <n v="0"/>
    <n v="27.993600000000001"/>
    <n v="524.88000000000011"/>
    <x v="1"/>
    <x v="6"/>
  </r>
  <r>
    <n v="762"/>
    <s v="CA-2019-126046"/>
    <d v="2019-11-03T00:00:00"/>
    <x v="1"/>
    <x v="36"/>
    <s v="Atlanta"/>
    <x v="32"/>
    <x v="0"/>
    <x v="1"/>
    <s v="Labels"/>
    <x v="617"/>
    <n v="12.39"/>
    <n v="3"/>
    <n v="0"/>
    <n v="5.6993999999999998"/>
    <n v="37.17"/>
    <x v="3"/>
    <x v="0"/>
  </r>
  <r>
    <n v="763"/>
    <s v="CA-2017-114923"/>
    <d v="2017-02-08T00:00:00"/>
    <x v="1"/>
    <x v="293"/>
    <s v="Columbus"/>
    <x v="24"/>
    <x v="3"/>
    <x v="2"/>
    <s v="Phones"/>
    <x v="161"/>
    <n v="107.982"/>
    <n v="3"/>
    <n v="0.4"/>
    <n v="-26.995499999999993"/>
    <n v="194.36760000000001"/>
    <x v="1"/>
    <x v="11"/>
  </r>
  <r>
    <n v="764"/>
    <s v="CA-2016-162775"/>
    <d v="2016-01-13T00:00:00"/>
    <x v="0"/>
    <x v="294"/>
    <s v="Bossier City"/>
    <x v="28"/>
    <x v="0"/>
    <x v="1"/>
    <s v="Envelopes"/>
    <x v="153"/>
    <n v="11.36"/>
    <n v="2"/>
    <n v="0"/>
    <n v="5.3391999999999991"/>
    <n v="22.72"/>
    <x v="2"/>
    <x v="9"/>
  </r>
  <r>
    <n v="765"/>
    <s v="CA-2016-162775"/>
    <d v="2016-01-13T00:00:00"/>
    <x v="0"/>
    <x v="294"/>
    <s v="Bossier City"/>
    <x v="28"/>
    <x v="0"/>
    <x v="1"/>
    <s v="Envelopes"/>
    <x v="618"/>
    <n v="50.94"/>
    <n v="3"/>
    <n v="0"/>
    <n v="25.47"/>
    <n v="152.82"/>
    <x v="2"/>
    <x v="9"/>
  </r>
  <r>
    <n v="766"/>
    <s v="CA-2016-162775"/>
    <d v="2016-01-13T00:00:00"/>
    <x v="0"/>
    <x v="294"/>
    <s v="Bossier City"/>
    <x v="28"/>
    <x v="0"/>
    <x v="2"/>
    <s v="Accessories"/>
    <x v="619"/>
    <n v="646.74"/>
    <n v="6"/>
    <n v="0"/>
    <n v="258.69600000000003"/>
    <n v="3880.44"/>
    <x v="2"/>
    <x v="9"/>
  </r>
  <r>
    <n v="767"/>
    <s v="CA-2016-162775"/>
    <d v="2016-01-13T00:00:00"/>
    <x v="0"/>
    <x v="294"/>
    <s v="Bossier City"/>
    <x v="28"/>
    <x v="0"/>
    <x v="1"/>
    <s v="Binders"/>
    <x v="620"/>
    <n v="5.64"/>
    <n v="3"/>
    <n v="0"/>
    <n v="2.7071999999999994"/>
    <n v="16.919999999999998"/>
    <x v="2"/>
    <x v="9"/>
  </r>
  <r>
    <n v="768"/>
    <s v="CA-2016-162775"/>
    <d v="2016-01-13T00:00:00"/>
    <x v="0"/>
    <x v="294"/>
    <s v="Bossier City"/>
    <x v="28"/>
    <x v="0"/>
    <x v="1"/>
    <s v="Storage"/>
    <x v="621"/>
    <n v="572.58000000000004"/>
    <n v="6"/>
    <n v="0"/>
    <n v="34.354799999999955"/>
    <n v="3435.4800000000005"/>
    <x v="2"/>
    <x v="9"/>
  </r>
  <r>
    <n v="769"/>
    <s v="CA-2016-106810"/>
    <d v="2016-05-14T00:00:00"/>
    <x v="1"/>
    <x v="295"/>
    <s v="Saint Petersburg"/>
    <x v="2"/>
    <x v="0"/>
    <x v="0"/>
    <s v="Furnishings"/>
    <x v="622"/>
    <n v="310.88000000000005"/>
    <n v="2"/>
    <n v="0.2"/>
    <n v="23.315999999999988"/>
    <n v="497.40800000000013"/>
    <x v="2"/>
    <x v="5"/>
  </r>
  <r>
    <n v="770"/>
    <s v="CA-2018-157245"/>
    <d v="2018-05-19T00:00:00"/>
    <x v="1"/>
    <x v="97"/>
    <s v="Arlington"/>
    <x v="17"/>
    <x v="0"/>
    <x v="0"/>
    <s v="Chairs"/>
    <x v="623"/>
    <n v="641.96"/>
    <n v="2"/>
    <n v="0"/>
    <n v="179.74880000000002"/>
    <n v="1283.92"/>
    <x v="0"/>
    <x v="5"/>
  </r>
  <r>
    <n v="771"/>
    <s v="CA-2019-104220"/>
    <d v="2019-01-30T00:00:00"/>
    <x v="1"/>
    <x v="296"/>
    <s v="Des Moines"/>
    <x v="23"/>
    <x v="2"/>
    <x v="1"/>
    <s v="Binders"/>
    <x v="624"/>
    <n v="18.28"/>
    <n v="2"/>
    <n v="0"/>
    <n v="9.14"/>
    <n v="36.56"/>
    <x v="3"/>
    <x v="9"/>
  </r>
  <r>
    <n v="772"/>
    <s v="CA-2019-104220"/>
    <d v="2019-01-30T00:00:00"/>
    <x v="1"/>
    <x v="296"/>
    <s v="Des Moines"/>
    <x v="23"/>
    <x v="2"/>
    <x v="2"/>
    <s v="Phones"/>
    <x v="302"/>
    <n v="207"/>
    <n v="3"/>
    <n v="0"/>
    <n v="51.75"/>
    <n v="621"/>
    <x v="3"/>
    <x v="9"/>
  </r>
  <r>
    <n v="773"/>
    <s v="CA-2019-104220"/>
    <d v="2019-01-30T00:00:00"/>
    <x v="1"/>
    <x v="296"/>
    <s v="Des Moines"/>
    <x v="23"/>
    <x v="2"/>
    <x v="1"/>
    <s v="Binders"/>
    <x v="625"/>
    <n v="32.35"/>
    <n v="5"/>
    <n v="0"/>
    <n v="16.175000000000001"/>
    <n v="161.75"/>
    <x v="3"/>
    <x v="9"/>
  </r>
  <r>
    <n v="774"/>
    <s v="CA-2019-104220"/>
    <d v="2019-01-30T00:00:00"/>
    <x v="1"/>
    <x v="296"/>
    <s v="Des Moines"/>
    <x v="23"/>
    <x v="2"/>
    <x v="1"/>
    <s v="Binders"/>
    <x v="8"/>
    <n v="7.71"/>
    <n v="1"/>
    <n v="0"/>
    <n v="3.4695"/>
    <n v="7.71"/>
    <x v="3"/>
    <x v="9"/>
  </r>
  <r>
    <n v="775"/>
    <s v="CA-2019-104220"/>
    <d v="2019-01-30T00:00:00"/>
    <x v="1"/>
    <x v="296"/>
    <s v="Des Moines"/>
    <x v="23"/>
    <x v="2"/>
    <x v="1"/>
    <s v="Art"/>
    <x v="626"/>
    <n v="40.299999999999997"/>
    <n v="2"/>
    <n v="0"/>
    <n v="10.881"/>
    <n v="80.599999999999994"/>
    <x v="3"/>
    <x v="9"/>
  </r>
  <r>
    <n v="776"/>
    <s v="CA-2019-104220"/>
    <d v="2019-01-30T00:00:00"/>
    <x v="1"/>
    <x v="296"/>
    <s v="Des Moines"/>
    <x v="23"/>
    <x v="2"/>
    <x v="0"/>
    <s v="Furnishings"/>
    <x v="627"/>
    <n v="34.580000000000005"/>
    <n v="7"/>
    <n v="0"/>
    <n v="14.523600000000002"/>
    <n v="242.06000000000003"/>
    <x v="3"/>
    <x v="9"/>
  </r>
  <r>
    <n v="777"/>
    <s v="CA-2016-165974"/>
    <d v="2016-06-29T00:00:00"/>
    <x v="1"/>
    <x v="297"/>
    <s v="Cincinnati"/>
    <x v="24"/>
    <x v="3"/>
    <x v="1"/>
    <s v="Art"/>
    <x v="628"/>
    <n v="32.76"/>
    <n v="7"/>
    <n v="0.2"/>
    <n v="3.6854999999999958"/>
    <n v="183.45600000000002"/>
    <x v="2"/>
    <x v="1"/>
  </r>
  <r>
    <n v="778"/>
    <s v="CA-2017-144267"/>
    <d v="2017-08-21T00:00:00"/>
    <x v="2"/>
    <x v="125"/>
    <s v="San Francisco"/>
    <x v="1"/>
    <x v="1"/>
    <x v="0"/>
    <s v="Chairs"/>
    <x v="629"/>
    <n v="544.00800000000004"/>
    <n v="3"/>
    <n v="0.2"/>
    <n v="40.800600000000003"/>
    <n v="1305.6192000000001"/>
    <x v="1"/>
    <x v="6"/>
  </r>
  <r>
    <n v="779"/>
    <s v="CA-2017-144267"/>
    <d v="2017-08-21T00:00:00"/>
    <x v="2"/>
    <x v="125"/>
    <s v="San Francisco"/>
    <x v="1"/>
    <x v="1"/>
    <x v="1"/>
    <s v="Paper"/>
    <x v="369"/>
    <n v="59.94"/>
    <n v="3"/>
    <n v="0"/>
    <n v="28.171799999999998"/>
    <n v="179.82"/>
    <x v="1"/>
    <x v="6"/>
  </r>
  <r>
    <n v="780"/>
    <s v="CA-2017-144267"/>
    <d v="2017-08-21T00:00:00"/>
    <x v="2"/>
    <x v="125"/>
    <s v="San Francisco"/>
    <x v="1"/>
    <x v="1"/>
    <x v="1"/>
    <s v="Paper"/>
    <x v="358"/>
    <n v="23.92"/>
    <n v="4"/>
    <n v="0"/>
    <n v="11.720800000000001"/>
    <n v="95.68"/>
    <x v="1"/>
    <x v="6"/>
  </r>
  <r>
    <n v="781"/>
    <s v="CA-2017-144267"/>
    <d v="2017-08-21T00:00:00"/>
    <x v="2"/>
    <x v="125"/>
    <s v="San Francisco"/>
    <x v="1"/>
    <x v="1"/>
    <x v="1"/>
    <s v="Paper"/>
    <x v="630"/>
    <n v="4.28"/>
    <n v="1"/>
    <n v="0"/>
    <n v="1.9259999999999997"/>
    <n v="4.28"/>
    <x v="1"/>
    <x v="6"/>
  </r>
  <r>
    <n v="782"/>
    <s v="US-2017-157014"/>
    <d v="2017-10-03T00:00:00"/>
    <x v="0"/>
    <x v="298"/>
    <s v="Columbus"/>
    <x v="24"/>
    <x v="3"/>
    <x v="1"/>
    <s v="Binders"/>
    <x v="410"/>
    <n v="32.07"/>
    <n v="5"/>
    <n v="0.7"/>
    <n v="-22.448999999999991"/>
    <n v="48.105000000000004"/>
    <x v="1"/>
    <x v="2"/>
  </r>
  <r>
    <n v="783"/>
    <s v="US-2017-157014"/>
    <d v="2017-10-03T00:00:00"/>
    <x v="0"/>
    <x v="298"/>
    <s v="Columbus"/>
    <x v="24"/>
    <x v="3"/>
    <x v="2"/>
    <s v="Accessories"/>
    <x v="46"/>
    <n v="24"/>
    <n v="2"/>
    <n v="0.2"/>
    <n v="-2.6999999999999993"/>
    <n v="38.400000000000006"/>
    <x v="1"/>
    <x v="2"/>
  </r>
  <r>
    <n v="784"/>
    <s v="US-2017-157014"/>
    <d v="2017-10-03T00:00:00"/>
    <x v="0"/>
    <x v="298"/>
    <s v="Columbus"/>
    <x v="24"/>
    <x v="3"/>
    <x v="0"/>
    <s v="Bookcases"/>
    <x v="631"/>
    <n v="35.49"/>
    <n v="1"/>
    <n v="0.5"/>
    <n v="-15.615600000000001"/>
    <n v="17.745000000000001"/>
    <x v="1"/>
    <x v="2"/>
  </r>
  <r>
    <n v="785"/>
    <s v="US-2017-157014"/>
    <d v="2017-10-03T00:00:00"/>
    <x v="0"/>
    <x v="298"/>
    <s v="Columbus"/>
    <x v="24"/>
    <x v="3"/>
    <x v="2"/>
    <s v="Accessories"/>
    <x v="632"/>
    <n v="47.984000000000002"/>
    <n v="2"/>
    <n v="0.2"/>
    <n v="0.59979999999999656"/>
    <n v="76.774400000000014"/>
    <x v="1"/>
    <x v="2"/>
  </r>
  <r>
    <n v="786"/>
    <s v="CA-2017-154921"/>
    <d v="2017-05-23T00:00:00"/>
    <x v="1"/>
    <x v="105"/>
    <s v="Columbia"/>
    <x v="20"/>
    <x v="0"/>
    <x v="1"/>
    <s v="Envelopes"/>
    <x v="633"/>
    <n v="186.69"/>
    <n v="3"/>
    <n v="0"/>
    <n v="87.744299999999981"/>
    <n v="560.06999999999994"/>
    <x v="1"/>
    <x v="5"/>
  </r>
  <r>
    <n v="787"/>
    <s v="CA-2019-129567"/>
    <d v="2019-03-17T00:00:00"/>
    <x v="0"/>
    <x v="52"/>
    <s v="Lancaster"/>
    <x v="1"/>
    <x v="1"/>
    <x v="1"/>
    <s v="Binders"/>
    <x v="634"/>
    <n v="17.456"/>
    <n v="2"/>
    <n v="0.2"/>
    <n v="5.8914"/>
    <n v="27.929600000000001"/>
    <x v="3"/>
    <x v="10"/>
  </r>
  <r>
    <n v="788"/>
    <s v="CA-2017-154620"/>
    <d v="2017-12-12T00:00:00"/>
    <x v="1"/>
    <x v="299"/>
    <s v="Lancaster"/>
    <x v="1"/>
    <x v="1"/>
    <x v="0"/>
    <s v="Chairs"/>
    <x v="635"/>
    <n v="348.92800000000005"/>
    <n v="2"/>
    <n v="0.2"/>
    <n v="34.89279999999998"/>
    <n v="558.28480000000013"/>
    <x v="1"/>
    <x v="4"/>
  </r>
  <r>
    <n v="789"/>
    <s v="CA-2017-115938"/>
    <d v="2017-06-26T00:00:00"/>
    <x v="1"/>
    <x v="193"/>
    <s v="Richmond"/>
    <x v="17"/>
    <x v="0"/>
    <x v="1"/>
    <s v="Binders"/>
    <x v="380"/>
    <n v="143.96"/>
    <n v="4"/>
    <n v="0"/>
    <n v="69.100800000000007"/>
    <n v="575.84"/>
    <x v="1"/>
    <x v="1"/>
  </r>
  <r>
    <n v="790"/>
    <s v="CA-2017-115938"/>
    <d v="2017-06-26T00:00:00"/>
    <x v="1"/>
    <x v="193"/>
    <s v="Richmond"/>
    <x v="17"/>
    <x v="0"/>
    <x v="1"/>
    <s v="Storage"/>
    <x v="421"/>
    <n v="15.42"/>
    <n v="1"/>
    <n v="0"/>
    <n v="4.1634000000000011"/>
    <n v="15.42"/>
    <x v="1"/>
    <x v="1"/>
  </r>
  <r>
    <n v="791"/>
    <s v="CA-2017-115938"/>
    <d v="2017-06-26T00:00:00"/>
    <x v="1"/>
    <x v="193"/>
    <s v="Richmond"/>
    <x v="17"/>
    <x v="0"/>
    <x v="1"/>
    <s v="Binders"/>
    <x v="636"/>
    <n v="43.04"/>
    <n v="8"/>
    <n v="0"/>
    <n v="21.089600000000001"/>
    <n v="344.32"/>
    <x v="1"/>
    <x v="1"/>
  </r>
  <r>
    <n v="792"/>
    <s v="CA-2017-115938"/>
    <d v="2017-06-26T00:00:00"/>
    <x v="1"/>
    <x v="193"/>
    <s v="Richmond"/>
    <x v="17"/>
    <x v="0"/>
    <x v="0"/>
    <s v="Chairs"/>
    <x v="637"/>
    <n v="332.94"/>
    <n v="3"/>
    <n v="0"/>
    <n v="79.905599999999993"/>
    <n v="998.81999999999994"/>
    <x v="1"/>
    <x v="1"/>
  </r>
  <r>
    <n v="793"/>
    <s v="CA-2018-105256"/>
    <d v="2018-05-20T00:00:00"/>
    <x v="3"/>
    <x v="300"/>
    <s v="Asheville"/>
    <x v="3"/>
    <x v="0"/>
    <x v="2"/>
    <s v="Phones"/>
    <x v="638"/>
    <n v="1363.96"/>
    <n v="5"/>
    <n v="0.2"/>
    <n v="85.247500000000002"/>
    <n v="5455.84"/>
    <x v="0"/>
    <x v="5"/>
  </r>
  <r>
    <n v="794"/>
    <s v="CA-2016-156433"/>
    <d v="2016-09-20T00:00:00"/>
    <x v="1"/>
    <x v="301"/>
    <s v="San Francisco"/>
    <x v="1"/>
    <x v="1"/>
    <x v="1"/>
    <s v="Labels"/>
    <x v="639"/>
    <n v="9.9600000000000009"/>
    <n v="2"/>
    <n v="0"/>
    <n v="4.5815999999999999"/>
    <n v="19.920000000000002"/>
    <x v="2"/>
    <x v="8"/>
  </r>
  <r>
    <n v="795"/>
    <s v="CA-2016-156433"/>
    <d v="2016-09-20T00:00:00"/>
    <x v="1"/>
    <x v="301"/>
    <s v="San Francisco"/>
    <x v="1"/>
    <x v="1"/>
    <x v="1"/>
    <s v="Paper"/>
    <x v="362"/>
    <n v="21.72"/>
    <n v="4"/>
    <n v="0"/>
    <n v="10.642799999999999"/>
    <n v="86.88"/>
    <x v="2"/>
    <x v="8"/>
  </r>
  <r>
    <n v="796"/>
    <s v="CA-2019-151428"/>
    <d v="2019-09-21T00:00:00"/>
    <x v="1"/>
    <x v="302"/>
    <s v="Rochester"/>
    <x v="11"/>
    <x v="2"/>
    <x v="1"/>
    <s v="Binders"/>
    <x v="614"/>
    <n v="20.16"/>
    <n v="7"/>
    <n v="0"/>
    <n v="9.8783999999999992"/>
    <n v="141.12"/>
    <x v="3"/>
    <x v="8"/>
  </r>
  <r>
    <n v="797"/>
    <s v="CA-2017-124653"/>
    <d v="2017-12-24T00:00:00"/>
    <x v="2"/>
    <x v="106"/>
    <s v="Rochester"/>
    <x v="15"/>
    <x v="3"/>
    <x v="1"/>
    <s v="Paper"/>
    <x v="640"/>
    <n v="132.79"/>
    <n v="7"/>
    <n v="0"/>
    <n v="63.739199999999997"/>
    <n v="929.53"/>
    <x v="1"/>
    <x v="4"/>
  </r>
  <r>
    <n v="798"/>
    <s v="CA-2017-124653"/>
    <d v="2017-12-24T00:00:00"/>
    <x v="2"/>
    <x v="106"/>
    <s v="Rochester"/>
    <x v="15"/>
    <x v="3"/>
    <x v="1"/>
    <s v="Paper"/>
    <x v="12"/>
    <n v="12.96"/>
    <n v="2"/>
    <n v="0"/>
    <n v="6.2208000000000006"/>
    <n v="25.92"/>
    <x v="1"/>
    <x v="4"/>
  </r>
  <r>
    <n v="799"/>
    <s v="CA-2017-124653"/>
    <d v="2017-12-24T00:00:00"/>
    <x v="2"/>
    <x v="106"/>
    <s v="Rochester"/>
    <x v="15"/>
    <x v="3"/>
    <x v="1"/>
    <s v="Labels"/>
    <x v="641"/>
    <n v="21.560000000000002"/>
    <n v="7"/>
    <n v="0"/>
    <n v="10.348799999999999"/>
    <n v="150.92000000000002"/>
    <x v="1"/>
    <x v="4"/>
  </r>
  <r>
    <n v="800"/>
    <s v="CA-2017-101910"/>
    <d v="2017-11-27T00:00:00"/>
    <x v="1"/>
    <x v="303"/>
    <s v="Lake Elsinore"/>
    <x v="1"/>
    <x v="1"/>
    <x v="0"/>
    <s v="Chairs"/>
    <x v="475"/>
    <n v="283.92"/>
    <n v="5"/>
    <n v="0.2"/>
    <n v="17.745000000000019"/>
    <n v="1135.68"/>
    <x v="1"/>
    <x v="0"/>
  </r>
  <r>
    <n v="801"/>
    <s v="CA-2019-105809"/>
    <d v="2019-02-20T00:00:00"/>
    <x v="2"/>
    <x v="304"/>
    <s v="San Diego"/>
    <x v="1"/>
    <x v="1"/>
    <x v="0"/>
    <s v="Furnishings"/>
    <x v="642"/>
    <n v="22.23"/>
    <n v="1"/>
    <n v="0"/>
    <n v="7.3358999999999988"/>
    <n v="22.23"/>
    <x v="3"/>
    <x v="11"/>
  </r>
  <r>
    <n v="802"/>
    <s v="CA-2019-105809"/>
    <d v="2019-02-20T00:00:00"/>
    <x v="2"/>
    <x v="304"/>
    <s v="San Diego"/>
    <x v="1"/>
    <x v="1"/>
    <x v="2"/>
    <s v="Phones"/>
    <x v="234"/>
    <n v="215.96799999999999"/>
    <n v="2"/>
    <n v="0.2"/>
    <n v="18.897199999999991"/>
    <n v="345.54880000000003"/>
    <x v="3"/>
    <x v="11"/>
  </r>
  <r>
    <n v="803"/>
    <s v="CA-2018-136133"/>
    <d v="2018-08-18T00:00:00"/>
    <x v="0"/>
    <x v="304"/>
    <s v="New York City"/>
    <x v="15"/>
    <x v="3"/>
    <x v="1"/>
    <s v="Appliances"/>
    <x v="643"/>
    <n v="355.32"/>
    <n v="9"/>
    <n v="0"/>
    <n v="99.48960000000001"/>
    <n v="3197.88"/>
    <x v="0"/>
    <x v="6"/>
  </r>
  <r>
    <n v="804"/>
    <s v="CA-2018-115504"/>
    <d v="2018-03-12T00:00:00"/>
    <x v="1"/>
    <x v="305"/>
    <s v="Monroe"/>
    <x v="28"/>
    <x v="0"/>
    <x v="1"/>
    <s v="Paper"/>
    <x v="644"/>
    <n v="12.96"/>
    <n v="2"/>
    <n v="0"/>
    <n v="6.2208000000000006"/>
    <n v="25.92"/>
    <x v="0"/>
    <x v="10"/>
  </r>
  <r>
    <n v="805"/>
    <s v="CA-2019-135783"/>
    <d v="2019-04-22T00:00:00"/>
    <x v="2"/>
    <x v="306"/>
    <s v="San Francisco"/>
    <x v="1"/>
    <x v="1"/>
    <x v="0"/>
    <s v="Furnishings"/>
    <x v="645"/>
    <n v="18.28"/>
    <n v="2"/>
    <n v="0"/>
    <n v="6.2151999999999994"/>
    <n v="36.56"/>
    <x v="3"/>
    <x v="3"/>
  </r>
  <r>
    <n v="806"/>
    <s v="CA-2016-134313"/>
    <d v="2016-11-01T00:00:00"/>
    <x v="1"/>
    <x v="154"/>
    <s v="Denver"/>
    <x v="22"/>
    <x v="1"/>
    <x v="1"/>
    <s v="Art"/>
    <x v="646"/>
    <n v="43.176000000000002"/>
    <n v="3"/>
    <n v="0.2"/>
    <n v="4.3176000000000005"/>
    <n v="103.62240000000003"/>
    <x v="2"/>
    <x v="0"/>
  </r>
  <r>
    <n v="807"/>
    <s v="CA-2016-134313"/>
    <d v="2016-11-01T00:00:00"/>
    <x v="1"/>
    <x v="154"/>
    <s v="Denver"/>
    <x v="22"/>
    <x v="1"/>
    <x v="2"/>
    <s v="Phones"/>
    <x v="647"/>
    <n v="1983.9680000000001"/>
    <n v="4"/>
    <n v="0.2"/>
    <n v="247.99599999999981"/>
    <n v="6348.6976000000004"/>
    <x v="2"/>
    <x v="0"/>
  </r>
  <r>
    <n v="808"/>
    <s v="CA-2017-140921"/>
    <d v="2017-02-03T00:00:00"/>
    <x v="2"/>
    <x v="211"/>
    <s v="Omaha"/>
    <x v="8"/>
    <x v="2"/>
    <x v="0"/>
    <s v="Furnishings"/>
    <x v="379"/>
    <n v="28.4"/>
    <n v="2"/>
    <n v="0"/>
    <n v="11.076000000000001"/>
    <n v="56.8"/>
    <x v="1"/>
    <x v="11"/>
  </r>
  <r>
    <n v="809"/>
    <s v="CA-2017-140921"/>
    <d v="2017-02-03T00:00:00"/>
    <x v="2"/>
    <x v="211"/>
    <s v="Omaha"/>
    <x v="8"/>
    <x v="2"/>
    <x v="2"/>
    <s v="Accessories"/>
    <x v="648"/>
    <n v="149.97"/>
    <n v="3"/>
    <n v="0"/>
    <n v="50.989800000000002"/>
    <n v="449.90999999999997"/>
    <x v="1"/>
    <x v="11"/>
  </r>
  <r>
    <n v="810"/>
    <s v="CA-2016-151995"/>
    <d v="2016-10-13T00:00:00"/>
    <x v="2"/>
    <x v="233"/>
    <s v="Edmonds"/>
    <x v="4"/>
    <x v="1"/>
    <x v="1"/>
    <s v="Art"/>
    <x v="649"/>
    <n v="11.52"/>
    <n v="4"/>
    <n v="0"/>
    <n v="3.2256"/>
    <n v="46.08"/>
    <x v="2"/>
    <x v="2"/>
  </r>
  <r>
    <n v="811"/>
    <s v="CA-2016-151995"/>
    <d v="2016-10-13T00:00:00"/>
    <x v="2"/>
    <x v="233"/>
    <s v="Edmonds"/>
    <x v="4"/>
    <x v="1"/>
    <x v="0"/>
    <s v="Tables"/>
    <x v="258"/>
    <n v="1298.55"/>
    <n v="5"/>
    <n v="0"/>
    <n v="311.65199999999999"/>
    <n v="6492.75"/>
    <x v="2"/>
    <x v="2"/>
  </r>
  <r>
    <n v="812"/>
    <s v="CA-2016-151995"/>
    <d v="2016-10-13T00:00:00"/>
    <x v="2"/>
    <x v="233"/>
    <s v="Edmonds"/>
    <x v="4"/>
    <x v="1"/>
    <x v="1"/>
    <s v="Appliances"/>
    <x v="650"/>
    <n v="213.92"/>
    <n v="4"/>
    <n v="0"/>
    <n v="62.036799999999971"/>
    <n v="855.68"/>
    <x v="2"/>
    <x v="2"/>
  </r>
  <r>
    <n v="813"/>
    <s v="CA-2016-151995"/>
    <d v="2016-10-13T00:00:00"/>
    <x v="2"/>
    <x v="233"/>
    <s v="Edmonds"/>
    <x v="4"/>
    <x v="1"/>
    <x v="2"/>
    <s v="Accessories"/>
    <x v="552"/>
    <n v="25.78"/>
    <n v="2"/>
    <n v="0"/>
    <n v="2.5779999999999994"/>
    <n v="51.56"/>
    <x v="2"/>
    <x v="2"/>
  </r>
  <r>
    <n v="814"/>
    <s v="CA-2019-143686"/>
    <d v="2019-05-14T00:00:00"/>
    <x v="3"/>
    <x v="307"/>
    <s v="Santa Ana"/>
    <x v="1"/>
    <x v="1"/>
    <x v="0"/>
    <s v="Furnishings"/>
    <x v="645"/>
    <n v="18.28"/>
    <n v="2"/>
    <n v="0"/>
    <n v="6.2151999999999994"/>
    <n v="36.56"/>
    <x v="3"/>
    <x v="5"/>
  </r>
  <r>
    <n v="815"/>
    <s v="CA-2019-143686"/>
    <d v="2019-05-14T00:00:00"/>
    <x v="3"/>
    <x v="307"/>
    <s v="Santa Ana"/>
    <x v="1"/>
    <x v="1"/>
    <x v="2"/>
    <s v="Accessories"/>
    <x v="651"/>
    <n v="1399.93"/>
    <n v="7"/>
    <n v="0"/>
    <n v="601.96990000000005"/>
    <n v="9799.51"/>
    <x v="3"/>
    <x v="5"/>
  </r>
  <r>
    <n v="816"/>
    <s v="CA-2017-106565"/>
    <d v="2017-03-20T00:00:00"/>
    <x v="2"/>
    <x v="308"/>
    <s v="Milwaukee"/>
    <x v="6"/>
    <x v="2"/>
    <x v="1"/>
    <s v="Paper"/>
    <x v="181"/>
    <n v="51.84"/>
    <n v="8"/>
    <n v="0"/>
    <n v="24.883200000000002"/>
    <n v="414.72"/>
    <x v="1"/>
    <x v="10"/>
  </r>
  <r>
    <n v="817"/>
    <s v="CA-2018-149370"/>
    <d v="2018-09-15T00:00:00"/>
    <x v="1"/>
    <x v="203"/>
    <s v="Philadelphia"/>
    <x v="9"/>
    <x v="3"/>
    <x v="1"/>
    <s v="Paper"/>
    <x v="652"/>
    <n v="5.3440000000000003"/>
    <n v="1"/>
    <n v="0.2"/>
    <n v="1.8703999999999998"/>
    <n v="4.2752000000000008"/>
    <x v="0"/>
    <x v="8"/>
  </r>
  <r>
    <n v="818"/>
    <s v="CA-2016-140858"/>
    <d v="2016-06-28T00:00:00"/>
    <x v="1"/>
    <x v="222"/>
    <s v="Philadelphia"/>
    <x v="9"/>
    <x v="3"/>
    <x v="1"/>
    <s v="Paper"/>
    <x v="88"/>
    <n v="41.472000000000008"/>
    <n v="8"/>
    <n v="0.2"/>
    <n v="14.5152"/>
    <n v="265.42080000000004"/>
    <x v="2"/>
    <x v="1"/>
  </r>
  <r>
    <n v="819"/>
    <s v="CA-2016-140858"/>
    <d v="2016-06-28T00:00:00"/>
    <x v="1"/>
    <x v="222"/>
    <s v="Philadelphia"/>
    <x v="9"/>
    <x v="3"/>
    <x v="1"/>
    <s v="Binders"/>
    <x v="653"/>
    <n v="3.168000000000001"/>
    <n v="3"/>
    <n v="0.7"/>
    <n v="-2.4287999999999998"/>
    <n v="2.8512000000000013"/>
    <x v="2"/>
    <x v="1"/>
  </r>
  <r>
    <n v="820"/>
    <s v="CA-2016-140858"/>
    <d v="2016-06-28T00:00:00"/>
    <x v="1"/>
    <x v="222"/>
    <s v="Philadelphia"/>
    <x v="9"/>
    <x v="3"/>
    <x v="0"/>
    <s v="Chairs"/>
    <x v="654"/>
    <n v="1228.4649999999999"/>
    <n v="5"/>
    <n v="0.3"/>
    <n v="0"/>
    <n v="4299.6274999999996"/>
    <x v="2"/>
    <x v="1"/>
  </r>
  <r>
    <n v="821"/>
    <s v="CA-2016-140858"/>
    <d v="2016-06-28T00:00:00"/>
    <x v="1"/>
    <x v="222"/>
    <s v="Philadelphia"/>
    <x v="9"/>
    <x v="3"/>
    <x v="1"/>
    <s v="Binders"/>
    <x v="655"/>
    <n v="31.086000000000006"/>
    <n v="3"/>
    <n v="0.7"/>
    <n v="-22.796399999999991"/>
    <n v="27.977400000000006"/>
    <x v="2"/>
    <x v="1"/>
  </r>
  <r>
    <n v="822"/>
    <s v="CA-2016-140858"/>
    <d v="2016-06-28T00:00:00"/>
    <x v="1"/>
    <x v="222"/>
    <s v="Philadelphia"/>
    <x v="9"/>
    <x v="3"/>
    <x v="1"/>
    <s v="Paper"/>
    <x v="656"/>
    <n v="335.52"/>
    <n v="4"/>
    <n v="0.2"/>
    <n v="117.43199999999999"/>
    <n v="1073.664"/>
    <x v="2"/>
    <x v="1"/>
  </r>
  <r>
    <n v="823"/>
    <s v="CA-2019-101434"/>
    <d v="2019-06-20T00:00:00"/>
    <x v="1"/>
    <x v="309"/>
    <s v="Belleville"/>
    <x v="30"/>
    <x v="3"/>
    <x v="2"/>
    <s v="Accessories"/>
    <x v="657"/>
    <n v="239.96999999999997"/>
    <n v="3"/>
    <n v="0"/>
    <n v="71.990999999999985"/>
    <n v="719.90999999999985"/>
    <x v="3"/>
    <x v="1"/>
  </r>
  <r>
    <n v="824"/>
    <s v="CA-2019-101434"/>
    <d v="2019-06-20T00:00:00"/>
    <x v="1"/>
    <x v="309"/>
    <s v="Belleville"/>
    <x v="30"/>
    <x v="3"/>
    <x v="1"/>
    <s v="Labels"/>
    <x v="607"/>
    <n v="9.82"/>
    <n v="2"/>
    <n v="0"/>
    <n v="4.8117999999999999"/>
    <n v="19.64"/>
    <x v="3"/>
    <x v="1"/>
  </r>
  <r>
    <n v="825"/>
    <s v="US-2016-102071"/>
    <d v="2016-05-09T00:00:00"/>
    <x v="1"/>
    <x v="310"/>
    <s v="San Francisco"/>
    <x v="1"/>
    <x v="1"/>
    <x v="2"/>
    <s v="Accessories"/>
    <x v="658"/>
    <n v="67.8"/>
    <n v="4"/>
    <n v="0"/>
    <n v="4.0679999999999978"/>
    <n v="271.2"/>
    <x v="2"/>
    <x v="5"/>
  </r>
  <r>
    <n v="826"/>
    <s v="US-2016-102071"/>
    <d v="2016-05-09T00:00:00"/>
    <x v="1"/>
    <x v="310"/>
    <s v="San Francisco"/>
    <x v="1"/>
    <x v="1"/>
    <x v="2"/>
    <s v="Accessories"/>
    <x v="202"/>
    <n v="167.97"/>
    <n v="3"/>
    <n v="0"/>
    <n v="40.31280000000001"/>
    <n v="503.90999999999997"/>
    <x v="2"/>
    <x v="5"/>
  </r>
  <r>
    <n v="827"/>
    <s v="CA-2019-126956"/>
    <d v="2019-08-21T00:00:00"/>
    <x v="1"/>
    <x v="218"/>
    <s v="Lakeville"/>
    <x v="11"/>
    <x v="2"/>
    <x v="1"/>
    <s v="Fasteners"/>
    <x v="659"/>
    <n v="35"/>
    <n v="7"/>
    <n v="0"/>
    <n v="16.8"/>
    <n v="245"/>
    <x v="3"/>
    <x v="6"/>
  </r>
  <r>
    <n v="828"/>
    <s v="CA-2019-126956"/>
    <d v="2019-08-21T00:00:00"/>
    <x v="1"/>
    <x v="218"/>
    <s v="Lakeville"/>
    <x v="11"/>
    <x v="2"/>
    <x v="1"/>
    <s v="Supplies"/>
    <x v="660"/>
    <n v="37.24"/>
    <n v="4"/>
    <n v="0"/>
    <n v="10.799599999999998"/>
    <n v="148.96"/>
    <x v="3"/>
    <x v="6"/>
  </r>
  <r>
    <n v="829"/>
    <s v="CA-2019-126956"/>
    <d v="2019-08-21T00:00:00"/>
    <x v="1"/>
    <x v="218"/>
    <s v="Lakeville"/>
    <x v="11"/>
    <x v="2"/>
    <x v="1"/>
    <s v="Envelopes"/>
    <x v="661"/>
    <n v="15.28"/>
    <n v="2"/>
    <n v="0"/>
    <n v="7.4871999999999996"/>
    <n v="30.56"/>
    <x v="3"/>
    <x v="6"/>
  </r>
  <r>
    <n v="830"/>
    <s v="CA-2019-129462"/>
    <d v="2019-06-16T00:00:00"/>
    <x v="0"/>
    <x v="32"/>
    <s v="Florence"/>
    <x v="0"/>
    <x v="0"/>
    <x v="0"/>
    <s v="Chairs"/>
    <x v="662"/>
    <n v="301.95999999999998"/>
    <n v="2"/>
    <n v="0"/>
    <n v="90.587999999999965"/>
    <n v="603.91999999999996"/>
    <x v="3"/>
    <x v="1"/>
  </r>
  <r>
    <n v="831"/>
    <s v="CA-2019-129462"/>
    <d v="2019-06-16T00:00:00"/>
    <x v="0"/>
    <x v="32"/>
    <s v="Florence"/>
    <x v="0"/>
    <x v="0"/>
    <x v="1"/>
    <s v="Appliances"/>
    <x v="663"/>
    <n v="180.66"/>
    <n v="3"/>
    <n v="0"/>
    <n v="50.584800000000008"/>
    <n v="541.98"/>
    <x v="3"/>
    <x v="1"/>
  </r>
  <r>
    <n v="832"/>
    <s v="CA-2019-129462"/>
    <d v="2019-06-16T00:00:00"/>
    <x v="0"/>
    <x v="32"/>
    <s v="Florence"/>
    <x v="0"/>
    <x v="0"/>
    <x v="2"/>
    <s v="Phones"/>
    <x v="664"/>
    <n v="191.98"/>
    <n v="2"/>
    <n v="0"/>
    <n v="51.834599999999995"/>
    <n v="383.96"/>
    <x v="3"/>
    <x v="1"/>
  </r>
  <r>
    <n v="833"/>
    <s v="CA-2019-129462"/>
    <d v="2019-06-16T00:00:00"/>
    <x v="0"/>
    <x v="32"/>
    <s v="Florence"/>
    <x v="0"/>
    <x v="0"/>
    <x v="2"/>
    <s v="Phones"/>
    <x v="665"/>
    <n v="65.989999999999995"/>
    <n v="1"/>
    <n v="0"/>
    <n v="17.157400000000003"/>
    <n v="65.989999999999995"/>
    <x v="3"/>
    <x v="1"/>
  </r>
  <r>
    <n v="834"/>
    <s v="CA-2018-165316"/>
    <d v="2018-07-23T00:00:00"/>
    <x v="1"/>
    <x v="80"/>
    <s v="Tampa"/>
    <x v="2"/>
    <x v="0"/>
    <x v="1"/>
    <s v="Art"/>
    <x v="666"/>
    <n v="35.216000000000001"/>
    <n v="2"/>
    <n v="0.2"/>
    <n v="2.6411999999999995"/>
    <n v="56.345600000000005"/>
    <x v="0"/>
    <x v="7"/>
  </r>
  <r>
    <n v="835"/>
    <s v="CA-2018-165316"/>
    <d v="2018-07-23T00:00:00"/>
    <x v="1"/>
    <x v="80"/>
    <s v="Tampa"/>
    <x v="2"/>
    <x v="0"/>
    <x v="1"/>
    <s v="Appliances"/>
    <x v="667"/>
    <n v="23.696000000000002"/>
    <n v="2"/>
    <n v="0.2"/>
    <n v="6.5164"/>
    <n v="37.913600000000002"/>
    <x v="0"/>
    <x v="7"/>
  </r>
  <r>
    <n v="836"/>
    <s v="CA-2018-165316"/>
    <d v="2018-07-23T00:00:00"/>
    <x v="1"/>
    <x v="80"/>
    <s v="Tampa"/>
    <x v="2"/>
    <x v="0"/>
    <x v="2"/>
    <s v="Machines"/>
    <x v="668"/>
    <n v="265.47500000000002"/>
    <n v="1"/>
    <n v="0.5"/>
    <n v="-111.49950000000007"/>
    <n v="132.73750000000001"/>
    <x v="0"/>
    <x v="7"/>
  </r>
  <r>
    <n v="837"/>
    <s v="US-2016-115987"/>
    <d v="2016-09-08T00:00:00"/>
    <x v="0"/>
    <x v="293"/>
    <s v="Tyler"/>
    <x v="5"/>
    <x v="2"/>
    <x v="1"/>
    <s v="Binders"/>
    <x v="669"/>
    <n v="51.183999999999983"/>
    <n v="4"/>
    <n v="0.8"/>
    <n v="-79.335199999999986"/>
    <n v="40.947199999999981"/>
    <x v="2"/>
    <x v="8"/>
  </r>
  <r>
    <n v="838"/>
    <s v="US-2019-156083"/>
    <d v="2019-11-04T00:00:00"/>
    <x v="1"/>
    <x v="311"/>
    <s v="Columbia"/>
    <x v="18"/>
    <x v="0"/>
    <x v="1"/>
    <s v="Paper"/>
    <x v="670"/>
    <n v="9.6640000000000015"/>
    <n v="2"/>
    <n v="0.2"/>
    <n v="3.2615999999999996"/>
    <n v="15.462400000000002"/>
    <x v="3"/>
    <x v="0"/>
  </r>
  <r>
    <n v="839"/>
    <s v="US-2018-137547"/>
    <d v="2018-03-07T00:00:00"/>
    <x v="1"/>
    <x v="182"/>
    <s v="Fort Worth"/>
    <x v="5"/>
    <x v="2"/>
    <x v="2"/>
    <s v="Phones"/>
    <x v="403"/>
    <n v="21.071999999999999"/>
    <n v="3"/>
    <n v="0.2"/>
    <n v="1.5804"/>
    <n v="50.572800000000001"/>
    <x v="0"/>
    <x v="10"/>
  </r>
  <r>
    <n v="840"/>
    <s v="CA-2017-100454"/>
    <d v="2017-11-20T00:00:00"/>
    <x v="1"/>
    <x v="312"/>
    <s v="New York City"/>
    <x v="15"/>
    <x v="3"/>
    <x v="1"/>
    <s v="Art"/>
    <x v="626"/>
    <n v="60.449999999999996"/>
    <n v="3"/>
    <n v="0"/>
    <n v="16.3215"/>
    <n v="181.35"/>
    <x v="1"/>
    <x v="0"/>
  </r>
  <r>
    <n v="841"/>
    <s v="CA-2017-100454"/>
    <d v="2017-11-20T00:00:00"/>
    <x v="1"/>
    <x v="312"/>
    <s v="New York City"/>
    <x v="15"/>
    <x v="3"/>
    <x v="1"/>
    <s v="Art"/>
    <x v="671"/>
    <n v="11.52"/>
    <n v="4"/>
    <n v="0"/>
    <n v="3.3407999999999998"/>
    <n v="46.08"/>
    <x v="1"/>
    <x v="0"/>
  </r>
  <r>
    <n v="842"/>
    <s v="CA-2017-100454"/>
    <d v="2017-11-20T00:00:00"/>
    <x v="1"/>
    <x v="312"/>
    <s v="New York City"/>
    <x v="15"/>
    <x v="3"/>
    <x v="0"/>
    <s v="Bookcases"/>
    <x v="672"/>
    <n v="186.048"/>
    <n v="4"/>
    <n v="0.2"/>
    <n v="9.3024000000000058"/>
    <n v="595.35360000000003"/>
    <x v="1"/>
    <x v="0"/>
  </r>
  <r>
    <n v="843"/>
    <s v="CA-2018-161669"/>
    <d v="2018-11-07T00:00:00"/>
    <x v="2"/>
    <x v="313"/>
    <s v="Los Angeles"/>
    <x v="1"/>
    <x v="1"/>
    <x v="1"/>
    <s v="Binders"/>
    <x v="673"/>
    <n v="37.44"/>
    <n v="4"/>
    <n v="0.2"/>
    <n v="11.699999999999996"/>
    <n v="119.80799999999999"/>
    <x v="0"/>
    <x v="0"/>
  </r>
  <r>
    <n v="844"/>
    <s v="CA-2018-161669"/>
    <d v="2018-11-07T00:00:00"/>
    <x v="2"/>
    <x v="313"/>
    <s v="Los Angeles"/>
    <x v="1"/>
    <x v="1"/>
    <x v="1"/>
    <s v="Binders"/>
    <x v="674"/>
    <n v="26.975999999999999"/>
    <n v="4"/>
    <n v="0.2"/>
    <n v="8.767199999999999"/>
    <n v="86.3232"/>
    <x v="0"/>
    <x v="0"/>
  </r>
  <r>
    <n v="845"/>
    <s v="CA-2018-161669"/>
    <d v="2018-11-07T00:00:00"/>
    <x v="2"/>
    <x v="313"/>
    <s v="Los Angeles"/>
    <x v="1"/>
    <x v="1"/>
    <x v="1"/>
    <s v="Supplies"/>
    <x v="675"/>
    <n v="11.36"/>
    <n v="2"/>
    <n v="0"/>
    <n v="3.2943999999999996"/>
    <n v="22.72"/>
    <x v="0"/>
    <x v="0"/>
  </r>
  <r>
    <n v="846"/>
    <s v="CA-2018-161669"/>
    <d v="2018-11-07T00:00:00"/>
    <x v="2"/>
    <x v="313"/>
    <s v="Los Angeles"/>
    <x v="1"/>
    <x v="1"/>
    <x v="1"/>
    <s v="Labels"/>
    <x v="676"/>
    <n v="14.62"/>
    <n v="2"/>
    <n v="0"/>
    <n v="6.8713999999999995"/>
    <n v="29.24"/>
    <x v="0"/>
    <x v="0"/>
  </r>
  <r>
    <n v="847"/>
    <s v="CA-2017-114300"/>
    <d v="2017-10-13T00:00:00"/>
    <x v="1"/>
    <x v="314"/>
    <s v="Louisville"/>
    <x v="0"/>
    <x v="0"/>
    <x v="2"/>
    <s v="Phones"/>
    <x v="180"/>
    <n v="83.72"/>
    <n v="7"/>
    <n v="0"/>
    <n v="23.441600000000005"/>
    <n v="586.04"/>
    <x v="1"/>
    <x v="2"/>
  </r>
  <r>
    <n v="848"/>
    <s v="CA-2017-114300"/>
    <d v="2017-10-13T00:00:00"/>
    <x v="1"/>
    <x v="314"/>
    <s v="Louisville"/>
    <x v="0"/>
    <x v="0"/>
    <x v="0"/>
    <s v="Chairs"/>
    <x v="268"/>
    <n v="287.94"/>
    <n v="3"/>
    <n v="0"/>
    <n v="77.743800000000022"/>
    <n v="863.81999999999994"/>
    <x v="1"/>
    <x v="2"/>
  </r>
  <r>
    <n v="849"/>
    <s v="CA-2019-107503"/>
    <d v="2019-01-01T00:00:00"/>
    <x v="1"/>
    <x v="315"/>
    <s v="Lorain"/>
    <x v="24"/>
    <x v="3"/>
    <x v="0"/>
    <s v="Furnishings"/>
    <x v="677"/>
    <n v="48.896000000000001"/>
    <n v="4"/>
    <n v="0.2"/>
    <n v="8.5567999999999991"/>
    <n v="156.46720000000002"/>
    <x v="3"/>
    <x v="9"/>
  </r>
  <r>
    <n v="850"/>
    <s v="CA-2016-107755"/>
    <d v="2016-02-07T00:00:00"/>
    <x v="1"/>
    <x v="316"/>
    <s v="Linden"/>
    <x v="30"/>
    <x v="3"/>
    <x v="2"/>
    <s v="Accessories"/>
    <x v="678"/>
    <n v="115.36"/>
    <n v="7"/>
    <n v="0"/>
    <n v="49.604800000000012"/>
    <n v="807.52"/>
    <x v="2"/>
    <x v="11"/>
  </r>
  <r>
    <n v="851"/>
    <s v="CA-2018-152534"/>
    <d v="2018-06-20T00:00:00"/>
    <x v="0"/>
    <x v="317"/>
    <s v="Salinas"/>
    <x v="1"/>
    <x v="1"/>
    <x v="1"/>
    <s v="Art"/>
    <x v="679"/>
    <n v="5.16"/>
    <n v="2"/>
    <n v="0"/>
    <n v="1.3416000000000001"/>
    <n v="10.32"/>
    <x v="0"/>
    <x v="1"/>
  </r>
  <r>
    <n v="852"/>
    <s v="CA-2018-152534"/>
    <d v="2018-06-20T00:00:00"/>
    <x v="0"/>
    <x v="317"/>
    <s v="Salinas"/>
    <x v="1"/>
    <x v="1"/>
    <x v="1"/>
    <s v="Paper"/>
    <x v="680"/>
    <n v="38.880000000000003"/>
    <n v="6"/>
    <n v="0"/>
    <n v="18.662400000000002"/>
    <n v="233.28000000000003"/>
    <x v="0"/>
    <x v="1"/>
  </r>
  <r>
    <n v="853"/>
    <s v="CA-2018-113747"/>
    <d v="2018-05-28T00:00:00"/>
    <x v="1"/>
    <x v="104"/>
    <s v="Jackson"/>
    <x v="35"/>
    <x v="0"/>
    <x v="1"/>
    <s v="Art"/>
    <x v="290"/>
    <n v="185.88"/>
    <n v="6"/>
    <n v="0"/>
    <n v="50.187599999999996"/>
    <n v="1115.28"/>
    <x v="0"/>
    <x v="5"/>
  </r>
  <r>
    <n v="854"/>
    <s v="CA-2018-123274"/>
    <d v="2018-02-19T00:00:00"/>
    <x v="1"/>
    <x v="218"/>
    <s v="New York City"/>
    <x v="15"/>
    <x v="3"/>
    <x v="0"/>
    <s v="Furnishings"/>
    <x v="642"/>
    <n v="44.46"/>
    <n v="2"/>
    <n v="0"/>
    <n v="14.671799999999998"/>
    <n v="88.92"/>
    <x v="0"/>
    <x v="11"/>
  </r>
  <r>
    <n v="855"/>
    <s v="CA-2018-123274"/>
    <d v="2018-02-19T00:00:00"/>
    <x v="1"/>
    <x v="218"/>
    <s v="New York City"/>
    <x v="15"/>
    <x v="3"/>
    <x v="1"/>
    <s v="Storage"/>
    <x v="460"/>
    <n v="242.94"/>
    <n v="3"/>
    <n v="0"/>
    <n v="9.7175999999999902"/>
    <n v="728.81999999999994"/>
    <x v="0"/>
    <x v="11"/>
  </r>
  <r>
    <n v="856"/>
    <s v="CA-2016-125612"/>
    <d v="2016-08-03T00:00:00"/>
    <x v="1"/>
    <x v="318"/>
    <s v="New York City"/>
    <x v="15"/>
    <x v="3"/>
    <x v="1"/>
    <s v="Paper"/>
    <x v="681"/>
    <n v="39.96"/>
    <n v="2"/>
    <n v="0"/>
    <n v="18.781199999999998"/>
    <n v="79.92"/>
    <x v="2"/>
    <x v="6"/>
  </r>
  <r>
    <n v="857"/>
    <s v="CA-2016-125612"/>
    <d v="2016-08-03T00:00:00"/>
    <x v="1"/>
    <x v="318"/>
    <s v="New York City"/>
    <x v="15"/>
    <x v="3"/>
    <x v="1"/>
    <s v="Supplies"/>
    <x v="682"/>
    <n v="102.30000000000001"/>
    <n v="10"/>
    <n v="0"/>
    <n v="26.598000000000006"/>
    <n v="1023.0000000000001"/>
    <x v="2"/>
    <x v="6"/>
  </r>
  <r>
    <n v="858"/>
    <s v="CA-2016-125612"/>
    <d v="2016-08-03T00:00:00"/>
    <x v="1"/>
    <x v="318"/>
    <s v="New York City"/>
    <x v="15"/>
    <x v="3"/>
    <x v="1"/>
    <s v="Storage"/>
    <x v="683"/>
    <n v="21.36"/>
    <n v="2"/>
    <n v="0"/>
    <n v="5.7672000000000008"/>
    <n v="42.72"/>
    <x v="2"/>
    <x v="6"/>
  </r>
  <r>
    <n v="859"/>
    <s v="CA-2019-161984"/>
    <d v="2019-04-10T00:00:00"/>
    <x v="1"/>
    <x v="319"/>
    <s v="New Brunswick"/>
    <x v="30"/>
    <x v="3"/>
    <x v="1"/>
    <s v="Paper"/>
    <x v="230"/>
    <n v="7.61"/>
    <n v="1"/>
    <n v="0"/>
    <n v="3.5766999999999998"/>
    <n v="7.61"/>
    <x v="3"/>
    <x v="3"/>
  </r>
  <r>
    <n v="860"/>
    <s v="CA-2019-161984"/>
    <d v="2019-04-10T00:00:00"/>
    <x v="1"/>
    <x v="319"/>
    <s v="New Brunswick"/>
    <x v="30"/>
    <x v="3"/>
    <x v="1"/>
    <s v="Fasteners"/>
    <x v="294"/>
    <n v="7.16"/>
    <n v="2"/>
    <n v="0"/>
    <n v="3.58"/>
    <n v="14.32"/>
    <x v="3"/>
    <x v="3"/>
  </r>
  <r>
    <n v="861"/>
    <s v="CA-2016-133851"/>
    <d v="2016-06-09T00:00:00"/>
    <x v="1"/>
    <x v="320"/>
    <s v="San Francisco"/>
    <x v="1"/>
    <x v="1"/>
    <x v="1"/>
    <s v="Supplies"/>
    <x v="327"/>
    <n v="7.36"/>
    <n v="2"/>
    <n v="0"/>
    <n v="0.14719999999999978"/>
    <n v="14.72"/>
    <x v="2"/>
    <x v="1"/>
  </r>
  <r>
    <n v="862"/>
    <s v="CA-2016-133851"/>
    <d v="2016-06-09T00:00:00"/>
    <x v="1"/>
    <x v="320"/>
    <s v="San Francisco"/>
    <x v="1"/>
    <x v="1"/>
    <x v="1"/>
    <s v="Art"/>
    <x v="684"/>
    <n v="23.1"/>
    <n v="2"/>
    <n v="0"/>
    <n v="10.625999999999999"/>
    <n v="46.2"/>
    <x v="2"/>
    <x v="1"/>
  </r>
  <r>
    <n v="863"/>
    <s v="CA-2018-134474"/>
    <d v="2018-01-05T00:00:00"/>
    <x v="0"/>
    <x v="295"/>
    <s v="Jacksonville"/>
    <x v="2"/>
    <x v="0"/>
    <x v="2"/>
    <s v="Accessories"/>
    <x v="685"/>
    <n v="191.47200000000001"/>
    <n v="6"/>
    <n v="0.2"/>
    <n v="40.687800000000003"/>
    <n v="919.06560000000013"/>
    <x v="0"/>
    <x v="9"/>
  </r>
  <r>
    <n v="864"/>
    <s v="CA-2018-134474"/>
    <d v="2018-01-05T00:00:00"/>
    <x v="0"/>
    <x v="295"/>
    <s v="Jacksonville"/>
    <x v="2"/>
    <x v="0"/>
    <x v="1"/>
    <s v="Art"/>
    <x v="686"/>
    <n v="5.2480000000000002"/>
    <n v="2"/>
    <n v="0.2"/>
    <n v="0.59039999999999915"/>
    <n v="8.3968000000000007"/>
    <x v="0"/>
    <x v="9"/>
  </r>
  <r>
    <n v="865"/>
    <s v="CA-2018-134474"/>
    <d v="2018-01-05T00:00:00"/>
    <x v="0"/>
    <x v="295"/>
    <s v="Jacksonville"/>
    <x v="2"/>
    <x v="0"/>
    <x v="2"/>
    <s v="Phones"/>
    <x v="687"/>
    <n v="59.184000000000005"/>
    <n v="2"/>
    <n v="0.2"/>
    <n v="5.1786000000000012"/>
    <n v="94.694400000000016"/>
    <x v="0"/>
    <x v="9"/>
  </r>
  <r>
    <n v="866"/>
    <s v="CA-2016-149020"/>
    <d v="2016-01-10T00:00:00"/>
    <x v="1"/>
    <x v="321"/>
    <s v="Springfield"/>
    <x v="17"/>
    <x v="0"/>
    <x v="1"/>
    <s v="Labels"/>
    <x v="688"/>
    <n v="2.89"/>
    <n v="1"/>
    <n v="0"/>
    <n v="1.3583000000000001"/>
    <n v="2.89"/>
    <x v="2"/>
    <x v="9"/>
  </r>
  <r>
    <n v="867"/>
    <s v="CA-2016-149020"/>
    <d v="2016-01-10T00:00:00"/>
    <x v="1"/>
    <x v="321"/>
    <s v="Springfield"/>
    <x v="17"/>
    <x v="0"/>
    <x v="0"/>
    <s v="Furnishings"/>
    <x v="689"/>
    <n v="51.94"/>
    <n v="1"/>
    <n v="0"/>
    <n v="21.295400000000001"/>
    <n v="51.94"/>
    <x v="2"/>
    <x v="9"/>
  </r>
  <r>
    <n v="868"/>
    <s v="CA-2018-134362"/>
    <d v="2018-09-29T00:00:00"/>
    <x v="2"/>
    <x v="322"/>
    <s v="Philadelphia"/>
    <x v="9"/>
    <x v="3"/>
    <x v="1"/>
    <s v="Labels"/>
    <x v="690"/>
    <n v="15.936000000000002"/>
    <n v="4"/>
    <n v="0.2"/>
    <n v="5.1791999999999998"/>
    <n v="50.995200000000011"/>
    <x v="0"/>
    <x v="8"/>
  </r>
  <r>
    <n v="869"/>
    <s v="CA-2016-136742"/>
    <d v="2016-04-06T00:00:00"/>
    <x v="1"/>
    <x v="323"/>
    <s v="Lancaster"/>
    <x v="9"/>
    <x v="3"/>
    <x v="1"/>
    <s v="Binders"/>
    <x v="691"/>
    <n v="44.910000000000011"/>
    <n v="6"/>
    <n v="0.7"/>
    <n v="-35.927999999999997"/>
    <n v="80.838000000000022"/>
    <x v="2"/>
    <x v="3"/>
  </r>
  <r>
    <n v="870"/>
    <s v="CA-2018-158099"/>
    <d v="2018-09-03T00:00:00"/>
    <x v="2"/>
    <x v="324"/>
    <s v="Philadelphia"/>
    <x v="9"/>
    <x v="3"/>
    <x v="1"/>
    <s v="Binders"/>
    <x v="692"/>
    <n v="1141.4700000000003"/>
    <n v="5"/>
    <n v="0.7"/>
    <n v="-760.98000000000025"/>
    <n v="1712.2050000000006"/>
    <x v="0"/>
    <x v="8"/>
  </r>
  <r>
    <n v="871"/>
    <s v="CA-2018-158099"/>
    <d v="2018-09-03T00:00:00"/>
    <x v="2"/>
    <x v="324"/>
    <s v="Philadelphia"/>
    <x v="9"/>
    <x v="3"/>
    <x v="2"/>
    <s v="Phones"/>
    <x v="495"/>
    <n v="280.78200000000004"/>
    <n v="3"/>
    <n v="0.4"/>
    <n v="-46.797000000000025"/>
    <n v="505.40760000000006"/>
    <x v="0"/>
    <x v="8"/>
  </r>
  <r>
    <n v="872"/>
    <s v="CA-2017-131128"/>
    <d v="2017-10-19T00:00:00"/>
    <x v="2"/>
    <x v="14"/>
    <s v="Concord"/>
    <x v="38"/>
    <x v="3"/>
    <x v="1"/>
    <s v="Paper"/>
    <x v="693"/>
    <n v="34.44"/>
    <n v="3"/>
    <n v="0"/>
    <n v="17.22"/>
    <n v="103.32"/>
    <x v="1"/>
    <x v="2"/>
  </r>
  <r>
    <n v="873"/>
    <s v="CA-2016-148488"/>
    <d v="2016-12-10T00:00:00"/>
    <x v="1"/>
    <x v="325"/>
    <s v="New York City"/>
    <x v="15"/>
    <x v="3"/>
    <x v="1"/>
    <s v="Paper"/>
    <x v="253"/>
    <n v="11.36"/>
    <n v="2"/>
    <n v="0"/>
    <n v="5.2255999999999991"/>
    <n v="22.72"/>
    <x v="2"/>
    <x v="4"/>
  </r>
  <r>
    <n v="874"/>
    <s v="CA-2016-148488"/>
    <d v="2016-12-10T00:00:00"/>
    <x v="1"/>
    <x v="325"/>
    <s v="New York City"/>
    <x v="15"/>
    <x v="3"/>
    <x v="1"/>
    <s v="Binders"/>
    <x v="412"/>
    <n v="106.34399999999999"/>
    <n v="7"/>
    <n v="0.2"/>
    <n v="37.220399999999998"/>
    <n v="595.52639999999997"/>
    <x v="2"/>
    <x v="4"/>
  </r>
  <r>
    <n v="875"/>
    <s v="CA-2019-114636"/>
    <d v="2019-08-25T00:00:00"/>
    <x v="1"/>
    <x v="315"/>
    <s v="Charlotte"/>
    <x v="3"/>
    <x v="0"/>
    <x v="1"/>
    <s v="Paper"/>
    <x v="694"/>
    <n v="192.16000000000003"/>
    <n v="5"/>
    <n v="0.2"/>
    <n v="67.255999999999986"/>
    <n v="768.64000000000021"/>
    <x v="3"/>
    <x v="6"/>
  </r>
  <r>
    <n v="876"/>
    <s v="CA-2018-116736"/>
    <d v="2018-01-17T00:00:00"/>
    <x v="1"/>
    <x v="254"/>
    <s v="Concord"/>
    <x v="38"/>
    <x v="3"/>
    <x v="0"/>
    <s v="Furnishings"/>
    <x v="217"/>
    <n v="322.59000000000003"/>
    <n v="3"/>
    <n v="0"/>
    <n v="64.518000000000001"/>
    <n v="967.7700000000001"/>
    <x v="0"/>
    <x v="9"/>
  </r>
  <r>
    <n v="877"/>
    <s v="CA-2018-116736"/>
    <d v="2018-01-17T00:00:00"/>
    <x v="1"/>
    <x v="254"/>
    <s v="Concord"/>
    <x v="38"/>
    <x v="3"/>
    <x v="2"/>
    <s v="Accessories"/>
    <x v="247"/>
    <n v="29.99"/>
    <n v="1"/>
    <n v="0"/>
    <n v="13.195600000000002"/>
    <n v="29.99"/>
    <x v="0"/>
    <x v="9"/>
  </r>
  <r>
    <n v="878"/>
    <s v="CA-2018-116736"/>
    <d v="2018-01-17T00:00:00"/>
    <x v="1"/>
    <x v="254"/>
    <s v="Concord"/>
    <x v="38"/>
    <x v="3"/>
    <x v="2"/>
    <s v="Accessories"/>
    <x v="695"/>
    <n v="371.96999999999997"/>
    <n v="3"/>
    <n v="0"/>
    <n v="66.954599999999971"/>
    <n v="1115.9099999999999"/>
    <x v="0"/>
    <x v="9"/>
  </r>
  <r>
    <n v="879"/>
    <s v="US-2016-158638"/>
    <d v="2016-09-17T00:00:00"/>
    <x v="1"/>
    <x v="326"/>
    <s v="Philadelphia"/>
    <x v="9"/>
    <x v="3"/>
    <x v="1"/>
    <s v="Binders"/>
    <x v="696"/>
    <n v="5.8920000000000012"/>
    <n v="4"/>
    <n v="0.7"/>
    <n v="-4.1243999999999996"/>
    <n v="7.0704000000000029"/>
    <x v="2"/>
    <x v="8"/>
  </r>
  <r>
    <n v="880"/>
    <s v="CA-2019-111689"/>
    <d v="2019-11-30T00:00:00"/>
    <x v="0"/>
    <x v="6"/>
    <s v="New York City"/>
    <x v="15"/>
    <x v="3"/>
    <x v="1"/>
    <s v="Binders"/>
    <x v="697"/>
    <n v="68.472000000000008"/>
    <n v="3"/>
    <n v="0.2"/>
    <n v="23.109299999999998"/>
    <n v="164.33280000000002"/>
    <x v="3"/>
    <x v="0"/>
  </r>
  <r>
    <n v="881"/>
    <s v="CA-2019-111689"/>
    <d v="2019-11-30T00:00:00"/>
    <x v="0"/>
    <x v="6"/>
    <s v="New York City"/>
    <x v="15"/>
    <x v="3"/>
    <x v="0"/>
    <s v="Chairs"/>
    <x v="158"/>
    <n v="1242.8999999999999"/>
    <n v="5"/>
    <n v="0.1"/>
    <n v="262.38999999999987"/>
    <n v="5593.0499999999993"/>
    <x v="3"/>
    <x v="0"/>
  </r>
  <r>
    <n v="882"/>
    <s v="CA-2017-129098"/>
    <d v="2017-10-09T00:00:00"/>
    <x v="1"/>
    <x v="54"/>
    <s v="Springfield"/>
    <x v="17"/>
    <x v="0"/>
    <x v="1"/>
    <s v="Storage"/>
    <x v="421"/>
    <n v="30.84"/>
    <n v="2"/>
    <n v="0"/>
    <n v="8.3268000000000022"/>
    <n v="61.68"/>
    <x v="1"/>
    <x v="2"/>
  </r>
  <r>
    <n v="883"/>
    <s v="US-2019-123463"/>
    <d v="2019-12-23T00:00:00"/>
    <x v="3"/>
    <x v="47"/>
    <s v="San Francisco"/>
    <x v="1"/>
    <x v="1"/>
    <x v="1"/>
    <s v="Art"/>
    <x v="581"/>
    <n v="13.48"/>
    <n v="4"/>
    <n v="0"/>
    <n v="5.9312000000000014"/>
    <n v="53.92"/>
    <x v="3"/>
    <x v="4"/>
  </r>
  <r>
    <n v="884"/>
    <s v="CA-2018-165148"/>
    <d v="2018-10-22T00:00:00"/>
    <x v="2"/>
    <x v="327"/>
    <s v="Detroit"/>
    <x v="12"/>
    <x v="2"/>
    <x v="0"/>
    <s v="Furnishings"/>
    <x v="545"/>
    <n v="31.400000000000002"/>
    <n v="5"/>
    <n v="0"/>
    <n v="10.047999999999998"/>
    <n v="157"/>
    <x v="0"/>
    <x v="2"/>
  </r>
  <r>
    <n v="885"/>
    <s v="CA-2016-134061"/>
    <d v="2016-04-29T00:00:00"/>
    <x v="1"/>
    <x v="328"/>
    <s v="Rochester"/>
    <x v="15"/>
    <x v="3"/>
    <x v="0"/>
    <s v="Furnishings"/>
    <x v="698"/>
    <n v="17.46"/>
    <n v="2"/>
    <n v="0"/>
    <n v="5.936399999999999"/>
    <n v="34.92"/>
    <x v="2"/>
    <x v="3"/>
  </r>
  <r>
    <n v="886"/>
    <s v="CA-2017-143602"/>
    <d v="2017-04-25T00:00:00"/>
    <x v="0"/>
    <x v="329"/>
    <s v="Los Angeles"/>
    <x v="1"/>
    <x v="1"/>
    <x v="1"/>
    <s v="Binders"/>
    <x v="699"/>
    <n v="13.943999999999999"/>
    <n v="3"/>
    <n v="0.2"/>
    <n v="4.5317999999999996"/>
    <n v="33.465599999999995"/>
    <x v="1"/>
    <x v="3"/>
  </r>
  <r>
    <n v="887"/>
    <s v="CA-2019-115364"/>
    <d v="2019-06-26T00:00:00"/>
    <x v="1"/>
    <x v="220"/>
    <s v="San Diego"/>
    <x v="1"/>
    <x v="1"/>
    <x v="1"/>
    <s v="Storage"/>
    <x v="700"/>
    <n v="83.76"/>
    <n v="12"/>
    <n v="0"/>
    <n v="1.6751999999999967"/>
    <n v="1005.1200000000001"/>
    <x v="3"/>
    <x v="1"/>
  </r>
  <r>
    <n v="888"/>
    <s v="CA-2019-150707"/>
    <d v="2019-10-14T00:00:00"/>
    <x v="1"/>
    <x v="330"/>
    <s v="Columbia"/>
    <x v="39"/>
    <x v="3"/>
    <x v="1"/>
    <s v="Binders"/>
    <x v="61"/>
    <n v="37.659999999999997"/>
    <n v="7"/>
    <n v="0"/>
    <n v="18.453400000000002"/>
    <n v="263.62"/>
    <x v="3"/>
    <x v="2"/>
  </r>
  <r>
    <n v="889"/>
    <s v="CA-2016-104976"/>
    <d v="2016-12-09T00:00:00"/>
    <x v="1"/>
    <x v="316"/>
    <s v="San Francisco"/>
    <x v="1"/>
    <x v="1"/>
    <x v="1"/>
    <s v="Paper"/>
    <x v="372"/>
    <n v="34.68"/>
    <n v="6"/>
    <n v="0"/>
    <n v="16.993200000000002"/>
    <n v="208.07999999999998"/>
    <x v="2"/>
    <x v="4"/>
  </r>
  <r>
    <n v="890"/>
    <s v="CA-2019-132934"/>
    <d v="2019-06-20T00:00:00"/>
    <x v="1"/>
    <x v="188"/>
    <s v="New Rochelle"/>
    <x v="15"/>
    <x v="3"/>
    <x v="2"/>
    <s v="Accessories"/>
    <x v="701"/>
    <n v="149.94999999999999"/>
    <n v="5"/>
    <n v="0"/>
    <n v="14.994999999999994"/>
    <n v="749.75"/>
    <x v="3"/>
    <x v="1"/>
  </r>
  <r>
    <n v="891"/>
    <s v="CA-2019-132934"/>
    <d v="2019-06-20T00:00:00"/>
    <x v="1"/>
    <x v="188"/>
    <s v="New Rochelle"/>
    <x v="15"/>
    <x v="3"/>
    <x v="1"/>
    <s v="Binders"/>
    <x v="410"/>
    <n v="51.311999999999998"/>
    <n v="3"/>
    <n v="0.2"/>
    <n v="18.600599999999996"/>
    <n v="123.14879999999999"/>
    <x v="3"/>
    <x v="1"/>
  </r>
  <r>
    <n v="892"/>
    <s v="CA-2019-133256"/>
    <d v="2019-06-26T00:00:00"/>
    <x v="2"/>
    <x v="274"/>
    <s v="Detroit"/>
    <x v="12"/>
    <x v="2"/>
    <x v="1"/>
    <s v="Paper"/>
    <x v="702"/>
    <n v="4.54"/>
    <n v="1"/>
    <n v="0"/>
    <n v="2.0429999999999997"/>
    <n v="4.54"/>
    <x v="3"/>
    <x v="1"/>
  </r>
  <r>
    <n v="893"/>
    <s v="CA-2019-133256"/>
    <d v="2019-06-26T00:00:00"/>
    <x v="2"/>
    <x v="274"/>
    <s v="Detroit"/>
    <x v="12"/>
    <x v="2"/>
    <x v="1"/>
    <s v="Art"/>
    <x v="703"/>
    <n v="15.92"/>
    <n v="4"/>
    <n v="0"/>
    <n v="5.4127999999999989"/>
    <n v="63.68"/>
    <x v="3"/>
    <x v="1"/>
  </r>
  <r>
    <n v="894"/>
    <s v="CA-2019-133256"/>
    <d v="2019-06-26T00:00:00"/>
    <x v="2"/>
    <x v="274"/>
    <s v="Detroit"/>
    <x v="12"/>
    <x v="2"/>
    <x v="2"/>
    <s v="Phones"/>
    <x v="704"/>
    <n v="543.91999999999996"/>
    <n v="8"/>
    <n v="0"/>
    <n v="135.98000000000002"/>
    <n v="4351.3599999999997"/>
    <x v="3"/>
    <x v="1"/>
  </r>
  <r>
    <n v="895"/>
    <s v="CA-2018-105494"/>
    <d v="2018-11-10T00:00:00"/>
    <x v="2"/>
    <x v="331"/>
    <s v="San Francisco"/>
    <x v="1"/>
    <x v="1"/>
    <x v="1"/>
    <s v="Storage"/>
    <x v="330"/>
    <n v="155.82000000000002"/>
    <n v="7"/>
    <n v="0"/>
    <n v="42.071400000000011"/>
    <n v="1090.7400000000002"/>
    <x v="0"/>
    <x v="0"/>
  </r>
  <r>
    <n v="896"/>
    <s v="CA-2018-105494"/>
    <d v="2018-11-10T00:00:00"/>
    <x v="2"/>
    <x v="331"/>
    <s v="San Francisco"/>
    <x v="1"/>
    <x v="1"/>
    <x v="1"/>
    <s v="Binders"/>
    <x v="705"/>
    <n v="70.00800000000001"/>
    <n v="3"/>
    <n v="0.2"/>
    <n v="24.502800000000001"/>
    <n v="168.01920000000004"/>
    <x v="0"/>
    <x v="0"/>
  </r>
  <r>
    <n v="897"/>
    <s v="CA-2018-140634"/>
    <d v="2018-10-03T00:00:00"/>
    <x v="0"/>
    <x v="332"/>
    <s v="Houston"/>
    <x v="5"/>
    <x v="2"/>
    <x v="1"/>
    <s v="Envelopes"/>
    <x v="153"/>
    <n v="15.648"/>
    <n v="2"/>
    <n v="0.2"/>
    <n v="5.0855999999999986"/>
    <n v="25.036799999999999"/>
    <x v="0"/>
    <x v="2"/>
  </r>
  <r>
    <n v="898"/>
    <s v="CA-2016-144407"/>
    <d v="2016-09-09T00:00:00"/>
    <x v="1"/>
    <x v="333"/>
    <s v="Detroit"/>
    <x v="12"/>
    <x v="2"/>
    <x v="1"/>
    <s v="Labels"/>
    <x v="429"/>
    <n v="103.60000000000001"/>
    <n v="7"/>
    <n v="0"/>
    <n v="51.800000000000004"/>
    <n v="725.2"/>
    <x v="2"/>
    <x v="8"/>
  </r>
  <r>
    <n v="899"/>
    <s v="CA-2019-160983"/>
    <d v="2019-10-29T00:00:00"/>
    <x v="0"/>
    <x v="334"/>
    <s v="Auburn"/>
    <x v="15"/>
    <x v="3"/>
    <x v="1"/>
    <s v="Paper"/>
    <x v="706"/>
    <n v="46.96"/>
    <n v="8"/>
    <n v="0"/>
    <n v="22.540800000000001"/>
    <n v="375.68"/>
    <x v="3"/>
    <x v="2"/>
  </r>
  <r>
    <n v="900"/>
    <s v="US-2018-114622"/>
    <d v="2018-04-10T00:00:00"/>
    <x v="2"/>
    <x v="335"/>
    <s v="Springfield"/>
    <x v="24"/>
    <x v="3"/>
    <x v="1"/>
    <s v="Binders"/>
    <x v="707"/>
    <n v="8.9040000000000017"/>
    <n v="2"/>
    <n v="0.7"/>
    <n v="-6.5296000000000003"/>
    <n v="5.3424000000000014"/>
    <x v="0"/>
    <x v="3"/>
  </r>
  <r>
    <n v="901"/>
    <s v="CA-2019-150959"/>
    <d v="2019-11-11T00:00:00"/>
    <x v="2"/>
    <x v="143"/>
    <s v="Garland"/>
    <x v="5"/>
    <x v="2"/>
    <x v="1"/>
    <s v="Labels"/>
    <x v="708"/>
    <n v="10.440000000000001"/>
    <n v="5"/>
    <n v="0.2"/>
    <n v="3.3929999999999989"/>
    <n v="41.760000000000005"/>
    <x v="3"/>
    <x v="0"/>
  </r>
  <r>
    <n v="902"/>
    <s v="CA-2019-150959"/>
    <d v="2019-11-11T00:00:00"/>
    <x v="2"/>
    <x v="143"/>
    <s v="Garland"/>
    <x v="5"/>
    <x v="2"/>
    <x v="1"/>
    <s v="Binders"/>
    <x v="709"/>
    <n v="18.335999999999999"/>
    <n v="4"/>
    <n v="0.8"/>
    <n v="-32.088000000000008"/>
    <n v="14.668799999999996"/>
    <x v="3"/>
    <x v="0"/>
  </r>
  <r>
    <n v="903"/>
    <s v="CA-2019-132353"/>
    <d v="2019-09-15T00:00:00"/>
    <x v="2"/>
    <x v="72"/>
    <s v="Chicago"/>
    <x v="10"/>
    <x v="2"/>
    <x v="2"/>
    <s v="Phones"/>
    <x v="150"/>
    <n v="323.97600000000006"/>
    <n v="3"/>
    <n v="0.2"/>
    <n v="20.248499999999993"/>
    <n v="777.54240000000016"/>
    <x v="3"/>
    <x v="8"/>
  </r>
  <r>
    <n v="904"/>
    <s v="CA-2018-130477"/>
    <d v="2018-04-08T00:00:00"/>
    <x v="1"/>
    <x v="95"/>
    <s v="Los Angeles"/>
    <x v="1"/>
    <x v="1"/>
    <x v="1"/>
    <s v="Paper"/>
    <x v="710"/>
    <n v="20.04"/>
    <n v="3"/>
    <n v="0"/>
    <n v="9.6191999999999993"/>
    <n v="60.12"/>
    <x v="0"/>
    <x v="3"/>
  </r>
  <r>
    <n v="905"/>
    <s v="CA-2018-130477"/>
    <d v="2018-04-08T00:00:00"/>
    <x v="1"/>
    <x v="95"/>
    <s v="Los Angeles"/>
    <x v="1"/>
    <x v="1"/>
    <x v="1"/>
    <s v="Storage"/>
    <x v="571"/>
    <n v="64.959999999999994"/>
    <n v="2"/>
    <n v="0"/>
    <n v="2.598399999999998"/>
    <n v="129.91999999999999"/>
    <x v="0"/>
    <x v="3"/>
  </r>
  <r>
    <n v="906"/>
    <s v="CA-2018-130477"/>
    <d v="2018-04-08T00:00:00"/>
    <x v="1"/>
    <x v="95"/>
    <s v="Los Angeles"/>
    <x v="1"/>
    <x v="1"/>
    <x v="1"/>
    <s v="Paper"/>
    <x v="711"/>
    <n v="12.96"/>
    <n v="2"/>
    <n v="0"/>
    <n v="6.2208000000000006"/>
    <n v="25.92"/>
    <x v="0"/>
    <x v="3"/>
  </r>
  <r>
    <n v="907"/>
    <s v="CA-2019-143259"/>
    <d v="2019-12-30T00:00:00"/>
    <x v="1"/>
    <x v="22"/>
    <s v="New York City"/>
    <x v="15"/>
    <x v="3"/>
    <x v="0"/>
    <s v="Bookcases"/>
    <x v="712"/>
    <n v="323.13600000000002"/>
    <n v="4"/>
    <n v="0.2"/>
    <n v="12.117599999999968"/>
    <n v="1034.0352"/>
    <x v="3"/>
    <x v="4"/>
  </r>
  <r>
    <n v="908"/>
    <s v="CA-2019-143259"/>
    <d v="2019-12-30T00:00:00"/>
    <x v="1"/>
    <x v="22"/>
    <s v="New York City"/>
    <x v="15"/>
    <x v="3"/>
    <x v="2"/>
    <s v="Phones"/>
    <x v="713"/>
    <n v="90.93"/>
    <n v="7"/>
    <n v="0"/>
    <n v="2.7278999999999964"/>
    <n v="636.51"/>
    <x v="3"/>
    <x v="4"/>
  </r>
  <r>
    <n v="909"/>
    <s v="CA-2019-143259"/>
    <d v="2019-12-30T00:00:00"/>
    <x v="1"/>
    <x v="22"/>
    <s v="New York City"/>
    <x v="15"/>
    <x v="3"/>
    <x v="1"/>
    <s v="Binders"/>
    <x v="714"/>
    <n v="52.775999999999996"/>
    <n v="3"/>
    <n v="0.2"/>
    <n v="19.791"/>
    <n v="126.66239999999999"/>
    <x v="3"/>
    <x v="4"/>
  </r>
  <r>
    <n v="910"/>
    <s v="CA-2019-137596"/>
    <d v="2019-09-02T00:00:00"/>
    <x v="1"/>
    <x v="336"/>
    <s v="Jackson"/>
    <x v="12"/>
    <x v="2"/>
    <x v="2"/>
    <s v="Phones"/>
    <x v="715"/>
    <n v="1199.8"/>
    <n v="4"/>
    <n v="0"/>
    <n v="323.94600000000003"/>
    <n v="4799.2"/>
    <x v="3"/>
    <x v="8"/>
  </r>
  <r>
    <n v="911"/>
    <s v="CA-2019-137596"/>
    <d v="2019-09-02T00:00:00"/>
    <x v="1"/>
    <x v="336"/>
    <s v="Jackson"/>
    <x v="12"/>
    <x v="2"/>
    <x v="2"/>
    <s v="Accessories"/>
    <x v="716"/>
    <n v="1928.7800000000002"/>
    <n v="7"/>
    <n v="0"/>
    <n v="829.37540000000024"/>
    <n v="13501.460000000001"/>
    <x v="3"/>
    <x v="8"/>
  </r>
  <r>
    <n v="912"/>
    <s v="CA-2019-137596"/>
    <d v="2019-09-02T00:00:00"/>
    <x v="1"/>
    <x v="336"/>
    <s v="Jackson"/>
    <x v="12"/>
    <x v="2"/>
    <x v="1"/>
    <s v="Storage"/>
    <x v="717"/>
    <n v="352.38"/>
    <n v="2"/>
    <n v="0"/>
    <n v="81.047399999999982"/>
    <n v="704.76"/>
    <x v="3"/>
    <x v="8"/>
  </r>
  <r>
    <n v="913"/>
    <s v="CA-2017-133627"/>
    <d v="2017-05-31T00:00:00"/>
    <x v="1"/>
    <x v="337"/>
    <s v="Norwich"/>
    <x v="29"/>
    <x v="3"/>
    <x v="0"/>
    <s v="Furnishings"/>
    <x v="345"/>
    <n v="22.200000000000003"/>
    <n v="6"/>
    <n v="0"/>
    <n v="9.1020000000000021"/>
    <n v="133.20000000000002"/>
    <x v="1"/>
    <x v="5"/>
  </r>
  <r>
    <n v="914"/>
    <s v="CA-2019-102519"/>
    <d v="2019-11-27T00:00:00"/>
    <x v="2"/>
    <x v="312"/>
    <s v="Milwaukee"/>
    <x v="6"/>
    <x v="2"/>
    <x v="0"/>
    <s v="Furnishings"/>
    <x v="267"/>
    <n v="46.94"/>
    <n v="1"/>
    <n v="0"/>
    <n v="19.2454"/>
    <n v="46.94"/>
    <x v="3"/>
    <x v="0"/>
  </r>
  <r>
    <n v="915"/>
    <s v="CA-2019-102519"/>
    <d v="2019-11-27T00:00:00"/>
    <x v="2"/>
    <x v="312"/>
    <s v="Milwaukee"/>
    <x v="6"/>
    <x v="2"/>
    <x v="2"/>
    <s v="Accessories"/>
    <x v="405"/>
    <n v="143.73000000000002"/>
    <n v="9"/>
    <n v="0"/>
    <n v="56.054700000000011"/>
    <n v="1293.5700000000002"/>
    <x v="3"/>
    <x v="0"/>
  </r>
  <r>
    <n v="916"/>
    <s v="US-2016-141215"/>
    <d v="2016-06-15T00:00:00"/>
    <x v="1"/>
    <x v="126"/>
    <s v="San Antonio"/>
    <x v="5"/>
    <x v="2"/>
    <x v="0"/>
    <s v="Tables"/>
    <x v="718"/>
    <n v="99.918000000000006"/>
    <n v="2"/>
    <n v="0.3"/>
    <n v="-18.556200000000018"/>
    <n v="139.8852"/>
    <x v="2"/>
    <x v="1"/>
  </r>
  <r>
    <n v="917"/>
    <s v="US-2016-141215"/>
    <d v="2016-06-15T00:00:00"/>
    <x v="1"/>
    <x v="126"/>
    <s v="San Antonio"/>
    <x v="5"/>
    <x v="2"/>
    <x v="0"/>
    <s v="Chairs"/>
    <x v="464"/>
    <n v="797.94399999999996"/>
    <n v="4"/>
    <n v="0.3"/>
    <n v="-56.995999999999981"/>
    <n v="2234.2431999999999"/>
    <x v="2"/>
    <x v="1"/>
  </r>
  <r>
    <n v="918"/>
    <s v="US-2016-141215"/>
    <d v="2016-06-15T00:00:00"/>
    <x v="1"/>
    <x v="126"/>
    <s v="San Antonio"/>
    <x v="5"/>
    <x v="2"/>
    <x v="1"/>
    <s v="Binders"/>
    <x v="276"/>
    <n v="8.5679999999999978"/>
    <n v="3"/>
    <n v="0.8"/>
    <n v="-14.5656"/>
    <n v="5.1407999999999978"/>
    <x v="2"/>
    <x v="1"/>
  </r>
  <r>
    <n v="919"/>
    <s v="CA-2018-165218"/>
    <d v="2018-03-05T00:00:00"/>
    <x v="1"/>
    <x v="338"/>
    <s v="Dallas"/>
    <x v="5"/>
    <x v="2"/>
    <x v="1"/>
    <s v="Envelopes"/>
    <x v="633"/>
    <n v="149.352"/>
    <n v="3"/>
    <n v="0.2"/>
    <n v="50.40629999999998"/>
    <n v="358.44480000000004"/>
    <x v="0"/>
    <x v="10"/>
  </r>
  <r>
    <n v="920"/>
    <s v="CA-2018-165218"/>
    <d v="2018-03-05T00:00:00"/>
    <x v="1"/>
    <x v="338"/>
    <s v="Dallas"/>
    <x v="5"/>
    <x v="2"/>
    <x v="1"/>
    <s v="Storage"/>
    <x v="719"/>
    <n v="12.991999999999999"/>
    <n v="1"/>
    <n v="0.2"/>
    <n v="-0.81199999999999983"/>
    <n v="10.393599999999999"/>
    <x v="0"/>
    <x v="10"/>
  </r>
  <r>
    <n v="921"/>
    <s v="CA-2016-138296"/>
    <d v="2016-12-05T00:00:00"/>
    <x v="1"/>
    <x v="116"/>
    <s v="Alexandria"/>
    <x v="17"/>
    <x v="0"/>
    <x v="1"/>
    <s v="Storage"/>
    <x v="576"/>
    <n v="24.56"/>
    <n v="2"/>
    <n v="0"/>
    <n v="6.8767999999999994"/>
    <n v="49.12"/>
    <x v="2"/>
    <x v="4"/>
  </r>
  <r>
    <n v="922"/>
    <s v="CA-2017-111164"/>
    <d v="2017-04-11T00:00:00"/>
    <x v="1"/>
    <x v="339"/>
    <s v="New York City"/>
    <x v="15"/>
    <x v="3"/>
    <x v="2"/>
    <s v="Accessories"/>
    <x v="720"/>
    <n v="85.14"/>
    <n v="3"/>
    <n v="0"/>
    <n v="34.907399999999996"/>
    <n v="255.42000000000002"/>
    <x v="1"/>
    <x v="3"/>
  </r>
  <r>
    <n v="923"/>
    <s v="CA-2017-111164"/>
    <d v="2017-04-11T00:00:00"/>
    <x v="1"/>
    <x v="339"/>
    <s v="New York City"/>
    <x v="15"/>
    <x v="3"/>
    <x v="2"/>
    <s v="Phones"/>
    <x v="721"/>
    <n v="21.99"/>
    <n v="1"/>
    <n v="0"/>
    <n v="10.555199999999999"/>
    <n v="21.99"/>
    <x v="1"/>
    <x v="3"/>
  </r>
  <r>
    <n v="924"/>
    <s v="CA-2017-111164"/>
    <d v="2017-04-11T00:00:00"/>
    <x v="1"/>
    <x v="339"/>
    <s v="New York City"/>
    <x v="15"/>
    <x v="3"/>
    <x v="1"/>
    <s v="Appliances"/>
    <x v="722"/>
    <n v="406.59999999999997"/>
    <n v="5"/>
    <n v="0"/>
    <n v="113.84799999999998"/>
    <n v="2032.9999999999998"/>
    <x v="1"/>
    <x v="3"/>
  </r>
  <r>
    <n v="925"/>
    <s v="CA-2018-149797"/>
    <d v="2018-09-15T00:00:00"/>
    <x v="1"/>
    <x v="340"/>
    <s v="New York City"/>
    <x v="15"/>
    <x v="3"/>
    <x v="1"/>
    <s v="Binders"/>
    <x v="115"/>
    <n v="841.5680000000001"/>
    <n v="2"/>
    <n v="0.2"/>
    <n v="294.54879999999991"/>
    <n v="1346.5088000000003"/>
    <x v="0"/>
    <x v="8"/>
  </r>
  <r>
    <n v="926"/>
    <s v="CA-2016-132962"/>
    <d v="2016-09-13T00:00:00"/>
    <x v="2"/>
    <x v="341"/>
    <s v="Philadelphia"/>
    <x v="9"/>
    <x v="3"/>
    <x v="1"/>
    <s v="Paper"/>
    <x v="723"/>
    <n v="15.552000000000003"/>
    <n v="3"/>
    <n v="0.2"/>
    <n v="5.4432"/>
    <n v="37.324800000000003"/>
    <x v="2"/>
    <x v="8"/>
  </r>
  <r>
    <n v="927"/>
    <s v="CA-2016-132962"/>
    <d v="2016-09-13T00:00:00"/>
    <x v="2"/>
    <x v="341"/>
    <s v="Philadelphia"/>
    <x v="9"/>
    <x v="3"/>
    <x v="2"/>
    <s v="Accessories"/>
    <x v="724"/>
    <n v="252.00000000000003"/>
    <n v="5"/>
    <n v="0.2"/>
    <n v="53.550000000000004"/>
    <n v="1008.0000000000002"/>
    <x v="2"/>
    <x v="8"/>
  </r>
  <r>
    <n v="928"/>
    <s v="CA-2017-115091"/>
    <d v="2017-10-05T00:00:00"/>
    <x v="1"/>
    <x v="342"/>
    <s v="Springfield"/>
    <x v="17"/>
    <x v="0"/>
    <x v="1"/>
    <s v="Art"/>
    <x v="332"/>
    <n v="46.2"/>
    <n v="4"/>
    <n v="0"/>
    <n v="12.936"/>
    <n v="184.8"/>
    <x v="1"/>
    <x v="2"/>
  </r>
  <r>
    <n v="929"/>
    <s v="CA-2017-115091"/>
    <d v="2017-10-05T00:00:00"/>
    <x v="1"/>
    <x v="342"/>
    <s v="Springfield"/>
    <x v="17"/>
    <x v="0"/>
    <x v="1"/>
    <s v="Appliances"/>
    <x v="336"/>
    <n v="28.84"/>
    <n v="2"/>
    <n v="0"/>
    <n v="9.517199999999999"/>
    <n v="57.68"/>
    <x v="1"/>
    <x v="2"/>
  </r>
  <r>
    <n v="930"/>
    <s v="CA-2019-144932"/>
    <d v="2019-04-14T00:00:00"/>
    <x v="2"/>
    <x v="269"/>
    <s v="Toledo"/>
    <x v="24"/>
    <x v="3"/>
    <x v="1"/>
    <s v="Art"/>
    <x v="487"/>
    <n v="14.592000000000002"/>
    <n v="3"/>
    <n v="0.2"/>
    <n v="2.5535999999999985"/>
    <n v="35.020800000000008"/>
    <x v="3"/>
    <x v="3"/>
  </r>
  <r>
    <n v="931"/>
    <s v="CA-2019-144932"/>
    <d v="2019-04-14T00:00:00"/>
    <x v="2"/>
    <x v="269"/>
    <s v="Toledo"/>
    <x v="24"/>
    <x v="3"/>
    <x v="1"/>
    <s v="Art"/>
    <x v="725"/>
    <n v="89.855999999999995"/>
    <n v="3"/>
    <n v="0.2"/>
    <n v="21.340800000000002"/>
    <n v="215.65440000000001"/>
    <x v="3"/>
    <x v="3"/>
  </r>
  <r>
    <n v="932"/>
    <s v="CA-2019-144932"/>
    <d v="2019-04-14T00:00:00"/>
    <x v="2"/>
    <x v="269"/>
    <s v="Toledo"/>
    <x v="24"/>
    <x v="3"/>
    <x v="1"/>
    <s v="Paper"/>
    <x v="609"/>
    <n v="13.872000000000002"/>
    <n v="3"/>
    <n v="0.2"/>
    <n v="5.0286000000000008"/>
    <n v="33.292800000000007"/>
    <x v="3"/>
    <x v="3"/>
  </r>
  <r>
    <n v="933"/>
    <s v="CA-2019-114216"/>
    <d v="2019-09-02T00:00:00"/>
    <x v="1"/>
    <x v="343"/>
    <s v="Philadelphia"/>
    <x v="9"/>
    <x v="3"/>
    <x v="1"/>
    <s v="Paper"/>
    <x v="726"/>
    <n v="12.192"/>
    <n v="3"/>
    <n v="0.2"/>
    <n v="4.1147999999999998"/>
    <n v="29.260800000000003"/>
    <x v="3"/>
    <x v="8"/>
  </r>
  <r>
    <n v="934"/>
    <s v="CA-2018-140081"/>
    <d v="2018-06-20T00:00:00"/>
    <x v="1"/>
    <x v="344"/>
    <s v="Philadelphia"/>
    <x v="9"/>
    <x v="3"/>
    <x v="1"/>
    <s v="Paper"/>
    <x v="727"/>
    <n v="45.056000000000004"/>
    <n v="8"/>
    <n v="0.2"/>
    <n v="15.206399999999997"/>
    <n v="288.35840000000002"/>
    <x v="0"/>
    <x v="1"/>
  </r>
  <r>
    <n v="935"/>
    <s v="CA-2018-140081"/>
    <d v="2018-06-20T00:00:00"/>
    <x v="1"/>
    <x v="344"/>
    <s v="Philadelphia"/>
    <x v="9"/>
    <x v="3"/>
    <x v="1"/>
    <s v="Binders"/>
    <x v="728"/>
    <n v="29.718000000000007"/>
    <n v="6"/>
    <n v="0.7"/>
    <n v="-21.793199999999992"/>
    <n v="53.492400000000025"/>
    <x v="0"/>
    <x v="1"/>
  </r>
  <r>
    <n v="936"/>
    <s v="CA-2018-140081"/>
    <d v="2018-06-20T00:00:00"/>
    <x v="1"/>
    <x v="344"/>
    <s v="Philadelphia"/>
    <x v="9"/>
    <x v="3"/>
    <x v="1"/>
    <s v="Paper"/>
    <x v="680"/>
    <n v="15.552000000000003"/>
    <n v="3"/>
    <n v="0.2"/>
    <n v="5.4432"/>
    <n v="37.324800000000003"/>
    <x v="0"/>
    <x v="1"/>
  </r>
  <r>
    <n v="937"/>
    <s v="CA-2018-140081"/>
    <d v="2018-06-20T00:00:00"/>
    <x v="1"/>
    <x v="344"/>
    <s v="Philadelphia"/>
    <x v="9"/>
    <x v="3"/>
    <x v="1"/>
    <s v="Appliances"/>
    <x v="138"/>
    <n v="447.69600000000003"/>
    <n v="2"/>
    <n v="0.2"/>
    <n v="33.577199999999976"/>
    <n v="716.31360000000006"/>
    <x v="0"/>
    <x v="1"/>
  </r>
  <r>
    <n v="938"/>
    <s v="US-2019-111745"/>
    <d v="2019-11-05T00:00:00"/>
    <x v="2"/>
    <x v="19"/>
    <s v="Farmington"/>
    <x v="27"/>
    <x v="1"/>
    <x v="2"/>
    <s v="Accessories"/>
    <x v="331"/>
    <n v="159.99"/>
    <n v="1"/>
    <n v="0"/>
    <n v="54.396599999999992"/>
    <n v="159.99"/>
    <x v="3"/>
    <x v="0"/>
  </r>
  <r>
    <n v="939"/>
    <s v="CA-2017-148250"/>
    <d v="2017-12-13T00:00:00"/>
    <x v="1"/>
    <x v="345"/>
    <s v="Riverside"/>
    <x v="1"/>
    <x v="1"/>
    <x v="1"/>
    <s v="Paper"/>
    <x v="729"/>
    <n v="12.96"/>
    <n v="2"/>
    <n v="0"/>
    <n v="6.2208000000000006"/>
    <n v="25.92"/>
    <x v="1"/>
    <x v="4"/>
  </r>
  <r>
    <n v="940"/>
    <s v="CA-2017-148250"/>
    <d v="2017-12-13T00:00:00"/>
    <x v="1"/>
    <x v="345"/>
    <s v="Riverside"/>
    <x v="1"/>
    <x v="1"/>
    <x v="1"/>
    <s v="Appliances"/>
    <x v="730"/>
    <n v="134.47999999999999"/>
    <n v="4"/>
    <n v="0"/>
    <n v="34.964799999999997"/>
    <n v="537.91999999999996"/>
    <x v="1"/>
    <x v="4"/>
  </r>
  <r>
    <n v="941"/>
    <s v="CA-2018-105760"/>
    <d v="2018-06-19T00:00:00"/>
    <x v="2"/>
    <x v="346"/>
    <s v="San Francisco"/>
    <x v="1"/>
    <x v="1"/>
    <x v="1"/>
    <s v="Paper"/>
    <x v="731"/>
    <n v="17.12"/>
    <n v="2"/>
    <n v="0"/>
    <n v="8.0464000000000002"/>
    <n v="34.24"/>
    <x v="0"/>
    <x v="1"/>
  </r>
  <r>
    <n v="942"/>
    <s v="CA-2018-142958"/>
    <d v="2018-12-13T00:00:00"/>
    <x v="1"/>
    <x v="338"/>
    <s v="Torrance"/>
    <x v="1"/>
    <x v="1"/>
    <x v="1"/>
    <s v="Binders"/>
    <x v="732"/>
    <n v="6.0960000000000001"/>
    <n v="2"/>
    <n v="0.2"/>
    <n v="2.2098"/>
    <n v="9.7536000000000005"/>
    <x v="0"/>
    <x v="4"/>
  </r>
  <r>
    <n v="943"/>
    <s v="CA-2018-142958"/>
    <d v="2018-12-13T00:00:00"/>
    <x v="1"/>
    <x v="338"/>
    <s v="Torrance"/>
    <x v="1"/>
    <x v="1"/>
    <x v="0"/>
    <s v="Tables"/>
    <x v="3"/>
    <n v="1114.2719999999999"/>
    <n v="4"/>
    <n v="0.2"/>
    <n v="41.785200000000032"/>
    <n v="3565.6704"/>
    <x v="0"/>
    <x v="4"/>
  </r>
  <r>
    <n v="944"/>
    <s v="CA-2017-120880"/>
    <d v="2017-05-29T00:00:00"/>
    <x v="1"/>
    <x v="139"/>
    <s v="Seattle"/>
    <x v="4"/>
    <x v="1"/>
    <x v="1"/>
    <s v="Paper"/>
    <x v="511"/>
    <n v="32.400000000000006"/>
    <n v="5"/>
    <n v="0"/>
    <n v="15.552000000000001"/>
    <n v="162.00000000000003"/>
    <x v="1"/>
    <x v="5"/>
  </r>
  <r>
    <n v="945"/>
    <s v="CA-2017-120880"/>
    <d v="2017-05-29T00:00:00"/>
    <x v="1"/>
    <x v="139"/>
    <s v="Seattle"/>
    <x v="4"/>
    <x v="1"/>
    <x v="1"/>
    <s v="Storage"/>
    <x v="733"/>
    <n v="540.56999999999994"/>
    <n v="3"/>
    <n v="0"/>
    <n v="140.54820000000001"/>
    <n v="1621.7099999999998"/>
    <x v="1"/>
    <x v="5"/>
  </r>
  <r>
    <n v="946"/>
    <s v="CA-2017-120880"/>
    <d v="2017-05-29T00:00:00"/>
    <x v="1"/>
    <x v="139"/>
    <s v="Seattle"/>
    <x v="4"/>
    <x v="1"/>
    <x v="1"/>
    <s v="Binders"/>
    <x v="734"/>
    <n v="167.76"/>
    <n v="5"/>
    <n v="0.2"/>
    <n v="62.91"/>
    <n v="671.04"/>
    <x v="1"/>
    <x v="5"/>
  </r>
  <r>
    <n v="947"/>
    <s v="US-2017-140200"/>
    <d v="2017-07-26T00:00:00"/>
    <x v="2"/>
    <x v="222"/>
    <s v="Mesa"/>
    <x v="16"/>
    <x v="1"/>
    <x v="0"/>
    <s v="Tables"/>
    <x v="735"/>
    <n v="393.16500000000002"/>
    <n v="3"/>
    <n v="0.5"/>
    <n v="-204.44580000000005"/>
    <n v="589.74750000000006"/>
    <x v="1"/>
    <x v="7"/>
  </r>
  <r>
    <n v="948"/>
    <s v="US-2019-110576"/>
    <d v="2019-11-28T00:00:00"/>
    <x v="1"/>
    <x v="176"/>
    <s v="Philadelphia"/>
    <x v="9"/>
    <x v="3"/>
    <x v="0"/>
    <s v="Furnishings"/>
    <x v="736"/>
    <n v="516.48800000000006"/>
    <n v="7"/>
    <n v="0.2"/>
    <n v="-12.912200000000027"/>
    <n v="2892.3328000000001"/>
    <x v="3"/>
    <x v="0"/>
  </r>
  <r>
    <n v="949"/>
    <s v="US-2019-110576"/>
    <d v="2019-11-28T00:00:00"/>
    <x v="1"/>
    <x v="176"/>
    <s v="Philadelphia"/>
    <x v="9"/>
    <x v="3"/>
    <x v="0"/>
    <s v="Furnishings"/>
    <x v="221"/>
    <n v="1007.2320000000001"/>
    <n v="6"/>
    <n v="0.2"/>
    <n v="75.542400000000015"/>
    <n v="4834.713600000001"/>
    <x v="3"/>
    <x v="0"/>
  </r>
  <r>
    <n v="950"/>
    <s v="US-2019-110576"/>
    <d v="2019-11-28T00:00:00"/>
    <x v="1"/>
    <x v="176"/>
    <s v="Philadelphia"/>
    <x v="9"/>
    <x v="3"/>
    <x v="0"/>
    <s v="Tables"/>
    <x v="737"/>
    <n v="2065.3200000000002"/>
    <n v="12"/>
    <n v="0.4"/>
    <n v="-619.59600000000012"/>
    <n v="14870.304000000002"/>
    <x v="3"/>
    <x v="0"/>
  </r>
  <r>
    <n v="951"/>
    <s v="US-2019-110576"/>
    <d v="2019-11-28T00:00:00"/>
    <x v="1"/>
    <x v="176"/>
    <s v="Philadelphia"/>
    <x v="9"/>
    <x v="3"/>
    <x v="1"/>
    <s v="Paper"/>
    <x v="738"/>
    <n v="15.552000000000003"/>
    <n v="3"/>
    <n v="0.2"/>
    <n v="5.4432"/>
    <n v="37.324800000000003"/>
    <x v="3"/>
    <x v="0"/>
  </r>
  <r>
    <n v="952"/>
    <s v="US-2019-110576"/>
    <d v="2019-11-28T00:00:00"/>
    <x v="1"/>
    <x v="176"/>
    <s v="Philadelphia"/>
    <x v="9"/>
    <x v="3"/>
    <x v="1"/>
    <s v="Paper"/>
    <x v="219"/>
    <n v="25.344000000000001"/>
    <n v="6"/>
    <n v="0.2"/>
    <n v="7.92"/>
    <n v="121.65120000000002"/>
    <x v="3"/>
    <x v="0"/>
  </r>
  <r>
    <n v="953"/>
    <s v="CA-2019-131156"/>
    <d v="2019-04-03T00:00:00"/>
    <x v="1"/>
    <x v="347"/>
    <s v="Philadelphia"/>
    <x v="9"/>
    <x v="3"/>
    <x v="0"/>
    <s v="Furnishings"/>
    <x v="222"/>
    <n v="25.472000000000001"/>
    <n v="4"/>
    <n v="0.2"/>
    <n v="7.6416000000000022"/>
    <n v="81.510400000000004"/>
    <x v="3"/>
    <x v="3"/>
  </r>
  <r>
    <n v="954"/>
    <s v="CA-2019-136539"/>
    <d v="2019-12-28T00:00:00"/>
    <x v="1"/>
    <x v="348"/>
    <s v="Round Rock"/>
    <x v="5"/>
    <x v="2"/>
    <x v="1"/>
    <s v="Art"/>
    <x v="208"/>
    <n v="27.168000000000003"/>
    <n v="2"/>
    <n v="0.2"/>
    <n v="2.7168000000000001"/>
    <n v="43.468800000000009"/>
    <x v="3"/>
    <x v="4"/>
  </r>
  <r>
    <n v="955"/>
    <s v="CA-2019-136539"/>
    <d v="2019-12-28T00:00:00"/>
    <x v="1"/>
    <x v="348"/>
    <s v="Round Rock"/>
    <x v="5"/>
    <x v="2"/>
    <x v="0"/>
    <s v="Bookcases"/>
    <x v="266"/>
    <n v="78.852799999999988"/>
    <n v="2"/>
    <n v="0.32"/>
    <n v="-11.595999999999997"/>
    <n v="107.23980799999997"/>
    <x v="3"/>
    <x v="4"/>
  </r>
  <r>
    <n v="956"/>
    <s v="CA-2019-119305"/>
    <d v="2019-11-30T00:00:00"/>
    <x v="1"/>
    <x v="349"/>
    <s v="Jackson"/>
    <x v="35"/>
    <x v="0"/>
    <x v="1"/>
    <s v="Storage"/>
    <x v="54"/>
    <n v="173.79999999999998"/>
    <n v="5"/>
    <n v="0"/>
    <n v="43.449999999999989"/>
    <n v="868.99999999999989"/>
    <x v="3"/>
    <x v="0"/>
  </r>
  <r>
    <n v="957"/>
    <s v="CA-2019-102414"/>
    <d v="2019-05-15T00:00:00"/>
    <x v="0"/>
    <x v="350"/>
    <s v="Phoenix"/>
    <x v="16"/>
    <x v="1"/>
    <x v="2"/>
    <s v="Phones"/>
    <x v="687"/>
    <n v="29.592000000000002"/>
    <n v="1"/>
    <n v="0.2"/>
    <n v="2.5893000000000006"/>
    <n v="23.673600000000004"/>
    <x v="3"/>
    <x v="5"/>
  </r>
  <r>
    <n v="958"/>
    <s v="CA-2019-102414"/>
    <d v="2019-05-15T00:00:00"/>
    <x v="0"/>
    <x v="350"/>
    <s v="Phoenix"/>
    <x v="16"/>
    <x v="1"/>
    <x v="1"/>
    <s v="Binders"/>
    <x v="739"/>
    <n v="4.7520000000000007"/>
    <n v="2"/>
    <n v="0.7"/>
    <n v="-3.1679999999999993"/>
    <n v="2.8512000000000008"/>
    <x v="3"/>
    <x v="5"/>
  </r>
  <r>
    <n v="959"/>
    <s v="CA-2019-102414"/>
    <d v="2019-05-15T00:00:00"/>
    <x v="0"/>
    <x v="350"/>
    <s v="Phoenix"/>
    <x v="16"/>
    <x v="1"/>
    <x v="1"/>
    <s v="Paper"/>
    <x v="740"/>
    <n v="15.552000000000003"/>
    <n v="3"/>
    <n v="0.2"/>
    <n v="5.6375999999999999"/>
    <n v="37.324800000000003"/>
    <x v="3"/>
    <x v="5"/>
  </r>
  <r>
    <n v="960"/>
    <s v="CA-2017-112571"/>
    <d v="2017-09-22T00:00:00"/>
    <x v="3"/>
    <x v="351"/>
    <s v="Oceanside"/>
    <x v="1"/>
    <x v="1"/>
    <x v="0"/>
    <s v="Furnishings"/>
    <x v="741"/>
    <n v="204.6"/>
    <n v="2"/>
    <n v="0"/>
    <n v="53.195999999999998"/>
    <n v="409.2"/>
    <x v="1"/>
    <x v="8"/>
  </r>
  <r>
    <n v="961"/>
    <s v="CA-2019-152142"/>
    <d v="2019-11-14T00:00:00"/>
    <x v="1"/>
    <x v="352"/>
    <s v="San Francisco"/>
    <x v="1"/>
    <x v="1"/>
    <x v="0"/>
    <s v="Chairs"/>
    <x v="229"/>
    <n v="321.56799999999998"/>
    <n v="2"/>
    <n v="0.2"/>
    <n v="28.137200000000007"/>
    <n v="514.50879999999995"/>
    <x v="3"/>
    <x v="0"/>
  </r>
  <r>
    <n v="962"/>
    <s v="CA-2017-160059"/>
    <d v="2017-11-27T00:00:00"/>
    <x v="1"/>
    <x v="353"/>
    <s v="Fayetteville"/>
    <x v="36"/>
    <x v="0"/>
    <x v="1"/>
    <s v="Binders"/>
    <x v="742"/>
    <n v="6.24"/>
    <n v="2"/>
    <n v="0"/>
    <n v="3.0575999999999999"/>
    <n v="12.48"/>
    <x v="1"/>
    <x v="0"/>
  </r>
  <r>
    <n v="963"/>
    <s v="CA-2018-120859"/>
    <d v="2018-09-01T00:00:00"/>
    <x v="2"/>
    <x v="51"/>
    <s v="San Francisco"/>
    <x v="1"/>
    <x v="1"/>
    <x v="1"/>
    <s v="Envelopes"/>
    <x v="467"/>
    <n v="21.88"/>
    <n v="2"/>
    <n v="0"/>
    <n v="10.94"/>
    <n v="43.76"/>
    <x v="0"/>
    <x v="8"/>
  </r>
  <r>
    <n v="964"/>
    <s v="CA-2016-127488"/>
    <d v="2016-09-22T00:00:00"/>
    <x v="0"/>
    <x v="333"/>
    <s v="Boca Raton"/>
    <x v="2"/>
    <x v="0"/>
    <x v="1"/>
    <s v="Labels"/>
    <x v="743"/>
    <n v="4.6079999999999997"/>
    <n v="2"/>
    <n v="0.2"/>
    <n v="1.6704000000000001"/>
    <n v="7.3727999999999998"/>
    <x v="2"/>
    <x v="8"/>
  </r>
  <r>
    <n v="965"/>
    <s v="CA-2019-135279"/>
    <d v="2019-04-09T00:00:00"/>
    <x v="2"/>
    <x v="354"/>
    <s v="New York City"/>
    <x v="15"/>
    <x v="3"/>
    <x v="1"/>
    <s v="Labels"/>
    <x v="744"/>
    <n v="9.82"/>
    <n v="2"/>
    <n v="0"/>
    <n v="4.8117999999999999"/>
    <n v="19.64"/>
    <x v="3"/>
    <x v="3"/>
  </r>
  <r>
    <n v="966"/>
    <s v="CA-2019-135279"/>
    <d v="2019-04-09T00:00:00"/>
    <x v="2"/>
    <x v="354"/>
    <s v="New York City"/>
    <x v="15"/>
    <x v="3"/>
    <x v="1"/>
    <s v="Art"/>
    <x v="370"/>
    <n v="35.97"/>
    <n v="3"/>
    <n v="0"/>
    <n v="9.7118999999999982"/>
    <n v="107.91"/>
    <x v="3"/>
    <x v="3"/>
  </r>
  <r>
    <n v="967"/>
    <s v="CA-2019-135279"/>
    <d v="2019-04-09T00:00:00"/>
    <x v="2"/>
    <x v="354"/>
    <s v="New York City"/>
    <x v="15"/>
    <x v="3"/>
    <x v="1"/>
    <s v="Paper"/>
    <x v="745"/>
    <n v="12.96"/>
    <n v="2"/>
    <n v="0"/>
    <n v="6.2208000000000006"/>
    <n v="25.92"/>
    <x v="3"/>
    <x v="3"/>
  </r>
  <r>
    <n v="968"/>
    <s v="CA-2019-135279"/>
    <d v="2019-04-09T00:00:00"/>
    <x v="2"/>
    <x v="354"/>
    <s v="New York City"/>
    <x v="15"/>
    <x v="3"/>
    <x v="1"/>
    <s v="Paper"/>
    <x v="746"/>
    <n v="191.6"/>
    <n v="4"/>
    <n v="0"/>
    <n v="91.967999999999989"/>
    <n v="766.4"/>
    <x v="3"/>
    <x v="3"/>
  </r>
  <r>
    <n v="969"/>
    <s v="CA-2019-135279"/>
    <d v="2019-04-09T00:00:00"/>
    <x v="2"/>
    <x v="354"/>
    <s v="New York City"/>
    <x v="15"/>
    <x v="3"/>
    <x v="1"/>
    <s v="Labels"/>
    <x v="743"/>
    <n v="8.64"/>
    <n v="3"/>
    <n v="0"/>
    <n v="4.2336"/>
    <n v="25.92"/>
    <x v="3"/>
    <x v="3"/>
  </r>
  <r>
    <n v="970"/>
    <s v="CA-2019-135279"/>
    <d v="2019-04-09T00:00:00"/>
    <x v="2"/>
    <x v="354"/>
    <s v="New York City"/>
    <x v="15"/>
    <x v="3"/>
    <x v="1"/>
    <s v="Storage"/>
    <x v="747"/>
    <n v="501.81000000000006"/>
    <n v="3"/>
    <n v="0"/>
    <n v="0"/>
    <n v="1505.4300000000003"/>
    <x v="3"/>
    <x v="3"/>
  </r>
  <r>
    <n v="971"/>
    <s v="CA-2016-115791"/>
    <d v="2016-01-16T00:00:00"/>
    <x v="0"/>
    <x v="111"/>
    <s v="Philadelphia"/>
    <x v="9"/>
    <x v="3"/>
    <x v="0"/>
    <s v="Furnishings"/>
    <x v="748"/>
    <n v="127.10400000000001"/>
    <n v="6"/>
    <n v="0.2"/>
    <n v="28.598399999999998"/>
    <n v="610.0992"/>
    <x v="2"/>
    <x v="9"/>
  </r>
  <r>
    <n v="972"/>
    <s v="CA-2016-115791"/>
    <d v="2016-01-16T00:00:00"/>
    <x v="0"/>
    <x v="111"/>
    <s v="Philadelphia"/>
    <x v="9"/>
    <x v="3"/>
    <x v="2"/>
    <s v="Phones"/>
    <x v="302"/>
    <n v="124.19999999999999"/>
    <n v="3"/>
    <n v="0.4"/>
    <n v="-31.050000000000011"/>
    <n v="223.55999999999997"/>
    <x v="2"/>
    <x v="9"/>
  </r>
  <r>
    <n v="973"/>
    <s v="CA-2016-115791"/>
    <d v="2016-01-16T00:00:00"/>
    <x v="0"/>
    <x v="111"/>
    <s v="Philadelphia"/>
    <x v="9"/>
    <x v="3"/>
    <x v="1"/>
    <s v="Binders"/>
    <x v="582"/>
    <n v="18.588000000000005"/>
    <n v="2"/>
    <n v="0.7"/>
    <n v="-13.6312"/>
    <n v="11.152800000000004"/>
    <x v="2"/>
    <x v="9"/>
  </r>
  <r>
    <n v="974"/>
    <s v="CA-2016-115791"/>
    <d v="2016-01-16T00:00:00"/>
    <x v="0"/>
    <x v="111"/>
    <s v="Philadelphia"/>
    <x v="9"/>
    <x v="3"/>
    <x v="1"/>
    <s v="Labels"/>
    <x v="300"/>
    <n v="30.072000000000003"/>
    <n v="3"/>
    <n v="0.2"/>
    <n v="10.149299999999997"/>
    <n v="72.172800000000009"/>
    <x v="2"/>
    <x v="9"/>
  </r>
  <r>
    <n v="975"/>
    <s v="US-2019-103247"/>
    <d v="2019-10-05T00:00:00"/>
    <x v="0"/>
    <x v="285"/>
    <s v="New York City"/>
    <x v="15"/>
    <x v="3"/>
    <x v="2"/>
    <s v="Phones"/>
    <x v="462"/>
    <n v="160.92999999999998"/>
    <n v="7"/>
    <n v="0"/>
    <n v="3.2186000000000092"/>
    <n v="1126.5099999999998"/>
    <x v="3"/>
    <x v="2"/>
  </r>
  <r>
    <n v="976"/>
    <s v="US-2019-103247"/>
    <d v="2019-10-05T00:00:00"/>
    <x v="0"/>
    <x v="285"/>
    <s v="New York City"/>
    <x v="15"/>
    <x v="3"/>
    <x v="1"/>
    <s v="Binders"/>
    <x v="351"/>
    <n v="75.792000000000002"/>
    <n v="3"/>
    <n v="0.2"/>
    <n v="25.579799999999992"/>
    <n v="181.9008"/>
    <x v="3"/>
    <x v="2"/>
  </r>
  <r>
    <n v="977"/>
    <s v="US-2019-100209"/>
    <d v="2019-07-09T00:00:00"/>
    <x v="1"/>
    <x v="143"/>
    <s v="Portland"/>
    <x v="21"/>
    <x v="1"/>
    <x v="1"/>
    <s v="Binders"/>
    <x v="749"/>
    <n v="1.0800000000000003"/>
    <n v="2"/>
    <n v="0.7"/>
    <n v="-0.79200000000000004"/>
    <n v="0.64800000000000024"/>
    <x v="3"/>
    <x v="7"/>
  </r>
  <r>
    <n v="978"/>
    <s v="CA-2019-159366"/>
    <d v="2019-01-07T00:00:00"/>
    <x v="2"/>
    <x v="308"/>
    <s v="Detroit"/>
    <x v="12"/>
    <x v="2"/>
    <x v="2"/>
    <s v="Machines"/>
    <x v="156"/>
    <n v="3059.982"/>
    <n v="2"/>
    <n v="0.1"/>
    <n v="679.99599999999964"/>
    <n v="5507.9675999999999"/>
    <x v="3"/>
    <x v="9"/>
  </r>
  <r>
    <n v="979"/>
    <s v="CA-2018-145499"/>
    <d v="2018-05-30T00:00:00"/>
    <x v="2"/>
    <x v="355"/>
    <s v="Wilmington"/>
    <x v="3"/>
    <x v="0"/>
    <x v="1"/>
    <s v="Binders"/>
    <x v="520"/>
    <n v="3.2820000000000005"/>
    <n v="2"/>
    <n v="0.7"/>
    <n v="-2.6256000000000004"/>
    <n v="1.9692000000000005"/>
    <x v="0"/>
    <x v="5"/>
  </r>
  <r>
    <n v="980"/>
    <s v="CA-2017-157035"/>
    <d v="2017-12-09T00:00:00"/>
    <x v="2"/>
    <x v="33"/>
    <s v="Columbus"/>
    <x v="14"/>
    <x v="2"/>
    <x v="1"/>
    <s v="Paper"/>
    <x v="750"/>
    <n v="34.019999999999996"/>
    <n v="3"/>
    <n v="0"/>
    <n v="16.669799999999999"/>
    <n v="102.05999999999999"/>
    <x v="1"/>
    <x v="4"/>
  </r>
  <r>
    <n v="981"/>
    <s v="CA-2018-144939"/>
    <d v="2018-10-03T00:00:00"/>
    <x v="1"/>
    <x v="12"/>
    <s v="New York City"/>
    <x v="15"/>
    <x v="3"/>
    <x v="0"/>
    <s v="Chairs"/>
    <x v="637"/>
    <n v="599.29200000000003"/>
    <n v="6"/>
    <n v="0.1"/>
    <n v="93.223199999999977"/>
    <n v="3236.1768000000006"/>
    <x v="0"/>
    <x v="2"/>
  </r>
  <r>
    <n v="982"/>
    <s v="CA-2016-163419"/>
    <d v="2016-11-11T00:00:00"/>
    <x v="0"/>
    <x v="356"/>
    <s v="Louisville"/>
    <x v="22"/>
    <x v="1"/>
    <x v="1"/>
    <s v="Art"/>
    <x v="751"/>
    <n v="3.3920000000000003"/>
    <n v="1"/>
    <n v="0.2"/>
    <n v="0.80559999999999987"/>
    <n v="2.7136000000000005"/>
    <x v="2"/>
    <x v="0"/>
  </r>
  <r>
    <n v="983"/>
    <s v="CA-2016-163419"/>
    <d v="2016-11-11T00:00:00"/>
    <x v="0"/>
    <x v="356"/>
    <s v="Louisville"/>
    <x v="22"/>
    <x v="1"/>
    <x v="2"/>
    <s v="Phones"/>
    <x v="752"/>
    <n v="559.98400000000004"/>
    <n v="2"/>
    <n v="0.2"/>
    <n v="55.998400000000032"/>
    <n v="895.97440000000006"/>
    <x v="2"/>
    <x v="0"/>
  </r>
  <r>
    <n v="984"/>
    <s v="CA-2016-163419"/>
    <d v="2016-11-11T00:00:00"/>
    <x v="0"/>
    <x v="356"/>
    <s v="Louisville"/>
    <x v="22"/>
    <x v="1"/>
    <x v="0"/>
    <s v="Chairs"/>
    <x v="662"/>
    <n v="603.91999999999996"/>
    <n v="5"/>
    <n v="0.2"/>
    <n v="75.489999999999924"/>
    <n v="2415.6799999999998"/>
    <x v="2"/>
    <x v="0"/>
  </r>
  <r>
    <n v="985"/>
    <s v="CA-2019-100314"/>
    <d v="2019-09-29T00:00:00"/>
    <x v="1"/>
    <x v="357"/>
    <s v="Pasadena"/>
    <x v="5"/>
    <x v="2"/>
    <x v="1"/>
    <s v="Labels"/>
    <x v="639"/>
    <n v="7.9680000000000009"/>
    <n v="2"/>
    <n v="0.2"/>
    <n v="2.5895999999999999"/>
    <n v="12.748800000000003"/>
    <x v="3"/>
    <x v="8"/>
  </r>
  <r>
    <n v="986"/>
    <s v="CA-2019-100314"/>
    <d v="2019-09-29T00:00:00"/>
    <x v="1"/>
    <x v="357"/>
    <s v="Pasadena"/>
    <x v="5"/>
    <x v="2"/>
    <x v="1"/>
    <s v="Envelopes"/>
    <x v="753"/>
    <n v="27.968000000000004"/>
    <n v="4"/>
    <n v="0.2"/>
    <n v="9.4391999999999996"/>
    <n v="89.49760000000002"/>
    <x v="3"/>
    <x v="8"/>
  </r>
  <r>
    <n v="987"/>
    <s v="CA-2019-100314"/>
    <d v="2019-09-29T00:00:00"/>
    <x v="1"/>
    <x v="357"/>
    <s v="Pasadena"/>
    <x v="5"/>
    <x v="2"/>
    <x v="2"/>
    <s v="Machines"/>
    <x v="754"/>
    <n v="336.51"/>
    <n v="3"/>
    <n v="0.4"/>
    <n v="44.867999999999967"/>
    <n v="605.71799999999996"/>
    <x v="3"/>
    <x v="8"/>
  </r>
  <r>
    <n v="988"/>
    <s v="CA-2017-146829"/>
    <d v="2017-03-10T00:00:00"/>
    <x v="3"/>
    <x v="358"/>
    <s v="Houston"/>
    <x v="5"/>
    <x v="2"/>
    <x v="1"/>
    <s v="Binders"/>
    <x v="755"/>
    <n v="1.1119999999999997"/>
    <n v="2"/>
    <n v="0.8"/>
    <n v="-1.8904000000000001"/>
    <n v="0.44479999999999975"/>
    <x v="1"/>
    <x v="10"/>
  </r>
  <r>
    <n v="989"/>
    <s v="CA-2019-167899"/>
    <d v="2019-05-21T00:00:00"/>
    <x v="1"/>
    <x v="189"/>
    <s v="Auburn"/>
    <x v="15"/>
    <x v="3"/>
    <x v="0"/>
    <s v="Furnishings"/>
    <x v="575"/>
    <n v="520.05000000000007"/>
    <n v="5"/>
    <n v="0"/>
    <n v="72.807000000000031"/>
    <n v="2600.2500000000005"/>
    <x v="3"/>
    <x v="5"/>
  </r>
  <r>
    <n v="990"/>
    <s v="CA-2019-167899"/>
    <d v="2019-05-21T00:00:00"/>
    <x v="1"/>
    <x v="189"/>
    <s v="Auburn"/>
    <x v="15"/>
    <x v="3"/>
    <x v="1"/>
    <s v="Art"/>
    <x v="756"/>
    <n v="17.97"/>
    <n v="3"/>
    <n v="0"/>
    <n v="5.2112999999999996"/>
    <n v="53.91"/>
    <x v="3"/>
    <x v="5"/>
  </r>
  <r>
    <n v="991"/>
    <s v="CA-2017-153549"/>
    <d v="2017-03-29T00:00:00"/>
    <x v="0"/>
    <x v="359"/>
    <s v="Jacksonville"/>
    <x v="2"/>
    <x v="0"/>
    <x v="0"/>
    <s v="Chairs"/>
    <x v="284"/>
    <n v="1166.92"/>
    <n v="5"/>
    <n v="0.2"/>
    <n v="131.27849999999995"/>
    <n v="4667.68"/>
    <x v="1"/>
    <x v="10"/>
  </r>
  <r>
    <n v="992"/>
    <s v="CA-2018-110023"/>
    <d v="2018-09-09T00:00:00"/>
    <x v="2"/>
    <x v="59"/>
    <s v="New York City"/>
    <x v="15"/>
    <x v="3"/>
    <x v="1"/>
    <s v="Binders"/>
    <x v="624"/>
    <n v="14.624000000000002"/>
    <n v="2"/>
    <n v="0.2"/>
    <n v="5.484"/>
    <n v="23.398400000000006"/>
    <x v="0"/>
    <x v="8"/>
  </r>
  <r>
    <n v="993"/>
    <s v="CA-2018-105585"/>
    <d v="2018-08-26T00:00:00"/>
    <x v="2"/>
    <x v="288"/>
    <s v="San Jose"/>
    <x v="1"/>
    <x v="1"/>
    <x v="1"/>
    <s v="Fasteners"/>
    <x v="263"/>
    <n v="10.23"/>
    <n v="3"/>
    <n v="0"/>
    <n v="4.9104000000000001"/>
    <n v="30.69"/>
    <x v="0"/>
    <x v="6"/>
  </r>
  <r>
    <n v="994"/>
    <s v="CA-2018-105585"/>
    <d v="2018-08-26T00:00:00"/>
    <x v="2"/>
    <x v="288"/>
    <s v="San Jose"/>
    <x v="1"/>
    <x v="1"/>
    <x v="1"/>
    <s v="Paper"/>
    <x v="757"/>
    <n v="154.9"/>
    <n v="5"/>
    <n v="0"/>
    <n v="69.704999999999998"/>
    <n v="774.5"/>
    <x v="0"/>
    <x v="6"/>
  </r>
  <r>
    <n v="995"/>
    <s v="CA-2016-117639"/>
    <d v="2016-05-21T00:00:00"/>
    <x v="1"/>
    <x v="360"/>
    <s v="Virginia Beach"/>
    <x v="17"/>
    <x v="0"/>
    <x v="1"/>
    <s v="Binders"/>
    <x v="758"/>
    <n v="2715.9300000000003"/>
    <n v="7"/>
    <n v="0"/>
    <n v="1276.4871000000001"/>
    <n v="19011.510000000002"/>
    <x v="2"/>
    <x v="5"/>
  </r>
  <r>
    <n v="996"/>
    <s v="CA-2016-117639"/>
    <d v="2016-05-21T00:00:00"/>
    <x v="1"/>
    <x v="360"/>
    <s v="Virginia Beach"/>
    <x v="17"/>
    <x v="0"/>
    <x v="2"/>
    <s v="Phones"/>
    <x v="759"/>
    <n v="617.97"/>
    <n v="3"/>
    <n v="0"/>
    <n v="173.0316"/>
    <n v="1853.91"/>
    <x v="2"/>
    <x v="5"/>
  </r>
  <r>
    <n v="997"/>
    <s v="CA-2017-162537"/>
    <d v="2017-10-28T00:00:00"/>
    <x v="1"/>
    <x v="361"/>
    <s v="Henderson"/>
    <x v="0"/>
    <x v="0"/>
    <x v="1"/>
    <s v="Envelopes"/>
    <x v="760"/>
    <n v="10.67"/>
    <n v="1"/>
    <n v="0"/>
    <n v="4.9081999999999999"/>
    <n v="10.67"/>
    <x v="1"/>
    <x v="2"/>
  </r>
  <r>
    <n v="998"/>
    <s v="CA-2017-162537"/>
    <d v="2017-10-28T00:00:00"/>
    <x v="1"/>
    <x v="361"/>
    <s v="Henderson"/>
    <x v="0"/>
    <x v="0"/>
    <x v="1"/>
    <s v="Storage"/>
    <x v="761"/>
    <n v="36.630000000000003"/>
    <n v="3"/>
    <n v="0"/>
    <n v="9.8901000000000039"/>
    <n v="109.89000000000001"/>
    <x v="1"/>
    <x v="2"/>
  </r>
  <r>
    <n v="999"/>
    <s v="CA-2017-162537"/>
    <d v="2017-10-28T00:00:00"/>
    <x v="1"/>
    <x v="361"/>
    <s v="Henderson"/>
    <x v="0"/>
    <x v="0"/>
    <x v="0"/>
    <s v="Furnishings"/>
    <x v="762"/>
    <n v="24.1"/>
    <n v="5"/>
    <n v="0"/>
    <n v="9.1580000000000013"/>
    <n v="120.5"/>
    <x v="1"/>
    <x v="2"/>
  </r>
  <r>
    <n v="1000"/>
    <s v="CA-2017-162537"/>
    <d v="2017-10-28T00:00:00"/>
    <x v="1"/>
    <x v="361"/>
    <s v="Henderson"/>
    <x v="0"/>
    <x v="0"/>
    <x v="0"/>
    <s v="Furnishings"/>
    <x v="283"/>
    <n v="33.11"/>
    <n v="7"/>
    <n v="0"/>
    <n v="12.912900000000004"/>
    <n v="231.76999999999998"/>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353E45-A8C2-4D32-9D06-39FB4D208915}"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Top 5 Products">
  <location ref="M12:N18" firstHeaderRow="1" firstDataRow="1" firstDataCol="1"/>
  <pivotFields count="18">
    <pivotField showAll="0"/>
    <pivotField showAll="0"/>
    <pivotField numFmtId="14" showAll="0"/>
    <pivotField showAll="0"/>
    <pivotField showAll="0"/>
    <pivotField showAll="0"/>
    <pivotField showAll="0">
      <items count="41">
        <item x="19"/>
        <item x="16"/>
        <item x="36"/>
        <item x="1"/>
        <item x="22"/>
        <item x="29"/>
        <item x="13"/>
        <item x="2"/>
        <item x="32"/>
        <item x="10"/>
        <item x="14"/>
        <item x="23"/>
        <item x="0"/>
        <item x="28"/>
        <item x="39"/>
        <item x="31"/>
        <item x="12"/>
        <item x="11"/>
        <item x="35"/>
        <item x="25"/>
        <item x="37"/>
        <item x="8"/>
        <item x="33"/>
        <item x="38"/>
        <item x="30"/>
        <item x="27"/>
        <item x="15"/>
        <item x="3"/>
        <item x="24"/>
        <item x="26"/>
        <item x="21"/>
        <item x="9"/>
        <item x="34"/>
        <item x="20"/>
        <item x="18"/>
        <item x="5"/>
        <item x="7"/>
        <item x="17"/>
        <item x="4"/>
        <item x="6"/>
        <item t="default"/>
      </items>
    </pivotField>
    <pivotField showAll="0"/>
    <pivotField showAll="0">
      <items count="4">
        <item x="0"/>
        <item x="1"/>
        <item x="2"/>
        <item t="default"/>
      </items>
    </pivotField>
    <pivotField showAll="0"/>
    <pivotField axis="axisRow" showAll="0" measureFilter="1">
      <items count="764">
        <item x="753"/>
        <item x="588"/>
        <item x="318"/>
        <item x="36"/>
        <item x="77"/>
        <item x="560"/>
        <item x="352"/>
        <item x="345"/>
        <item x="408"/>
        <item x="620"/>
        <item x="182"/>
        <item x="401"/>
        <item x="74"/>
        <item x="93"/>
        <item x="297"/>
        <item x="237"/>
        <item x="167"/>
        <item x="410"/>
        <item x="315"/>
        <item x="719"/>
        <item x="732"/>
        <item x="31"/>
        <item x="696"/>
        <item x="536"/>
        <item x="61"/>
        <item x="636"/>
        <item x="22"/>
        <item x="755"/>
        <item x="605"/>
        <item x="354"/>
        <item x="682"/>
        <item x="660"/>
        <item x="675"/>
        <item x="169"/>
        <item x="597"/>
        <item x="515"/>
        <item x="557"/>
        <item x="503"/>
        <item x="320"/>
        <item x="162"/>
        <item x="562"/>
        <item x="227"/>
        <item x="670"/>
        <item x="253"/>
        <item x="246"/>
        <item x="203"/>
        <item x="42"/>
        <item x="493"/>
        <item x="659"/>
        <item x="52"/>
        <item x="196"/>
        <item x="457"/>
        <item x="263"/>
        <item x="485"/>
        <item x="555"/>
        <item x="337"/>
        <item x="494"/>
        <item x="429"/>
        <item x="391"/>
        <item x="373"/>
        <item x="250"/>
        <item x="702"/>
        <item x="347"/>
        <item x="520"/>
        <item x="126"/>
        <item x="141"/>
        <item x="701"/>
        <item x="432"/>
        <item x="57"/>
        <item x="116"/>
        <item x="288"/>
        <item x="302"/>
        <item x="53"/>
        <item x="506"/>
        <item x="173"/>
        <item x="37"/>
        <item x="179"/>
        <item x="150"/>
        <item x="580"/>
        <item x="488"/>
        <item x="617"/>
        <item x="547"/>
        <item x="688"/>
        <item x="690"/>
        <item x="49"/>
        <item x="676"/>
        <item x="255"/>
        <item x="579"/>
        <item x="522"/>
        <item x="639"/>
        <item x="199"/>
        <item x="607"/>
        <item x="286"/>
        <item x="166"/>
        <item x="85"/>
        <item x="264"/>
        <item x="573"/>
        <item x="149"/>
        <item x="396"/>
        <item x="322"/>
        <item x="68"/>
        <item x="614"/>
        <item x="109"/>
        <item x="554"/>
        <item x="739"/>
        <item x="122"/>
        <item x="743"/>
        <item x="570"/>
        <item x="78"/>
        <item x="98"/>
        <item x="359"/>
        <item x="307"/>
        <item x="96"/>
        <item x="176"/>
        <item x="276"/>
        <item x="481"/>
        <item x="27"/>
        <item x="734"/>
        <item x="102"/>
        <item x="243"/>
        <item x="438"/>
        <item x="233"/>
        <item x="643"/>
        <item x="143"/>
        <item x="321"/>
        <item x="9"/>
        <item x="650"/>
        <item x="550"/>
        <item x="403"/>
        <item x="611"/>
        <item x="535"/>
        <item x="387"/>
        <item x="210"/>
        <item x="121"/>
        <item x="735"/>
        <item x="258"/>
        <item x="363"/>
        <item x="371"/>
        <item x="601"/>
        <item x="751"/>
        <item x="155"/>
        <item x="313"/>
        <item x="705"/>
        <item x="183"/>
        <item x="581"/>
        <item x="184"/>
        <item x="589"/>
        <item x="257"/>
        <item x="400"/>
        <item x="666"/>
        <item x="626"/>
        <item x="281"/>
        <item x="30"/>
        <item x="290"/>
        <item x="189"/>
        <item x="277"/>
        <item x="190"/>
        <item x="489"/>
        <item x="3"/>
        <item x="216"/>
        <item x="618"/>
        <item x="756"/>
        <item x="370"/>
        <item x="411"/>
        <item x="215"/>
        <item x="574"/>
        <item x="415"/>
        <item x="0"/>
        <item x="712"/>
        <item x="266"/>
        <item x="633"/>
        <item x="388"/>
        <item x="456"/>
        <item x="292"/>
        <item x="349"/>
        <item x="624"/>
        <item x="591"/>
        <item x="416"/>
        <item x="473"/>
        <item x="530"/>
        <item x="460"/>
        <item x="594"/>
        <item x="561"/>
        <item x="10"/>
        <item x="616"/>
        <item x="524"/>
        <item x="201"/>
        <item x="240"/>
        <item x="19"/>
        <item x="495"/>
        <item x="424"/>
        <item x="638"/>
        <item x="665"/>
        <item x="440"/>
        <item x="647"/>
        <item x="558"/>
        <item x="599"/>
        <item x="283"/>
        <item x="627"/>
        <item x="48"/>
        <item x="744"/>
        <item x="436"/>
        <item x="379"/>
        <item x="117"/>
        <item x="746"/>
        <item x="356"/>
        <item x="504"/>
        <item x="136"/>
        <item x="377"/>
        <item x="346"/>
        <item x="572"/>
        <item x="500"/>
        <item x="514"/>
        <item x="748"/>
        <item x="698"/>
        <item x="526"/>
        <item x="527"/>
        <item x="185"/>
        <item x="421"/>
        <item x="101"/>
        <item x="480"/>
        <item x="442"/>
        <item x="736"/>
        <item x="287"/>
        <item x="684"/>
        <item x="709"/>
        <item x="404"/>
        <item x="382"/>
        <item x="628"/>
        <item x="679"/>
        <item x="319"/>
        <item x="291"/>
        <item x="508"/>
        <item x="8"/>
        <item x="33"/>
        <item x="417"/>
        <item x="73"/>
        <item x="546"/>
        <item x="225"/>
        <item x="545"/>
        <item x="192"/>
        <item x="41"/>
        <item x="125"/>
        <item x="269"/>
        <item x="76"/>
        <item x="285"/>
        <item x="5"/>
        <item x="4"/>
        <item x="465"/>
        <item x="393"/>
        <item x="86"/>
        <item x="700"/>
        <item x="254"/>
        <item x="645"/>
        <item x="325"/>
        <item x="278"/>
        <item x="35"/>
        <item x="622"/>
        <item x="476"/>
        <item x="381"/>
        <item x="238"/>
        <item x="191"/>
        <item x="474"/>
        <item x="549"/>
        <item x="642"/>
        <item x="206"/>
        <item x="452"/>
        <item x="282"/>
        <item x="586"/>
        <item x="730"/>
        <item x="399"/>
        <item x="392"/>
        <item x="95"/>
        <item x="673"/>
        <item x="699"/>
        <item x="717"/>
        <item x="571"/>
        <item x="435"/>
        <item x="13"/>
        <item x="758"/>
        <item x="451"/>
        <item x="231"/>
        <item x="414"/>
        <item x="663"/>
        <item x="621"/>
        <item x="426"/>
        <item x="17"/>
        <item x="513"/>
        <item x="330"/>
        <item x="298"/>
        <item x="551"/>
        <item x="610"/>
        <item x="134"/>
        <item x="92"/>
        <item x="275"/>
        <item x="703"/>
        <item x="280"/>
        <item x="115"/>
        <item x="316"/>
        <item x="612"/>
        <item x="692"/>
        <item x="214"/>
        <item x="625"/>
        <item x="582"/>
        <item x="301"/>
        <item x="491"/>
        <item x="142"/>
        <item x="383"/>
        <item x="669"/>
        <item x="655"/>
        <item x="608"/>
        <item x="444"/>
        <item x="338"/>
        <item x="261"/>
        <item x="380"/>
        <item x="497"/>
        <item x="133"/>
        <item x="517"/>
        <item x="34"/>
        <item x="397"/>
        <item x="713"/>
        <item x="662"/>
        <item x="464"/>
        <item x="120"/>
        <item x="268"/>
        <item x="23"/>
        <item x="390"/>
        <item x="323"/>
        <item x="38"/>
        <item x="406"/>
        <item x="654"/>
        <item x="229"/>
        <item x="51"/>
        <item x="212"/>
        <item x="531"/>
        <item x="213"/>
        <item x="124"/>
        <item x="445"/>
        <item x="64"/>
        <item x="164"/>
        <item x="118"/>
        <item x="197"/>
        <item x="45"/>
        <item x="529"/>
        <item x="458"/>
        <item x="634"/>
        <item x="615"/>
        <item x="306"/>
        <item x="70"/>
        <item x="336"/>
        <item x="667"/>
        <item x="14"/>
        <item x="54"/>
        <item x="299"/>
        <item x="284"/>
        <item x="623"/>
        <item x="407"/>
        <item x="309"/>
        <item x="483"/>
        <item x="1"/>
        <item x="499"/>
        <item x="629"/>
        <item x="378"/>
        <item x="342"/>
        <item x="114"/>
        <item x="228"/>
        <item x="532"/>
        <item x="566"/>
        <item x="518"/>
        <item x="484"/>
        <item x="689"/>
        <item x="267"/>
        <item x="592"/>
        <item x="568"/>
        <item x="28"/>
        <item x="441"/>
        <item x="175"/>
        <item x="65"/>
        <item x="108"/>
        <item x="724"/>
        <item x="180"/>
        <item x="509"/>
        <item x="569"/>
        <item x="270"/>
        <item x="674"/>
        <item x="303"/>
        <item x="91"/>
        <item x="132"/>
        <item x="431"/>
        <item x="577"/>
        <item x="463"/>
        <item x="538"/>
        <item x="46"/>
        <item x="25"/>
        <item x="172"/>
        <item x="427"/>
        <item x="386"/>
        <item x="144"/>
        <item x="539"/>
        <item x="161"/>
        <item x="81"/>
        <item x="728"/>
        <item x="722"/>
        <item x="564"/>
        <item x="165"/>
        <item x="160"/>
        <item x="648"/>
        <item x="375"/>
        <item x="224"/>
        <item x="658"/>
        <item x="119"/>
        <item x="11"/>
        <item x="584"/>
        <item x="691"/>
        <item x="760"/>
        <item x="152"/>
        <item x="718"/>
        <item x="385"/>
        <item x="344"/>
        <item x="156"/>
        <item x="47"/>
        <item x="477"/>
        <item x="635"/>
        <item x="677"/>
        <item x="697"/>
        <item x="247"/>
        <item x="687"/>
        <item x="695"/>
        <item x="428"/>
        <item x="409"/>
        <item x="100"/>
        <item x="434"/>
        <item x="343"/>
        <item x="234"/>
        <item x="265"/>
        <item x="295"/>
        <item x="590"/>
        <item x="606"/>
        <item x="106"/>
        <item x="603"/>
        <item x="84"/>
        <item x="685"/>
        <item x="218"/>
        <item x="50"/>
        <item x="32"/>
        <item x="63"/>
        <item x="741"/>
        <item x="221"/>
        <item x="575"/>
        <item x="762"/>
        <item x="107"/>
        <item x="598"/>
        <item x="466"/>
        <item x="505"/>
        <item x="534"/>
        <item x="559"/>
        <item x="720"/>
        <item x="678"/>
        <item x="716"/>
        <item x="198"/>
        <item x="405"/>
        <item x="103"/>
        <item x="731"/>
        <item x="259"/>
        <item x="632"/>
        <item x="333"/>
        <item x="241"/>
        <item x="533"/>
        <item x="7"/>
        <item x="646"/>
        <item x="516"/>
        <item x="462"/>
        <item x="521"/>
        <item x="331"/>
        <item x="293"/>
        <item x="66"/>
        <item x="148"/>
        <item x="512"/>
        <item x="311"/>
        <item x="455"/>
        <item x="21"/>
        <item x="649"/>
        <item x="6"/>
        <item x="332"/>
        <item x="454"/>
        <item x="251"/>
        <item x="563"/>
        <item x="501"/>
        <item x="324"/>
        <item x="671"/>
        <item x="686"/>
        <item x="18"/>
        <item x="402"/>
        <item x="135"/>
        <item x="449"/>
        <item x="398"/>
        <item x="279"/>
        <item x="105"/>
        <item x="174"/>
        <item x="193"/>
        <item x="348"/>
        <item x="704"/>
        <item x="368"/>
        <item x="83"/>
        <item x="56"/>
        <item x="613"/>
        <item x="335"/>
        <item x="747"/>
        <item x="637"/>
        <item x="395"/>
        <item x="541"/>
        <item x="294"/>
        <item x="310"/>
        <item x="204"/>
        <item x="110"/>
        <item x="200"/>
        <item x="672"/>
        <item x="367"/>
        <item x="604"/>
        <item x="430"/>
        <item x="587"/>
        <item x="721"/>
        <item x="168"/>
        <item x="195"/>
        <item x="470"/>
        <item x="40"/>
        <item x="708"/>
        <item x="496"/>
        <item x="450"/>
        <item x="178"/>
        <item x="602"/>
        <item x="328"/>
        <item x="140"/>
        <item x="39"/>
        <item x="619"/>
        <item x="759"/>
        <item x="58"/>
        <item x="412"/>
        <item x="29"/>
        <item x="715"/>
        <item x="761"/>
        <item x="252"/>
        <item x="425"/>
        <item x="59"/>
        <item x="262"/>
        <item x="413"/>
        <item x="472"/>
        <item x="542"/>
        <item x="79"/>
        <item x="186"/>
        <item x="249"/>
        <item x="525"/>
        <item x="223"/>
        <item x="664"/>
        <item x="242"/>
        <item x="657"/>
        <item x="651"/>
        <item x="595"/>
        <item x="422"/>
        <item x="528"/>
        <item x="576"/>
        <item x="245"/>
        <item x="507"/>
        <item x="502"/>
        <item x="111"/>
        <item x="248"/>
        <item x="737"/>
        <item x="26"/>
        <item x="211"/>
        <item x="448"/>
        <item x="256"/>
        <item x="300"/>
        <item x="726"/>
        <item x="235"/>
        <item x="158"/>
        <item x="418"/>
        <item x="244"/>
        <item x="468"/>
        <item x="236"/>
        <item x="82"/>
        <item x="72"/>
        <item x="226"/>
        <item x="631"/>
        <item x="420"/>
        <item x="752"/>
        <item x="453"/>
        <item x="478"/>
        <item x="177"/>
        <item x="97"/>
        <item x="131"/>
        <item x="170"/>
        <item x="159"/>
        <item x="725"/>
        <item x="209"/>
        <item x="492"/>
        <item x="138"/>
        <item x="317"/>
        <item x="419"/>
        <item x="661"/>
        <item x="2"/>
        <item x="365"/>
        <item x="653"/>
        <item x="90"/>
        <item x="139"/>
        <item x="596"/>
        <item x="361"/>
        <item x="75"/>
        <item x="475"/>
        <item x="641"/>
        <item x="67"/>
        <item x="552"/>
        <item x="341"/>
        <item x="357"/>
        <item x="202"/>
        <item x="437"/>
        <item x="80"/>
        <item x="693"/>
        <item x="565"/>
        <item x="145"/>
        <item x="188"/>
        <item x="339"/>
        <item x="556"/>
        <item x="157"/>
        <item x="104"/>
        <item x="433"/>
        <item x="312"/>
        <item x="340"/>
        <item x="733"/>
        <item x="208"/>
        <item x="153"/>
        <item x="360"/>
        <item x="683"/>
        <item x="327"/>
        <item x="222"/>
        <item x="128"/>
        <item x="471"/>
        <item x="305"/>
        <item x="15"/>
        <item x="446"/>
        <item x="439"/>
        <item x="16"/>
        <item x="355"/>
        <item x="207"/>
        <item x="69"/>
        <item x="296"/>
        <item x="583"/>
        <item x="469"/>
        <item x="217"/>
        <item x="171"/>
        <item x="147"/>
        <item x="71"/>
        <item x="486"/>
        <item x="194"/>
        <item x="537"/>
        <item x="459"/>
        <item x="273"/>
        <item x="706"/>
        <item x="593"/>
        <item x="123"/>
        <item x="94"/>
        <item x="553"/>
        <item x="543"/>
        <item x="308"/>
        <item x="351"/>
        <item x="87"/>
        <item x="113"/>
        <item x="232"/>
        <item x="99"/>
        <item x="740"/>
        <item x="540"/>
        <item x="567"/>
        <item x="43"/>
        <item x="60"/>
        <item x="271"/>
        <item x="443"/>
        <item x="754"/>
        <item x="376"/>
        <item x="205"/>
        <item x="467"/>
        <item x="447"/>
        <item x="374"/>
        <item x="326"/>
        <item x="24"/>
        <item x="350"/>
        <item x="304"/>
        <item x="749"/>
        <item x="707"/>
        <item x="20"/>
        <item x="154"/>
        <item x="44"/>
        <item x="714"/>
        <item x="544"/>
        <item x="362"/>
        <item x="727"/>
        <item x="187"/>
        <item x="230"/>
        <item x="364"/>
        <item x="384"/>
        <item x="479"/>
        <item x="750"/>
        <item x="130"/>
        <item x="314"/>
        <item x="146"/>
        <item x="681"/>
        <item x="640"/>
        <item x="519"/>
        <item x="511"/>
        <item x="389"/>
        <item x="482"/>
        <item x="366"/>
        <item x="369"/>
        <item x="694"/>
        <item x="137"/>
        <item x="423"/>
        <item x="163"/>
        <item x="127"/>
        <item x="151"/>
        <item x="112"/>
        <item x="710"/>
        <item x="630"/>
        <item x="329"/>
        <item x="711"/>
        <item x="274"/>
        <item x="656"/>
        <item x="62"/>
        <item x="129"/>
        <item x="220"/>
        <item x="353"/>
        <item x="609"/>
        <item x="334"/>
        <item x="600"/>
        <item x="12"/>
        <item x="652"/>
        <item x="523"/>
        <item x="358"/>
        <item x="578"/>
        <item x="757"/>
        <item x="723"/>
        <item x="372"/>
        <item x="548"/>
        <item x="88"/>
        <item x="89"/>
        <item x="680"/>
        <item x="181"/>
        <item x="289"/>
        <item x="738"/>
        <item x="745"/>
        <item x="729"/>
        <item x="260"/>
        <item x="644"/>
        <item x="585"/>
        <item x="498"/>
        <item x="272"/>
        <item x="510"/>
        <item x="490"/>
        <item x="55"/>
        <item x="219"/>
        <item x="394"/>
        <item x="239"/>
        <item x="461"/>
        <item x="668"/>
        <item x="487"/>
        <item x="742"/>
        <item t="default"/>
      </items>
    </pivotField>
    <pivotField numFmtId="164" showAll="0"/>
    <pivotField showAll="0"/>
    <pivotField showAll="0"/>
    <pivotField numFmtId="164" showAll="0"/>
    <pivotField dataField="1" numFmtId="164" showAll="0"/>
    <pivotField showAll="0">
      <items count="5">
        <item x="2"/>
        <item x="1"/>
        <item x="0"/>
        <item x="3"/>
        <item t="default"/>
      </items>
    </pivotField>
    <pivotField showAll="0">
      <items count="13">
        <item x="9"/>
        <item x="11"/>
        <item x="10"/>
        <item x="3"/>
        <item x="5"/>
        <item x="1"/>
        <item x="7"/>
        <item x="6"/>
        <item x="8"/>
        <item x="2"/>
        <item x="0"/>
        <item x="4"/>
        <item t="default"/>
      </items>
    </pivotField>
  </pivotFields>
  <rowFields count="1">
    <field x="10"/>
  </rowFields>
  <rowItems count="6">
    <i>
      <x v="279"/>
    </i>
    <i>
      <x v="280"/>
    </i>
    <i>
      <x v="359"/>
    </i>
    <i>
      <x v="419"/>
    </i>
    <i>
      <x v="442"/>
    </i>
    <i t="grand">
      <x/>
    </i>
  </rowItems>
  <colItems count="1">
    <i/>
  </colItems>
  <dataFields count="1">
    <dataField name="Sum of Amount" fld="15" baseField="10" baseItem="280" numFmtId="164"/>
  </dataFields>
  <formats count="23">
    <format dxfId="118">
      <pivotArea field="10" type="button" dataOnly="0" labelOnly="1" outline="0" axis="axisRow" fieldPosition="0"/>
    </format>
    <format dxfId="117">
      <pivotArea dataOnly="0" labelOnly="1" outline="0" axis="axisValues" fieldPosition="0"/>
    </format>
    <format dxfId="116">
      <pivotArea collapsedLevelsAreSubtotals="1" fieldPosition="0">
        <references count="1">
          <reference field="10" count="5">
            <x v="279"/>
            <x v="280"/>
            <x v="359"/>
            <x v="419"/>
            <x v="442"/>
          </reference>
        </references>
      </pivotArea>
    </format>
    <format dxfId="115">
      <pivotArea dataOnly="0" labelOnly="1" fieldPosition="0">
        <references count="1">
          <reference field="10" count="5">
            <x v="279"/>
            <x v="280"/>
            <x v="359"/>
            <x v="419"/>
            <x v="442"/>
          </reference>
        </references>
      </pivotArea>
    </format>
    <format dxfId="114">
      <pivotArea dataOnly="0" labelOnly="1" fieldPosition="0">
        <references count="1">
          <reference field="10" count="4">
            <x v="279"/>
            <x v="280"/>
            <x v="359"/>
            <x v="419"/>
          </reference>
        </references>
      </pivotArea>
    </format>
    <format dxfId="113">
      <pivotArea dataOnly="0" labelOnly="1" fieldPosition="0">
        <references count="1">
          <reference field="10" count="1">
            <x v="442"/>
          </reference>
        </references>
      </pivotArea>
    </format>
    <format dxfId="112">
      <pivotArea dataOnly="0" labelOnly="1" grandRow="1" outline="0" fieldPosition="0"/>
    </format>
    <format dxfId="111">
      <pivotArea grandRow="1" outline="0" collapsedLevelsAreSubtotals="1" fieldPosition="0"/>
    </format>
    <format dxfId="110">
      <pivotArea field="10" type="button" dataOnly="0" labelOnly="1" outline="0" axis="axisRow" fieldPosition="0"/>
    </format>
    <format dxfId="109">
      <pivotArea dataOnly="0" labelOnly="1" outline="0" axis="axisValues" fieldPosition="0"/>
    </format>
    <format dxfId="108">
      <pivotArea dataOnly="0" labelOnly="1" grandRow="1" outline="0" fieldPosition="0"/>
    </format>
    <format dxfId="107">
      <pivotArea grandRow="1" outline="0" collapsedLevelsAreSubtotals="1" fieldPosition="0"/>
    </format>
    <format dxfId="106">
      <pivotArea field="10" type="button" dataOnly="0" labelOnly="1" outline="0" axis="axisRow" fieldPosition="0"/>
    </format>
    <format dxfId="105">
      <pivotArea dataOnly="0" labelOnly="1" outline="0" axis="axisValues" fieldPosition="0"/>
    </format>
    <format dxfId="104">
      <pivotArea dataOnly="0" labelOnly="1" grandRow="1" outline="0" fieldPosition="0"/>
    </format>
    <format dxfId="103">
      <pivotArea dataOnly="0" labelOnly="1" fieldPosition="0">
        <references count="1">
          <reference field="10" count="5">
            <x v="191"/>
            <x v="279"/>
            <x v="447"/>
            <x v="524"/>
            <x v="556"/>
          </reference>
        </references>
      </pivotArea>
    </format>
    <format dxfId="102">
      <pivotArea dataOnly="0" labelOnly="1" fieldPosition="0">
        <references count="1">
          <reference field="10" count="5">
            <x v="191"/>
            <x v="279"/>
            <x v="447"/>
            <x v="524"/>
            <x v="556"/>
          </reference>
        </references>
      </pivotArea>
    </format>
    <format dxfId="101">
      <pivotArea collapsedLevelsAreSubtotals="1" fieldPosition="0">
        <references count="1">
          <reference field="10" count="5">
            <x v="191"/>
            <x v="279"/>
            <x v="447"/>
            <x v="524"/>
            <x v="556"/>
          </reference>
        </references>
      </pivotArea>
    </format>
    <format dxfId="100">
      <pivotArea dataOnly="0" labelOnly="1" fieldPosition="0">
        <references count="1">
          <reference field="10" count="5">
            <x v="298"/>
            <x v="419"/>
            <x v="442"/>
            <x v="458"/>
            <x v="567"/>
          </reference>
        </references>
      </pivotArea>
    </format>
    <format dxfId="99">
      <pivotArea collapsedLevelsAreSubtotals="1" fieldPosition="0">
        <references count="1">
          <reference field="10" count="5">
            <x v="298"/>
            <x v="419"/>
            <x v="442"/>
            <x v="458"/>
            <x v="567"/>
          </reference>
        </references>
      </pivotArea>
    </format>
    <format dxfId="98">
      <pivotArea dataOnly="0" labelOnly="1" fieldPosition="0">
        <references count="1">
          <reference field="10" count="4">
            <x v="417"/>
            <x v="506"/>
            <x v="634"/>
            <x v="676"/>
          </reference>
        </references>
      </pivotArea>
    </format>
    <format dxfId="97">
      <pivotArea dataOnly="0" labelOnly="1" fieldPosition="0">
        <references count="1">
          <reference field="10" count="1">
            <x v="208"/>
          </reference>
        </references>
      </pivotArea>
    </format>
    <format dxfId="96">
      <pivotArea collapsedLevelsAreSubtotals="1" fieldPosition="0">
        <references count="1">
          <reference field="10" count="5">
            <x v="208"/>
            <x v="417"/>
            <x v="506"/>
            <x v="634"/>
            <x v="676"/>
          </reference>
        </references>
      </pivotArea>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8F7D20-91C1-4E4F-895D-8B02E58C1A8D}" name="PivotTable4"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rowHeaderCaption="State">
  <location ref="G2:H42" firstHeaderRow="1" firstDataRow="1" firstDataCol="1"/>
  <pivotFields count="18">
    <pivotField showAll="0"/>
    <pivotField showAll="0"/>
    <pivotField numFmtId="14" showAll="0"/>
    <pivotField showAll="0"/>
    <pivotField showAll="0"/>
    <pivotField showAll="0"/>
    <pivotField axis="axisRow" showAll="0">
      <items count="41">
        <item x="19"/>
        <item x="16"/>
        <item x="36"/>
        <item x="1"/>
        <item x="22"/>
        <item x="29"/>
        <item x="13"/>
        <item x="2"/>
        <item x="32"/>
        <item x="10"/>
        <item x="14"/>
        <item x="23"/>
        <item x="0"/>
        <item x="28"/>
        <item x="39"/>
        <item x="31"/>
        <item x="12"/>
        <item x="11"/>
        <item x="35"/>
        <item x="25"/>
        <item x="37"/>
        <item x="8"/>
        <item x="33"/>
        <item x="38"/>
        <item x="30"/>
        <item x="27"/>
        <item x="15"/>
        <item x="3"/>
        <item x="24"/>
        <item x="26"/>
        <item x="21"/>
        <item x="9"/>
        <item x="34"/>
        <item x="20"/>
        <item x="18"/>
        <item x="5"/>
        <item x="7"/>
        <item x="17"/>
        <item x="4"/>
        <item x="6"/>
        <item t="default"/>
      </items>
    </pivotField>
    <pivotField showAll="0"/>
    <pivotField showAll="0">
      <items count="4">
        <item x="0"/>
        <item x="1"/>
        <item x="2"/>
        <item t="default"/>
      </items>
    </pivotField>
    <pivotField showAll="0"/>
    <pivotField showAll="0"/>
    <pivotField numFmtId="164" showAll="0"/>
    <pivotField showAll="0"/>
    <pivotField showAll="0"/>
    <pivotField numFmtId="164" showAll="0"/>
    <pivotField dataField="1" numFmtId="164" showAll="0"/>
    <pivotField showAll="0">
      <items count="5">
        <item x="2"/>
        <item x="1"/>
        <item x="0"/>
        <item x="3"/>
        <item t="default"/>
      </items>
    </pivotField>
    <pivotField showAll="0">
      <items count="13">
        <item x="9"/>
        <item x="11"/>
        <item x="10"/>
        <item x="3"/>
        <item x="5"/>
        <item x="1"/>
        <item x="7"/>
        <item x="6"/>
        <item x="8"/>
        <item x="2"/>
        <item x="0"/>
        <item x="4"/>
        <item t="default"/>
      </items>
    </pivotField>
  </pivotFields>
  <rowFields count="1">
    <field x="6"/>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rowItems>
  <colItems count="1">
    <i/>
  </colItems>
  <dataFields count="1">
    <dataField name="Sum of Amount" fld="15" baseField="6" baseItem="0" numFmtId="164"/>
  </dataFields>
  <formats count="57">
    <format dxfId="175">
      <pivotArea collapsedLevelsAreSubtotals="1" fieldPosition="0">
        <references count="1">
          <reference field="6" count="1">
            <x v="5"/>
          </reference>
        </references>
      </pivotArea>
    </format>
    <format dxfId="174">
      <pivotArea outline="0" fieldPosition="0">
        <references count="1">
          <reference field="4294967294" count="1">
            <x v="0"/>
          </reference>
        </references>
      </pivotArea>
    </format>
    <format dxfId="173">
      <pivotArea type="all" dataOnly="0" outline="0" fieldPosition="0"/>
    </format>
    <format dxfId="172">
      <pivotArea outline="0" collapsedLevelsAreSubtotals="1" fieldPosition="0"/>
    </format>
    <format dxfId="171">
      <pivotArea field="6" type="button" dataOnly="0" labelOnly="1" outline="0" axis="axisRow" fieldPosition="0"/>
    </format>
    <format dxfId="170">
      <pivotArea dataOnly="0" labelOnly="1" fieldPosition="0">
        <references count="1">
          <reference field="6" count="0"/>
        </references>
      </pivotArea>
    </format>
    <format dxfId="169">
      <pivotArea dataOnly="0" labelOnly="1" grandRow="1" outline="0" fieldPosition="0"/>
    </format>
    <format dxfId="168">
      <pivotArea dataOnly="0" labelOnly="1" outline="0" axis="axisValues" fieldPosition="0"/>
    </format>
    <format dxfId="167">
      <pivotArea type="all" dataOnly="0" outline="0" fieldPosition="0"/>
    </format>
    <format dxfId="166">
      <pivotArea outline="0" collapsedLevelsAreSubtotals="1" fieldPosition="0"/>
    </format>
    <format dxfId="165">
      <pivotArea field="6" type="button" dataOnly="0" labelOnly="1" outline="0" axis="axisRow" fieldPosition="0"/>
    </format>
    <format dxfId="164">
      <pivotArea dataOnly="0" labelOnly="1" fieldPosition="0">
        <references count="1">
          <reference field="6" count="0"/>
        </references>
      </pivotArea>
    </format>
    <format dxfId="163">
      <pivotArea dataOnly="0" labelOnly="1" outline="0" axis="axisValues" fieldPosition="0"/>
    </format>
    <format dxfId="162">
      <pivotArea type="all" dataOnly="0" outline="0" fieldPosition="0"/>
    </format>
    <format dxfId="161">
      <pivotArea outline="0" collapsedLevelsAreSubtotals="1" fieldPosition="0"/>
    </format>
    <format dxfId="160">
      <pivotArea field="6" type="button" dataOnly="0" labelOnly="1" outline="0" axis="axisRow" fieldPosition="0"/>
    </format>
    <format dxfId="159">
      <pivotArea dataOnly="0" labelOnly="1" fieldPosition="0">
        <references count="1">
          <reference field="6" count="0"/>
        </references>
      </pivotArea>
    </format>
    <format dxfId="158">
      <pivotArea dataOnly="0" labelOnly="1" outline="0" axis="axisValues" fieldPosition="0"/>
    </format>
    <format dxfId="157">
      <pivotArea field="6" type="button" dataOnly="0" labelOnly="1" outline="0" axis="axisRow" fieldPosition="0"/>
    </format>
    <format dxfId="156">
      <pivotArea dataOnly="0" labelOnly="1" outline="0" axis="axisValues" fieldPosition="0"/>
    </format>
    <format dxfId="155">
      <pivotArea type="all" dataOnly="0" outline="0" fieldPosition="0"/>
    </format>
    <format dxfId="154">
      <pivotArea outline="0" collapsedLevelsAreSubtotals="1" fieldPosition="0"/>
    </format>
    <format dxfId="153">
      <pivotArea field="6" type="button" dataOnly="0" labelOnly="1" outline="0" axis="axisRow" fieldPosition="0"/>
    </format>
    <format dxfId="152">
      <pivotArea dataOnly="0" labelOnly="1" fieldPosition="0">
        <references count="1">
          <reference field="6" count="0"/>
        </references>
      </pivotArea>
    </format>
    <format dxfId="151">
      <pivotArea dataOnly="0" labelOnly="1" outline="0" axis="axisValues" fieldPosition="0"/>
    </format>
    <format dxfId="150">
      <pivotArea outline="0" collapsedLevelsAreSubtotals="1" fieldPosition="0"/>
    </format>
    <format dxfId="149">
      <pivotArea outline="0" collapsedLevelsAreSubtotals="1" fieldPosition="0"/>
    </format>
    <format dxfId="148">
      <pivotArea dataOnly="0" labelOnly="1" fieldPosition="0">
        <references count="1">
          <reference field="6" count="0"/>
        </references>
      </pivotArea>
    </format>
    <format dxfId="147">
      <pivotArea field="6" type="button" dataOnly="0" labelOnly="1" outline="0" axis="axisRow" fieldPosition="0"/>
    </format>
    <format dxfId="146">
      <pivotArea dataOnly="0" labelOnly="1" outline="0" axis="axisValues" fieldPosition="0"/>
    </format>
    <format dxfId="145">
      <pivotArea field="6" type="button" dataOnly="0" labelOnly="1" outline="0" axis="axisRow" fieldPosition="0"/>
    </format>
    <format dxfId="144">
      <pivotArea field="6" type="button" dataOnly="0" labelOnly="1" outline="0" axis="axisRow" fieldPosition="0"/>
    </format>
    <format dxfId="143">
      <pivotArea dataOnly="0" labelOnly="1" outline="0" axis="axisValues" fieldPosition="0"/>
    </format>
    <format dxfId="142">
      <pivotArea dataOnly="0" labelOnly="1" outline="0" axis="axisValues" fieldPosition="0"/>
    </format>
    <format dxfId="141">
      <pivotArea type="all" dataOnly="0" outline="0" fieldPosition="0"/>
    </format>
    <format dxfId="140">
      <pivotArea outline="0" collapsedLevelsAreSubtotals="1" fieldPosition="0"/>
    </format>
    <format dxfId="139">
      <pivotArea field="6" type="button" dataOnly="0" labelOnly="1" outline="0" axis="axisRow" fieldPosition="0"/>
    </format>
    <format dxfId="138">
      <pivotArea dataOnly="0" labelOnly="1" fieldPosition="0">
        <references count="1">
          <reference field="6" count="0"/>
        </references>
      </pivotArea>
    </format>
    <format dxfId="137">
      <pivotArea dataOnly="0" labelOnly="1" outline="0" axis="axisValues" fieldPosition="0"/>
    </format>
    <format dxfId="136">
      <pivotArea type="all" dataOnly="0" outline="0" fieldPosition="0"/>
    </format>
    <format dxfId="135">
      <pivotArea type="all" dataOnly="0" outline="0" fieldPosition="0"/>
    </format>
    <format dxfId="134">
      <pivotArea outline="0" collapsedLevelsAreSubtotals="1" fieldPosition="0"/>
    </format>
    <format dxfId="133">
      <pivotArea field="6" type="button" dataOnly="0" labelOnly="1" outline="0" axis="axisRow" fieldPosition="0"/>
    </format>
    <format dxfId="132">
      <pivotArea dataOnly="0" labelOnly="1" fieldPosition="0">
        <references count="1">
          <reference field="6" count="0"/>
        </references>
      </pivotArea>
    </format>
    <format dxfId="131">
      <pivotArea dataOnly="0" labelOnly="1" outline="0" axis="axisValues" fieldPosition="0"/>
    </format>
    <format dxfId="130">
      <pivotArea field="6" type="button" dataOnly="0" labelOnly="1" outline="0" axis="axisRow" fieldPosition="0"/>
    </format>
    <format dxfId="129">
      <pivotArea dataOnly="0" labelOnly="1" fieldPosition="0">
        <references count="1">
          <reference field="6" count="0"/>
        </references>
      </pivotArea>
    </format>
    <format dxfId="128">
      <pivotArea outline="0" collapsedLevelsAreSubtotals="1" fieldPosition="0"/>
    </format>
    <format dxfId="127">
      <pivotArea dataOnly="0" labelOnly="1" outline="0" axis="axisValues" fieldPosition="0"/>
    </format>
    <format dxfId="126">
      <pivotArea field="6" type="button" dataOnly="0" labelOnly="1" outline="0" axis="axisRow" fieldPosition="0"/>
    </format>
    <format dxfId="125">
      <pivotArea dataOnly="0" labelOnly="1" outline="0" axis="axisValues" fieldPosition="0"/>
    </format>
    <format dxfId="124">
      <pivotArea dataOnly="0" labelOnly="1" fieldPosition="0">
        <references count="1">
          <reference field="6" count="0"/>
        </references>
      </pivotArea>
    </format>
    <format dxfId="123">
      <pivotArea type="all" dataOnly="0" outline="0" fieldPosition="0"/>
    </format>
    <format dxfId="122">
      <pivotArea outline="0" collapsedLevelsAreSubtotals="1" fieldPosition="0"/>
    </format>
    <format dxfId="121">
      <pivotArea field="6" type="button" dataOnly="0" labelOnly="1" outline="0" axis="axisRow" fieldPosition="0"/>
    </format>
    <format dxfId="120">
      <pivotArea dataOnly="0" labelOnly="1" fieldPosition="0">
        <references count="1">
          <reference field="6" count="0"/>
        </references>
      </pivotArea>
    </format>
    <format dxfId="11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C209D71-743E-4472-8E9E-9C121A200FE2}"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rowHeaderCaption=" Top 10  Customers">
  <location ref="J21:K32" firstHeaderRow="1" firstDataRow="1" firstDataCol="1"/>
  <pivotFields count="18">
    <pivotField showAll="0"/>
    <pivotField showAll="0"/>
    <pivotField numFmtId="14" showAll="0"/>
    <pivotField showAll="0"/>
    <pivotField axis="axisRow" showAll="0" measureFilter="1">
      <items count="363">
        <item x="100"/>
        <item x="190"/>
        <item x="289"/>
        <item x="233"/>
        <item x="9"/>
        <item x="144"/>
        <item x="340"/>
        <item x="216"/>
        <item x="269"/>
        <item x="57"/>
        <item x="124"/>
        <item x="117"/>
        <item x="127"/>
        <item x="238"/>
        <item x="8"/>
        <item x="155"/>
        <item x="87"/>
        <item x="211"/>
        <item x="153"/>
        <item x="141"/>
        <item x="4"/>
        <item x="122"/>
        <item x="239"/>
        <item x="132"/>
        <item x="357"/>
        <item x="165"/>
        <item x="247"/>
        <item x="326"/>
        <item x="321"/>
        <item x="295"/>
        <item x="255"/>
        <item x="314"/>
        <item x="151"/>
        <item x="275"/>
        <item x="219"/>
        <item x="195"/>
        <item x="121"/>
        <item x="292"/>
        <item x="162"/>
        <item x="308"/>
        <item x="78"/>
        <item x="130"/>
        <item x="296"/>
        <item x="318"/>
        <item x="217"/>
        <item x="336"/>
        <item x="272"/>
        <item x="214"/>
        <item x="202"/>
        <item x="179"/>
        <item x="29"/>
        <item x="205"/>
        <item x="312"/>
        <item x="3"/>
        <item x="232"/>
        <item x="94"/>
        <item x="298"/>
        <item x="354"/>
        <item x="194"/>
        <item x="303"/>
        <item x="229"/>
        <item x="263"/>
        <item x="170"/>
        <item x="90"/>
        <item x="344"/>
        <item x="79"/>
        <item x="230"/>
        <item x="237"/>
        <item x="294"/>
        <item x="244"/>
        <item x="119"/>
        <item x="278"/>
        <item x="291"/>
        <item x="200"/>
        <item x="37"/>
        <item x="254"/>
        <item x="320"/>
        <item x="0"/>
        <item x="118"/>
        <item x="142"/>
        <item x="52"/>
        <item x="242"/>
        <item x="128"/>
        <item x="113"/>
        <item x="257"/>
        <item x="316"/>
        <item x="222"/>
        <item x="51"/>
        <item x="297"/>
        <item x="112"/>
        <item x="351"/>
        <item x="213"/>
        <item x="24"/>
        <item x="284"/>
        <item x="1"/>
        <item x="72"/>
        <item x="54"/>
        <item x="317"/>
        <item x="106"/>
        <item x="83"/>
        <item x="273"/>
        <item x="103"/>
        <item x="203"/>
        <item x="158"/>
        <item x="290"/>
        <item x="111"/>
        <item x="249"/>
        <item x="157"/>
        <item x="231"/>
        <item x="108"/>
        <item x="137"/>
        <item x="61"/>
        <item x="114"/>
        <item x="140"/>
        <item x="264"/>
        <item x="35"/>
        <item x="182"/>
        <item x="330"/>
        <item x="225"/>
        <item x="45"/>
        <item x="12"/>
        <item x="283"/>
        <item x="212"/>
        <item x="13"/>
        <item x="75"/>
        <item x="301"/>
        <item x="105"/>
        <item x="191"/>
        <item x="20"/>
        <item x="313"/>
        <item x="258"/>
        <item x="135"/>
        <item x="86"/>
        <item x="224"/>
        <item x="92"/>
        <item x="248"/>
        <item x="306"/>
        <item x="39"/>
        <item x="47"/>
        <item x="16"/>
        <item x="334"/>
        <item x="241"/>
        <item x="136"/>
        <item x="265"/>
        <item x="55"/>
        <item x="348"/>
        <item x="218"/>
        <item x="315"/>
        <item x="323"/>
        <item x="150"/>
        <item x="6"/>
        <item x="96"/>
        <item x="66"/>
        <item x="304"/>
        <item x="31"/>
        <item x="332"/>
        <item x="5"/>
        <item x="161"/>
        <item x="311"/>
        <item x="49"/>
        <item x="25"/>
        <item x="123"/>
        <item x="209"/>
        <item x="282"/>
        <item x="271"/>
        <item x="80"/>
        <item x="226"/>
        <item x="188"/>
        <item x="223"/>
        <item x="145"/>
        <item x="187"/>
        <item x="341"/>
        <item x="270"/>
        <item x="329"/>
        <item x="82"/>
        <item x="40"/>
        <item x="300"/>
        <item x="32"/>
        <item x="342"/>
        <item x="189"/>
        <item x="252"/>
        <item x="139"/>
        <item x="63"/>
        <item x="101"/>
        <item x="102"/>
        <item x="185"/>
        <item x="350"/>
        <item x="98"/>
        <item x="148"/>
        <item x="36"/>
        <item x="251"/>
        <item x="68"/>
        <item x="335"/>
        <item x="208"/>
        <item x="346"/>
        <item x="30"/>
        <item x="41"/>
        <item x="44"/>
        <item x="347"/>
        <item x="147"/>
        <item x="168"/>
        <item x="110"/>
        <item x="126"/>
        <item x="10"/>
        <item x="33"/>
        <item x="175"/>
        <item x="107"/>
        <item x="169"/>
        <item x="120"/>
        <item x="27"/>
        <item x="156"/>
        <item x="97"/>
        <item x="328"/>
        <item x="48"/>
        <item x="62"/>
        <item x="23"/>
        <item x="235"/>
        <item x="18"/>
        <item x="322"/>
        <item x="60"/>
        <item x="352"/>
        <item x="293"/>
        <item x="215"/>
        <item x="221"/>
        <item x="299"/>
        <item x="95"/>
        <item x="109"/>
        <item x="166"/>
        <item x="201"/>
        <item x="93"/>
        <item x="198"/>
        <item x="333"/>
        <item x="199"/>
        <item x="88"/>
        <item x="89"/>
        <item x="280"/>
        <item x="15"/>
        <item x="204"/>
        <item x="67"/>
        <item x="250"/>
        <item x="77"/>
        <item x="186"/>
        <item x="246"/>
        <item x="234"/>
        <item x="266"/>
        <item x="149"/>
        <item x="172"/>
        <item x="99"/>
        <item x="192"/>
        <item x="305"/>
        <item x="207"/>
        <item x="177"/>
        <item x="160"/>
        <item x="360"/>
        <item x="152"/>
        <item x="268"/>
        <item x="243"/>
        <item x="173"/>
        <item x="159"/>
        <item x="134"/>
        <item x="71"/>
        <item x="125"/>
        <item x="240"/>
        <item x="73"/>
        <item x="21"/>
        <item x="220"/>
        <item x="331"/>
        <item x="43"/>
        <item x="206"/>
        <item x="310"/>
        <item x="138"/>
        <item x="22"/>
        <item x="38"/>
        <item x="324"/>
        <item x="28"/>
        <item x="307"/>
        <item x="50"/>
        <item x="7"/>
        <item x="287"/>
        <item x="327"/>
        <item x="171"/>
        <item x="58"/>
        <item x="178"/>
        <item x="285"/>
        <item x="345"/>
        <item x="267"/>
        <item x="343"/>
        <item x="181"/>
        <item x="261"/>
        <item x="46"/>
        <item x="302"/>
        <item x="262"/>
        <item x="361"/>
        <item x="210"/>
        <item x="338"/>
        <item x="84"/>
        <item x="355"/>
        <item x="42"/>
        <item x="288"/>
        <item x="276"/>
        <item x="197"/>
        <item x="176"/>
        <item x="279"/>
        <item x="116"/>
        <item x="167"/>
        <item x="19"/>
        <item x="76"/>
        <item x="154"/>
        <item x="53"/>
        <item x="64"/>
        <item x="85"/>
        <item x="325"/>
        <item x="337"/>
        <item x="11"/>
        <item x="65"/>
        <item x="183"/>
        <item x="339"/>
        <item x="319"/>
        <item x="164"/>
        <item x="359"/>
        <item x="227"/>
        <item x="349"/>
        <item x="115"/>
        <item x="253"/>
        <item x="2"/>
        <item x="277"/>
        <item x="129"/>
        <item x="174"/>
        <item x="81"/>
        <item x="259"/>
        <item x="196"/>
        <item x="70"/>
        <item x="281"/>
        <item x="17"/>
        <item x="56"/>
        <item x="256"/>
        <item x="34"/>
        <item x="193"/>
        <item x="133"/>
        <item x="286"/>
        <item x="245"/>
        <item x="143"/>
        <item x="69"/>
        <item x="184"/>
        <item x="26"/>
        <item x="74"/>
        <item x="236"/>
        <item x="353"/>
        <item x="131"/>
        <item x="260"/>
        <item x="309"/>
        <item x="358"/>
        <item x="14"/>
        <item x="274"/>
        <item x="356"/>
        <item x="180"/>
        <item x="59"/>
        <item x="228"/>
        <item x="104"/>
        <item x="91"/>
        <item x="163"/>
        <item x="146"/>
        <item t="default"/>
      </items>
    </pivotField>
    <pivotField showAll="0"/>
    <pivotField showAll="0">
      <items count="41">
        <item x="19"/>
        <item x="16"/>
        <item x="36"/>
        <item x="1"/>
        <item x="22"/>
        <item x="29"/>
        <item x="13"/>
        <item x="2"/>
        <item x="32"/>
        <item x="10"/>
        <item x="14"/>
        <item x="23"/>
        <item x="0"/>
        <item x="28"/>
        <item x="39"/>
        <item x="31"/>
        <item x="12"/>
        <item x="11"/>
        <item x="35"/>
        <item x="25"/>
        <item x="37"/>
        <item x="8"/>
        <item x="33"/>
        <item x="38"/>
        <item x="30"/>
        <item x="27"/>
        <item x="15"/>
        <item x="3"/>
        <item x="24"/>
        <item x="26"/>
        <item x="21"/>
        <item x="9"/>
        <item x="34"/>
        <item x="20"/>
        <item x="18"/>
        <item x="5"/>
        <item x="7"/>
        <item x="17"/>
        <item x="4"/>
        <item x="6"/>
        <item t="default"/>
      </items>
    </pivotField>
    <pivotField showAll="0"/>
    <pivotField showAll="0">
      <items count="4">
        <item x="0"/>
        <item x="1"/>
        <item x="2"/>
        <item t="default"/>
      </items>
    </pivotField>
    <pivotField showAll="0"/>
    <pivotField showAll="0"/>
    <pivotField showAll="0"/>
    <pivotField showAll="0"/>
    <pivotField showAll="0"/>
    <pivotField showAll="0"/>
    <pivotField dataField="1" showAll="0"/>
    <pivotField showAll="0">
      <items count="5">
        <item x="2"/>
        <item x="1"/>
        <item x="0"/>
        <item x="3"/>
        <item t="default"/>
      </items>
    </pivotField>
    <pivotField showAll="0">
      <items count="13">
        <item x="9"/>
        <item x="11"/>
        <item x="10"/>
        <item x="3"/>
        <item x="5"/>
        <item x="1"/>
        <item x="7"/>
        <item x="6"/>
        <item x="8"/>
        <item x="2"/>
        <item x="0"/>
        <item x="4"/>
        <item t="default"/>
      </items>
    </pivotField>
  </pivotFields>
  <rowFields count="1">
    <field x="4"/>
  </rowFields>
  <rowItems count="11">
    <i>
      <x v="9"/>
    </i>
    <i>
      <x v="40"/>
    </i>
    <i>
      <x v="53"/>
    </i>
    <i>
      <x v="73"/>
    </i>
    <i>
      <x v="109"/>
    </i>
    <i>
      <x v="191"/>
    </i>
    <i>
      <x v="200"/>
    </i>
    <i>
      <x v="201"/>
    </i>
    <i>
      <x v="253"/>
    </i>
    <i>
      <x v="301"/>
    </i>
    <i t="grand">
      <x/>
    </i>
  </rowItems>
  <colItems count="1">
    <i/>
  </colItems>
  <dataFields count="1">
    <dataField name="Sum of Amount" fld="15" baseField="4" baseItem="0" numFmtId="164"/>
  </dataFields>
  <formats count="68">
    <format dxfId="243">
      <pivotArea dataOnly="0" grandRow="1" axis="axisRow" fieldPosition="0"/>
    </format>
    <format dxfId="242">
      <pivotArea field="4" type="button" dataOnly="0" labelOnly="1" outline="0" axis="axisRow" fieldPosition="0"/>
    </format>
    <format dxfId="241">
      <pivotArea dataOnly="0" labelOnly="1" outline="0" axis="axisValues" fieldPosition="0"/>
    </format>
    <format dxfId="240">
      <pivotArea grandRow="1" outline="0" collapsedLevelsAreSubtotals="1" fieldPosition="0"/>
    </format>
    <format dxfId="239">
      <pivotArea dataOnly="0" labelOnly="1" grandRow="1" outline="0" fieldPosition="0"/>
    </format>
    <format dxfId="238">
      <pivotArea field="4" type="button" dataOnly="0" labelOnly="1" outline="0" axis="axisRow" fieldPosition="0"/>
    </format>
    <format dxfId="237">
      <pivotArea dataOnly="0" labelOnly="1" outline="0" axis="axisValues" fieldPosition="0"/>
    </format>
    <format dxfId="236">
      <pivotArea grandRow="1" outline="0" collapsedLevelsAreSubtotals="1" fieldPosition="0"/>
    </format>
    <format dxfId="235">
      <pivotArea dataOnly="0" labelOnly="1" grandRow="1" outline="0" fieldPosition="0"/>
    </format>
    <format dxfId="234">
      <pivotArea type="all" dataOnly="0" outline="0" fieldPosition="0"/>
    </format>
    <format dxfId="233">
      <pivotArea outline="0" collapsedLevelsAreSubtotals="1" fieldPosition="0"/>
    </format>
    <format dxfId="232">
      <pivotArea field="4" type="button" dataOnly="0" labelOnly="1" outline="0" axis="axisRow" fieldPosition="0"/>
    </format>
    <format dxfId="231">
      <pivotArea dataOnly="0" labelOnly="1" fieldPosition="0">
        <references count="1">
          <reference field="4" count="10">
            <x v="9"/>
            <x v="40"/>
            <x v="53"/>
            <x v="73"/>
            <x v="109"/>
            <x v="191"/>
            <x v="200"/>
            <x v="201"/>
            <x v="253"/>
            <x v="301"/>
          </reference>
        </references>
      </pivotArea>
    </format>
    <format dxfId="230">
      <pivotArea dataOnly="0" labelOnly="1" grandRow="1" outline="0" fieldPosition="0"/>
    </format>
    <format dxfId="229">
      <pivotArea dataOnly="0" labelOnly="1" outline="0" axis="axisValues" fieldPosition="0"/>
    </format>
    <format dxfId="228">
      <pivotArea type="all" dataOnly="0" outline="0" fieldPosition="0"/>
    </format>
    <format dxfId="227">
      <pivotArea outline="0" collapsedLevelsAreSubtotals="1" fieldPosition="0"/>
    </format>
    <format dxfId="226">
      <pivotArea field="4" type="button" dataOnly="0" labelOnly="1" outline="0" axis="axisRow" fieldPosition="0"/>
    </format>
    <format dxfId="225">
      <pivotArea dataOnly="0" labelOnly="1" fieldPosition="0">
        <references count="1">
          <reference field="4" count="10">
            <x v="9"/>
            <x v="40"/>
            <x v="53"/>
            <x v="73"/>
            <x v="109"/>
            <x v="191"/>
            <x v="200"/>
            <x v="201"/>
            <x v="253"/>
            <x v="301"/>
          </reference>
        </references>
      </pivotArea>
    </format>
    <format dxfId="224">
      <pivotArea dataOnly="0" labelOnly="1" grandRow="1" outline="0" fieldPosition="0"/>
    </format>
    <format dxfId="223">
      <pivotArea dataOnly="0" labelOnly="1" outline="0" axis="axisValues" fieldPosition="0"/>
    </format>
    <format dxfId="222">
      <pivotArea type="all" dataOnly="0" outline="0" fieldPosition="0"/>
    </format>
    <format dxfId="221">
      <pivotArea outline="0" collapsedLevelsAreSubtotals="1" fieldPosition="0"/>
    </format>
    <format dxfId="220">
      <pivotArea field="4" type="button" dataOnly="0" labelOnly="1" outline="0" axis="axisRow" fieldPosition="0"/>
    </format>
    <format dxfId="219">
      <pivotArea dataOnly="0" labelOnly="1" fieldPosition="0">
        <references count="1">
          <reference field="4" count="10">
            <x v="9"/>
            <x v="40"/>
            <x v="53"/>
            <x v="73"/>
            <x v="109"/>
            <x v="191"/>
            <x v="200"/>
            <x v="201"/>
            <x v="253"/>
            <x v="301"/>
          </reference>
        </references>
      </pivotArea>
    </format>
    <format dxfId="218">
      <pivotArea dataOnly="0" labelOnly="1" grandRow="1" outline="0" fieldPosition="0"/>
    </format>
    <format dxfId="217">
      <pivotArea dataOnly="0" labelOnly="1" outline="0" axis="axisValues" fieldPosition="0"/>
    </format>
    <format dxfId="216">
      <pivotArea dataOnly="0" labelOnly="1" grandRow="1" outline="0" fieldPosition="0"/>
    </format>
    <format dxfId="215">
      <pivotArea field="4" type="button" dataOnly="0" labelOnly="1" outline="0" axis="axisRow" fieldPosition="0"/>
    </format>
    <format dxfId="214">
      <pivotArea dataOnly="0" labelOnly="1" outline="0" axis="axisValues" fieldPosition="0"/>
    </format>
    <format dxfId="213">
      <pivotArea type="all" dataOnly="0" outline="0" fieldPosition="0"/>
    </format>
    <format dxfId="212">
      <pivotArea outline="0" collapsedLevelsAreSubtotals="1" fieldPosition="0"/>
    </format>
    <format dxfId="211">
      <pivotArea field="4" type="button" dataOnly="0" labelOnly="1" outline="0" axis="axisRow" fieldPosition="0"/>
    </format>
    <format dxfId="210">
      <pivotArea dataOnly="0" labelOnly="1" fieldPosition="0">
        <references count="1">
          <reference field="4" count="10">
            <x v="5"/>
            <x v="50"/>
            <x v="63"/>
            <x v="73"/>
            <x v="109"/>
            <x v="182"/>
            <x v="253"/>
            <x v="277"/>
            <x v="340"/>
            <x v="361"/>
          </reference>
        </references>
      </pivotArea>
    </format>
    <format dxfId="209">
      <pivotArea dataOnly="0" labelOnly="1" grandRow="1" outline="0" fieldPosition="0"/>
    </format>
    <format dxfId="208">
      <pivotArea dataOnly="0" labelOnly="1" outline="0" axis="axisValues" fieldPosition="0"/>
    </format>
    <format dxfId="207">
      <pivotArea type="all" dataOnly="0" outline="0" fieldPosition="0"/>
    </format>
    <format dxfId="206">
      <pivotArea outline="0" collapsedLevelsAreSubtotals="1" fieldPosition="0"/>
    </format>
    <format dxfId="205">
      <pivotArea field="4" type="button" dataOnly="0" labelOnly="1" outline="0" axis="axisRow" fieldPosition="0"/>
    </format>
    <format dxfId="204">
      <pivotArea dataOnly="0" labelOnly="1" fieldPosition="0">
        <references count="1">
          <reference field="4" count="10">
            <x v="5"/>
            <x v="50"/>
            <x v="63"/>
            <x v="73"/>
            <x v="109"/>
            <x v="182"/>
            <x v="253"/>
            <x v="277"/>
            <x v="340"/>
            <x v="361"/>
          </reference>
        </references>
      </pivotArea>
    </format>
    <format dxfId="203">
      <pivotArea dataOnly="0" labelOnly="1" grandRow="1" outline="0" fieldPosition="0"/>
    </format>
    <format dxfId="202">
      <pivotArea dataOnly="0" labelOnly="1" outline="0" axis="axisValues" fieldPosition="0"/>
    </format>
    <format dxfId="201">
      <pivotArea dataOnly="0" labelOnly="1" fieldPosition="0">
        <references count="1">
          <reference field="4" count="10">
            <x v="5"/>
            <x v="50"/>
            <x v="63"/>
            <x v="73"/>
            <x v="109"/>
            <x v="182"/>
            <x v="253"/>
            <x v="277"/>
            <x v="340"/>
            <x v="361"/>
          </reference>
        </references>
      </pivotArea>
    </format>
    <format dxfId="200">
      <pivotArea dataOnly="0" labelOnly="1" fieldPosition="0">
        <references count="1">
          <reference field="4" count="10">
            <x v="5"/>
            <x v="50"/>
            <x v="63"/>
            <x v="73"/>
            <x v="109"/>
            <x v="182"/>
            <x v="253"/>
            <x v="277"/>
            <x v="340"/>
            <x v="361"/>
          </reference>
        </references>
      </pivotArea>
    </format>
    <format dxfId="199">
      <pivotArea collapsedLevelsAreSubtotals="1" fieldPosition="0">
        <references count="1">
          <reference field="4" count="10">
            <x v="5"/>
            <x v="50"/>
            <x v="63"/>
            <x v="73"/>
            <x v="109"/>
            <x v="182"/>
            <x v="253"/>
            <x v="277"/>
            <x v="340"/>
            <x v="361"/>
          </reference>
        </references>
      </pivotArea>
    </format>
    <format dxfId="198">
      <pivotArea type="all" dataOnly="0" outline="0" fieldPosition="0"/>
    </format>
    <format dxfId="197">
      <pivotArea dataOnly="0" labelOnly="1" fieldPosition="0">
        <references count="1">
          <reference field="4" count="10">
            <x v="5"/>
            <x v="50"/>
            <x v="63"/>
            <x v="73"/>
            <x v="109"/>
            <x v="182"/>
            <x v="253"/>
            <x v="277"/>
            <x v="340"/>
            <x v="361"/>
          </reference>
        </references>
      </pivotArea>
    </format>
    <format dxfId="196">
      <pivotArea dataOnly="0" labelOnly="1" grandRow="1" outline="0" fieldPosition="0"/>
    </format>
    <format dxfId="195">
      <pivotArea collapsedLevelsAreSubtotals="1" fieldPosition="0">
        <references count="1">
          <reference field="4" count="10">
            <x v="5"/>
            <x v="50"/>
            <x v="63"/>
            <x v="73"/>
            <x v="109"/>
            <x v="182"/>
            <x v="253"/>
            <x v="277"/>
            <x v="340"/>
            <x v="361"/>
          </reference>
        </references>
      </pivotArea>
    </format>
    <format dxfId="194">
      <pivotArea grandRow="1" outline="0" collapsedLevelsAreSubtotals="1" fieldPosition="0"/>
    </format>
    <format dxfId="193">
      <pivotArea dataOnly="0" labelOnly="1" fieldPosition="0">
        <references count="1">
          <reference field="4" count="10">
            <x v="9"/>
            <x v="40"/>
            <x v="53"/>
            <x v="73"/>
            <x v="109"/>
            <x v="191"/>
            <x v="200"/>
            <x v="201"/>
            <x v="253"/>
            <x v="301"/>
          </reference>
        </references>
      </pivotArea>
    </format>
    <format dxfId="192">
      <pivotArea dataOnly="0" labelOnly="1" fieldPosition="0">
        <references count="1">
          <reference field="4" count="10">
            <x v="9"/>
            <x v="40"/>
            <x v="53"/>
            <x v="73"/>
            <x v="109"/>
            <x v="191"/>
            <x v="200"/>
            <x v="201"/>
            <x v="253"/>
            <x v="301"/>
          </reference>
        </references>
      </pivotArea>
    </format>
    <format dxfId="191">
      <pivotArea collapsedLevelsAreSubtotals="1" fieldPosition="0">
        <references count="1">
          <reference field="4" count="10">
            <x v="9"/>
            <x v="40"/>
            <x v="53"/>
            <x v="73"/>
            <x v="109"/>
            <x v="191"/>
            <x v="200"/>
            <x v="201"/>
            <x v="253"/>
            <x v="301"/>
          </reference>
        </references>
      </pivotArea>
    </format>
    <format dxfId="190">
      <pivotArea collapsedLevelsAreSubtotals="1" fieldPosition="0">
        <references count="1">
          <reference field="4" count="10">
            <x v="9"/>
            <x v="40"/>
            <x v="53"/>
            <x v="73"/>
            <x v="109"/>
            <x v="191"/>
            <x v="200"/>
            <x v="201"/>
            <x v="253"/>
            <x v="301"/>
          </reference>
        </references>
      </pivotArea>
    </format>
    <format dxfId="189">
      <pivotArea grandRow="1" outline="0" collapsedLevelsAreSubtotals="1" fieldPosition="0"/>
    </format>
    <format dxfId="188">
      <pivotArea dataOnly="0" labelOnly="1" grandRow="1" outline="0" fieldPosition="0"/>
    </format>
    <format dxfId="187">
      <pivotArea type="all" dataOnly="0" outline="0" fieldPosition="0"/>
    </format>
    <format dxfId="186">
      <pivotArea outline="0" collapsedLevelsAreSubtotals="1" fieldPosition="0"/>
    </format>
    <format dxfId="185">
      <pivotArea field="4" type="button" dataOnly="0" labelOnly="1" outline="0" axis="axisRow" fieldPosition="0"/>
    </format>
    <format dxfId="184">
      <pivotArea dataOnly="0" labelOnly="1" fieldPosition="0">
        <references count="1">
          <reference field="4" count="10">
            <x v="9"/>
            <x v="40"/>
            <x v="53"/>
            <x v="73"/>
            <x v="109"/>
            <x v="191"/>
            <x v="200"/>
            <x v="201"/>
            <x v="253"/>
            <x v="301"/>
          </reference>
        </references>
      </pivotArea>
    </format>
    <format dxfId="183">
      <pivotArea dataOnly="0" labelOnly="1" grandRow="1" outline="0" fieldPosition="0"/>
    </format>
    <format dxfId="182">
      <pivotArea dataOnly="0" labelOnly="1" outline="0" axis="axisValues" fieldPosition="0"/>
    </format>
    <format dxfId="181">
      <pivotArea type="all" dataOnly="0" outline="0" fieldPosition="0"/>
    </format>
    <format dxfId="180">
      <pivotArea outline="0" collapsedLevelsAreSubtotals="1" fieldPosition="0"/>
    </format>
    <format dxfId="179">
      <pivotArea field="4" type="button" dataOnly="0" labelOnly="1" outline="0" axis="axisRow" fieldPosition="0"/>
    </format>
    <format dxfId="178">
      <pivotArea dataOnly="0" labelOnly="1" fieldPosition="0">
        <references count="1">
          <reference field="4" count="10">
            <x v="9"/>
            <x v="40"/>
            <x v="53"/>
            <x v="73"/>
            <x v="109"/>
            <x v="191"/>
            <x v="200"/>
            <x v="201"/>
            <x v="253"/>
            <x v="301"/>
          </reference>
        </references>
      </pivotArea>
    </format>
    <format dxfId="177">
      <pivotArea dataOnly="0" labelOnly="1" grandRow="1" outline="0" fieldPosition="0"/>
    </format>
    <format dxfId="176">
      <pivotArea dataOnly="0" labelOnly="1" outline="0" axis="axisValues"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1C35A8-832F-47CC-AFE4-5A0BD2CD055F}"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rowHeaderCaption="Ship Mode">
  <location ref="J13:K18" firstHeaderRow="1" firstDataRow="1" firstDataCol="1"/>
  <pivotFields count="18">
    <pivotField showAll="0"/>
    <pivotField showAll="0"/>
    <pivotField numFmtId="14" showAll="0"/>
    <pivotField axis="axisRow" showAll="0">
      <items count="5">
        <item x="2"/>
        <item x="3"/>
        <item x="0"/>
        <item x="1"/>
        <item t="default"/>
      </items>
    </pivotField>
    <pivotField showAll="0"/>
    <pivotField showAll="0"/>
    <pivotField showAll="0">
      <items count="41">
        <item x="19"/>
        <item x="16"/>
        <item x="36"/>
        <item x="1"/>
        <item x="22"/>
        <item x="29"/>
        <item x="13"/>
        <item x="2"/>
        <item x="32"/>
        <item x="10"/>
        <item x="14"/>
        <item x="23"/>
        <item x="0"/>
        <item x="28"/>
        <item x="39"/>
        <item x="31"/>
        <item x="12"/>
        <item x="11"/>
        <item x="35"/>
        <item x="25"/>
        <item x="37"/>
        <item x="8"/>
        <item x="33"/>
        <item x="38"/>
        <item x="30"/>
        <item x="27"/>
        <item x="15"/>
        <item x="3"/>
        <item x="24"/>
        <item x="26"/>
        <item x="21"/>
        <item x="9"/>
        <item x="34"/>
        <item x="20"/>
        <item x="18"/>
        <item x="5"/>
        <item x="7"/>
        <item x="17"/>
        <item x="4"/>
        <item x="6"/>
        <item t="default"/>
      </items>
    </pivotField>
    <pivotField showAll="0"/>
    <pivotField showAll="0">
      <items count="4">
        <item x="0"/>
        <item x="1"/>
        <item x="2"/>
        <item t="default"/>
      </items>
    </pivotField>
    <pivotField showAll="0"/>
    <pivotField showAll="0"/>
    <pivotField showAll="0"/>
    <pivotField showAll="0"/>
    <pivotField showAll="0"/>
    <pivotField showAll="0"/>
    <pivotField dataField="1" showAll="0"/>
    <pivotField showAll="0">
      <items count="5">
        <item x="2"/>
        <item x="1"/>
        <item x="0"/>
        <item x="3"/>
        <item t="default"/>
      </items>
    </pivotField>
    <pivotField showAll="0">
      <items count="13">
        <item x="9"/>
        <item x="11"/>
        <item x="10"/>
        <item x="3"/>
        <item x="5"/>
        <item x="1"/>
        <item x="7"/>
        <item x="6"/>
        <item x="8"/>
        <item x="2"/>
        <item x="0"/>
        <item x="4"/>
        <item t="default"/>
      </items>
    </pivotField>
  </pivotFields>
  <rowFields count="1">
    <field x="3"/>
  </rowFields>
  <rowItems count="5">
    <i>
      <x/>
    </i>
    <i>
      <x v="1"/>
    </i>
    <i>
      <x v="2"/>
    </i>
    <i>
      <x v="3"/>
    </i>
    <i t="grand">
      <x/>
    </i>
  </rowItems>
  <colItems count="1">
    <i/>
  </colItems>
  <dataFields count="1">
    <dataField name="Sum of Amount" fld="15" baseField="3" baseItem="1" numFmtId="164"/>
  </dataFields>
  <formats count="68">
    <format dxfId="311">
      <pivotArea collapsedLevelsAreSubtotals="1" fieldPosition="0">
        <references count="1">
          <reference field="3" count="1">
            <x v="0"/>
          </reference>
        </references>
      </pivotArea>
    </format>
    <format dxfId="310">
      <pivotArea field="3" type="button" dataOnly="0" labelOnly="1" outline="0" axis="axisRow" fieldPosition="0"/>
    </format>
    <format dxfId="309">
      <pivotArea dataOnly="0" labelOnly="1" fieldPosition="0">
        <references count="1">
          <reference field="3" count="1">
            <x v="0"/>
          </reference>
        </references>
      </pivotArea>
    </format>
    <format dxfId="308">
      <pivotArea dataOnly="0" labelOnly="1" outline="0" axis="axisValues" fieldPosition="0"/>
    </format>
    <format dxfId="307">
      <pivotArea grandRow="1" outline="0" collapsedLevelsAreSubtotals="1" fieldPosition="0"/>
    </format>
    <format dxfId="306">
      <pivotArea dataOnly="0" labelOnly="1" grandRow="1" outline="0" fieldPosition="0"/>
    </format>
    <format dxfId="305">
      <pivotArea collapsedLevelsAreSubtotals="1" fieldPosition="0">
        <references count="1">
          <reference field="3" count="1">
            <x v="0"/>
          </reference>
        </references>
      </pivotArea>
    </format>
    <format dxfId="304">
      <pivotArea field="3" type="button" dataOnly="0" labelOnly="1" outline="0" axis="axisRow" fieldPosition="0"/>
    </format>
    <format dxfId="303">
      <pivotArea dataOnly="0" labelOnly="1" fieldPosition="0">
        <references count="1">
          <reference field="3" count="1">
            <x v="0"/>
          </reference>
        </references>
      </pivotArea>
    </format>
    <format dxfId="302">
      <pivotArea dataOnly="0" labelOnly="1" outline="0" axis="axisValues" fieldPosition="0"/>
    </format>
    <format dxfId="301">
      <pivotArea grandRow="1" outline="0" collapsedLevelsAreSubtotals="1" fieldPosition="0"/>
    </format>
    <format dxfId="300">
      <pivotArea dataOnly="0" labelOnly="1" grandRow="1" outline="0" fieldPosition="0"/>
    </format>
    <format dxfId="299">
      <pivotArea type="all" dataOnly="0" outline="0" fieldPosition="0"/>
    </format>
    <format dxfId="298">
      <pivotArea outline="0" collapsedLevelsAreSubtotals="1" fieldPosition="0"/>
    </format>
    <format dxfId="297">
      <pivotArea field="3" type="button" dataOnly="0" labelOnly="1" outline="0" axis="axisRow" fieldPosition="0"/>
    </format>
    <format dxfId="296">
      <pivotArea dataOnly="0" labelOnly="1" fieldPosition="0">
        <references count="1">
          <reference field="3" count="0"/>
        </references>
      </pivotArea>
    </format>
    <format dxfId="295">
      <pivotArea dataOnly="0" labelOnly="1" grandRow="1" outline="0" fieldPosition="0"/>
    </format>
    <format dxfId="294">
      <pivotArea dataOnly="0" labelOnly="1" outline="0" axis="axisValues" fieldPosition="0"/>
    </format>
    <format dxfId="293">
      <pivotArea type="all" dataOnly="0" outline="0" fieldPosition="0"/>
    </format>
    <format dxfId="292">
      <pivotArea outline="0" collapsedLevelsAreSubtotals="1" fieldPosition="0"/>
    </format>
    <format dxfId="291">
      <pivotArea field="3" type="button" dataOnly="0" labelOnly="1" outline="0" axis="axisRow" fieldPosition="0"/>
    </format>
    <format dxfId="290">
      <pivotArea dataOnly="0" labelOnly="1" fieldPosition="0">
        <references count="1">
          <reference field="3" count="0"/>
        </references>
      </pivotArea>
    </format>
    <format dxfId="289">
      <pivotArea dataOnly="0" labelOnly="1" grandRow="1" outline="0" fieldPosition="0"/>
    </format>
    <format dxfId="288">
      <pivotArea dataOnly="0" labelOnly="1" outline="0" axis="axisValues" fieldPosition="0"/>
    </format>
    <format dxfId="287">
      <pivotArea type="all" dataOnly="0" outline="0" fieldPosition="0"/>
    </format>
    <format dxfId="286">
      <pivotArea outline="0" collapsedLevelsAreSubtotals="1" fieldPosition="0"/>
    </format>
    <format dxfId="285">
      <pivotArea field="3" type="button" dataOnly="0" labelOnly="1" outline="0" axis="axisRow" fieldPosition="0"/>
    </format>
    <format dxfId="284">
      <pivotArea dataOnly="0" labelOnly="1" fieldPosition="0">
        <references count="1">
          <reference field="3" count="0"/>
        </references>
      </pivotArea>
    </format>
    <format dxfId="283">
      <pivotArea dataOnly="0" labelOnly="1" grandRow="1" outline="0" fieldPosition="0"/>
    </format>
    <format dxfId="282">
      <pivotArea dataOnly="0" labelOnly="1" outline="0" axis="axisValues" fieldPosition="0"/>
    </format>
    <format dxfId="281">
      <pivotArea type="all" dataOnly="0" outline="0" fieldPosition="0"/>
    </format>
    <format dxfId="280">
      <pivotArea outline="0" collapsedLevelsAreSubtotals="1" fieldPosition="0"/>
    </format>
    <format dxfId="279">
      <pivotArea field="3" type="button" dataOnly="0" labelOnly="1" outline="0" axis="axisRow" fieldPosition="0"/>
    </format>
    <format dxfId="278">
      <pivotArea dataOnly="0" labelOnly="1" fieldPosition="0">
        <references count="1">
          <reference field="3" count="0"/>
        </references>
      </pivotArea>
    </format>
    <format dxfId="277">
      <pivotArea dataOnly="0" labelOnly="1" grandRow="1" outline="0" fieldPosition="0"/>
    </format>
    <format dxfId="276">
      <pivotArea dataOnly="0" labelOnly="1" outline="0" axis="axisValues" fieldPosition="0"/>
    </format>
    <format dxfId="275">
      <pivotArea type="all" dataOnly="0" outline="0" fieldPosition="0"/>
    </format>
    <format dxfId="274">
      <pivotArea outline="0" collapsedLevelsAreSubtotals="1" fieldPosition="0"/>
    </format>
    <format dxfId="273">
      <pivotArea field="3" type="button" dataOnly="0" labelOnly="1" outline="0" axis="axisRow" fieldPosition="0"/>
    </format>
    <format dxfId="272">
      <pivotArea dataOnly="0" labelOnly="1" fieldPosition="0">
        <references count="1">
          <reference field="3" count="0"/>
        </references>
      </pivotArea>
    </format>
    <format dxfId="271">
      <pivotArea dataOnly="0" labelOnly="1" grandRow="1" outline="0" fieldPosition="0"/>
    </format>
    <format dxfId="270">
      <pivotArea dataOnly="0" labelOnly="1" outline="0" axis="axisValues" fieldPosition="0"/>
    </format>
    <format dxfId="269">
      <pivotArea type="all" dataOnly="0" outline="0" fieldPosition="0"/>
    </format>
    <format dxfId="268">
      <pivotArea outline="0" collapsedLevelsAreSubtotals="1" fieldPosition="0"/>
    </format>
    <format dxfId="267">
      <pivotArea field="3" type="button" dataOnly="0" labelOnly="1" outline="0" axis="axisRow" fieldPosition="0"/>
    </format>
    <format dxfId="266">
      <pivotArea dataOnly="0" labelOnly="1" fieldPosition="0">
        <references count="1">
          <reference field="3" count="0"/>
        </references>
      </pivotArea>
    </format>
    <format dxfId="265">
      <pivotArea dataOnly="0" labelOnly="1" grandRow="1" outline="0" fieldPosition="0"/>
    </format>
    <format dxfId="264">
      <pivotArea dataOnly="0" labelOnly="1" outline="0" axis="axisValues" fieldPosition="0"/>
    </format>
    <format dxfId="263">
      <pivotArea collapsedLevelsAreSubtotals="1" fieldPosition="0">
        <references count="1">
          <reference field="3" count="0"/>
        </references>
      </pivotArea>
    </format>
    <format dxfId="262">
      <pivotArea dataOnly="0" labelOnly="1" fieldPosition="0">
        <references count="1">
          <reference field="3" count="0"/>
        </references>
      </pivotArea>
    </format>
    <format dxfId="261">
      <pivotArea type="all" dataOnly="0" outline="0" fieldPosition="0"/>
    </format>
    <format dxfId="260">
      <pivotArea outline="0" collapsedLevelsAreSubtotals="1" fieldPosition="0"/>
    </format>
    <format dxfId="259">
      <pivotArea field="3" type="button" dataOnly="0" labelOnly="1" outline="0" axis="axisRow" fieldPosition="0"/>
    </format>
    <format dxfId="258">
      <pivotArea dataOnly="0" labelOnly="1" fieldPosition="0">
        <references count="1">
          <reference field="3" count="0"/>
        </references>
      </pivotArea>
    </format>
    <format dxfId="257">
      <pivotArea dataOnly="0" labelOnly="1" grandRow="1" outline="0" fieldPosition="0"/>
    </format>
    <format dxfId="256">
      <pivotArea dataOnly="0" labelOnly="1" outline="0" axis="axisValues" fieldPosition="0"/>
    </format>
    <format dxfId="255">
      <pivotArea dataOnly="0" labelOnly="1" fieldPosition="0">
        <references count="1">
          <reference field="3" count="0"/>
        </references>
      </pivotArea>
    </format>
    <format dxfId="254">
      <pivotArea dataOnly="0" labelOnly="1" fieldPosition="0">
        <references count="1">
          <reference field="3" count="0"/>
        </references>
      </pivotArea>
    </format>
    <format dxfId="253">
      <pivotArea collapsedLevelsAreSubtotals="1" fieldPosition="0">
        <references count="1">
          <reference field="3" count="0"/>
        </references>
      </pivotArea>
    </format>
    <format dxfId="252">
      <pivotArea type="all" dataOnly="0" outline="0" fieldPosition="0"/>
    </format>
    <format dxfId="251">
      <pivotArea collapsedLevelsAreSubtotals="1" fieldPosition="0">
        <references count="1">
          <reference field="3" count="0"/>
        </references>
      </pivotArea>
    </format>
    <format dxfId="250">
      <pivotArea grandRow="1" outline="0" collapsedLevelsAreSubtotals="1" fieldPosition="0"/>
    </format>
    <format dxfId="249">
      <pivotArea type="all" dataOnly="0" outline="0" fieldPosition="0"/>
    </format>
    <format dxfId="248">
      <pivotArea outline="0" collapsedLevelsAreSubtotals="1" fieldPosition="0"/>
    </format>
    <format dxfId="247">
      <pivotArea field="3" type="button" dataOnly="0" labelOnly="1" outline="0" axis="axisRow" fieldPosition="0"/>
    </format>
    <format dxfId="246">
      <pivotArea dataOnly="0" labelOnly="1" fieldPosition="0">
        <references count="1">
          <reference field="3" count="0"/>
        </references>
      </pivotArea>
    </format>
    <format dxfId="245">
      <pivotArea dataOnly="0" labelOnly="1" grandRow="1" outline="0" fieldPosition="0"/>
    </format>
    <format dxfId="244">
      <pivotArea dataOnly="0" labelOnly="1" outline="0" axis="axisValues" fieldPosition="0"/>
    </format>
  </formats>
  <chartFormats count="5">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3" count="1" selected="0">
            <x v="0"/>
          </reference>
        </references>
      </pivotArea>
    </chartFormat>
    <chartFormat chart="1" format="3">
      <pivotArea type="data" outline="0" fieldPosition="0">
        <references count="2">
          <reference field="4294967294" count="1" selected="0">
            <x v="0"/>
          </reference>
          <reference field="3" count="1" selected="0">
            <x v="1"/>
          </reference>
        </references>
      </pivotArea>
    </chartFormat>
    <chartFormat chart="1" format="4">
      <pivotArea type="data" outline="0" fieldPosition="0">
        <references count="2">
          <reference field="4294967294" count="1" selected="0">
            <x v="0"/>
          </reference>
          <reference field="3" count="1" selected="0">
            <x v="2"/>
          </reference>
        </references>
      </pivotArea>
    </chartFormat>
    <chartFormat chart="1" format="5">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A12A24-FC92-438B-8899-36F94A944B71}"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rowHeaderCaption="Region">
  <location ref="J5:K10" firstHeaderRow="1" firstDataRow="1" firstDataCol="1"/>
  <pivotFields count="18">
    <pivotField showAll="0"/>
    <pivotField showAll="0"/>
    <pivotField numFmtId="14" showAll="0"/>
    <pivotField showAll="0"/>
    <pivotField showAll="0"/>
    <pivotField showAll="0"/>
    <pivotField showAll="0">
      <items count="41">
        <item x="19"/>
        <item x="16"/>
        <item x="36"/>
        <item x="1"/>
        <item x="22"/>
        <item x="29"/>
        <item x="13"/>
        <item x="2"/>
        <item x="32"/>
        <item x="10"/>
        <item x="14"/>
        <item x="23"/>
        <item x="0"/>
        <item x="28"/>
        <item x="39"/>
        <item x="31"/>
        <item x="12"/>
        <item x="11"/>
        <item x="35"/>
        <item x="25"/>
        <item x="37"/>
        <item x="8"/>
        <item x="33"/>
        <item x="38"/>
        <item x="30"/>
        <item x="27"/>
        <item x="15"/>
        <item x="3"/>
        <item x="24"/>
        <item x="26"/>
        <item x="21"/>
        <item x="9"/>
        <item x="34"/>
        <item x="20"/>
        <item x="18"/>
        <item x="5"/>
        <item x="7"/>
        <item x="17"/>
        <item x="4"/>
        <item x="6"/>
        <item t="default"/>
      </items>
    </pivotField>
    <pivotField axis="axisRow" showAll="0">
      <items count="5">
        <item x="2"/>
        <item x="3"/>
        <item x="0"/>
        <item x="1"/>
        <item t="default"/>
      </items>
    </pivotField>
    <pivotField showAll="0">
      <items count="4">
        <item x="0"/>
        <item x="1"/>
        <item x="2"/>
        <item t="default"/>
      </items>
    </pivotField>
    <pivotField showAll="0"/>
    <pivotField showAll="0"/>
    <pivotField showAll="0"/>
    <pivotField showAll="0"/>
    <pivotField showAll="0"/>
    <pivotField showAll="0"/>
    <pivotField dataField="1" showAll="0"/>
    <pivotField showAll="0">
      <items count="5">
        <item x="2"/>
        <item x="1"/>
        <item x="0"/>
        <item x="3"/>
        <item t="default"/>
      </items>
    </pivotField>
    <pivotField showAll="0">
      <items count="13">
        <item x="9"/>
        <item x="11"/>
        <item x="10"/>
        <item x="3"/>
        <item x="5"/>
        <item x="1"/>
        <item x="7"/>
        <item x="6"/>
        <item x="8"/>
        <item x="2"/>
        <item x="0"/>
        <item x="4"/>
        <item t="default"/>
      </items>
    </pivotField>
  </pivotFields>
  <rowFields count="1">
    <field x="7"/>
  </rowFields>
  <rowItems count="5">
    <i>
      <x/>
    </i>
    <i>
      <x v="1"/>
    </i>
    <i>
      <x v="2"/>
    </i>
    <i>
      <x v="3"/>
    </i>
    <i t="grand">
      <x/>
    </i>
  </rowItems>
  <colItems count="1">
    <i/>
  </colItems>
  <dataFields count="1">
    <dataField name="Sum of Amount" fld="15" baseField="7" baseItem="2" numFmtId="164"/>
  </dataFields>
  <formats count="63">
    <format dxfId="374">
      <pivotArea collapsedLevelsAreSubtotals="1" fieldPosition="0">
        <references count="1">
          <reference field="7" count="1">
            <x v="0"/>
          </reference>
        </references>
      </pivotArea>
    </format>
    <format dxfId="373">
      <pivotArea outline="0" collapsedLevelsAreSubtotals="1" fieldPosition="0"/>
    </format>
    <format dxfId="372">
      <pivotArea outline="0" fieldPosition="0">
        <references count="1">
          <reference field="4294967294" count="1">
            <x v="0"/>
          </reference>
        </references>
      </pivotArea>
    </format>
    <format dxfId="371">
      <pivotArea field="7" type="button" dataOnly="0" labelOnly="1" outline="0" axis="axisRow" fieldPosition="0"/>
    </format>
    <format dxfId="370">
      <pivotArea dataOnly="0" labelOnly="1" outline="0" axis="axisValues" fieldPosition="0"/>
    </format>
    <format dxfId="369">
      <pivotArea grandRow="1" outline="0" collapsedLevelsAreSubtotals="1" fieldPosition="0"/>
    </format>
    <format dxfId="368">
      <pivotArea dataOnly="0" labelOnly="1" grandRow="1" outline="0" fieldPosition="0"/>
    </format>
    <format dxfId="367">
      <pivotArea grandRow="1" outline="0" collapsedLevelsAreSubtotals="1" fieldPosition="0"/>
    </format>
    <format dxfId="366">
      <pivotArea dataOnly="0" labelOnly="1" grandRow="1" outline="0" fieldPosition="0"/>
    </format>
    <format dxfId="365">
      <pivotArea field="7" type="button" dataOnly="0" labelOnly="1" outline="0" axis="axisRow" fieldPosition="0"/>
    </format>
    <format dxfId="364">
      <pivotArea dataOnly="0" labelOnly="1" outline="0" axis="axisValues" fieldPosition="0"/>
    </format>
    <format dxfId="363">
      <pivotArea grandRow="1" outline="0" collapsedLevelsAreSubtotals="1" fieldPosition="0"/>
    </format>
    <format dxfId="362">
      <pivotArea dataOnly="0" labelOnly="1" grandRow="1" outline="0" fieldPosition="0"/>
    </format>
    <format dxfId="361">
      <pivotArea type="all" dataOnly="0" outline="0" fieldPosition="0"/>
    </format>
    <format dxfId="360">
      <pivotArea outline="0" collapsedLevelsAreSubtotals="1" fieldPosition="0"/>
    </format>
    <format dxfId="359">
      <pivotArea field="7" type="button" dataOnly="0" labelOnly="1" outline="0" axis="axisRow" fieldPosition="0"/>
    </format>
    <format dxfId="358">
      <pivotArea dataOnly="0" labelOnly="1" fieldPosition="0">
        <references count="1">
          <reference field="7" count="0"/>
        </references>
      </pivotArea>
    </format>
    <format dxfId="357">
      <pivotArea dataOnly="0" labelOnly="1" grandRow="1" outline="0" fieldPosition="0"/>
    </format>
    <format dxfId="356">
      <pivotArea dataOnly="0" labelOnly="1" outline="0" axis="axisValues" fieldPosition="0"/>
    </format>
    <format dxfId="355">
      <pivotArea type="all" dataOnly="0" outline="0" fieldPosition="0"/>
    </format>
    <format dxfId="354">
      <pivotArea outline="0" collapsedLevelsAreSubtotals="1" fieldPosition="0"/>
    </format>
    <format dxfId="353">
      <pivotArea field="7" type="button" dataOnly="0" labelOnly="1" outline="0" axis="axisRow" fieldPosition="0"/>
    </format>
    <format dxfId="352">
      <pivotArea dataOnly="0" labelOnly="1" fieldPosition="0">
        <references count="1">
          <reference field="7" count="0"/>
        </references>
      </pivotArea>
    </format>
    <format dxfId="351">
      <pivotArea dataOnly="0" labelOnly="1" grandRow="1" outline="0" fieldPosition="0"/>
    </format>
    <format dxfId="350">
      <pivotArea dataOnly="0" labelOnly="1" outline="0" axis="axisValues" fieldPosition="0"/>
    </format>
    <format dxfId="349">
      <pivotArea type="all" dataOnly="0" outline="0" fieldPosition="0"/>
    </format>
    <format dxfId="348">
      <pivotArea outline="0" collapsedLevelsAreSubtotals="1" fieldPosition="0"/>
    </format>
    <format dxfId="347">
      <pivotArea dataOnly="0" labelOnly="1" fieldPosition="0">
        <references count="1">
          <reference field="7" count="0"/>
        </references>
      </pivotArea>
    </format>
    <format dxfId="346">
      <pivotArea field="7" type="button" dataOnly="0" labelOnly="1" outline="0" axis="axisRow" fieldPosition="0"/>
    </format>
    <format dxfId="345">
      <pivotArea dataOnly="0" labelOnly="1" outline="0" axis="axisValues" fieldPosition="0"/>
    </format>
    <format dxfId="344">
      <pivotArea dataOnly="0" labelOnly="1" grandRow="1" outline="0" fieldPosition="0"/>
    </format>
    <format dxfId="343">
      <pivotArea type="all" dataOnly="0" outline="0" fieldPosition="0"/>
    </format>
    <format dxfId="342">
      <pivotArea outline="0" collapsedLevelsAreSubtotals="1" fieldPosition="0"/>
    </format>
    <format dxfId="341">
      <pivotArea field="7" type="button" dataOnly="0" labelOnly="1" outline="0" axis="axisRow" fieldPosition="0"/>
    </format>
    <format dxfId="340">
      <pivotArea dataOnly="0" labelOnly="1" fieldPosition="0">
        <references count="1">
          <reference field="7" count="0"/>
        </references>
      </pivotArea>
    </format>
    <format dxfId="339">
      <pivotArea dataOnly="0" labelOnly="1" grandRow="1" outline="0" fieldPosition="0"/>
    </format>
    <format dxfId="338">
      <pivotArea dataOnly="0" labelOnly="1" outline="0" axis="axisValues" fieldPosition="0"/>
    </format>
    <format dxfId="337">
      <pivotArea type="all" dataOnly="0" outline="0" fieldPosition="0"/>
    </format>
    <format dxfId="336">
      <pivotArea outline="0" collapsedLevelsAreSubtotals="1" fieldPosition="0"/>
    </format>
    <format dxfId="335">
      <pivotArea field="7" type="button" dataOnly="0" labelOnly="1" outline="0" axis="axisRow" fieldPosition="0"/>
    </format>
    <format dxfId="334">
      <pivotArea dataOnly="0" labelOnly="1" fieldPosition="0">
        <references count="1">
          <reference field="7" count="0"/>
        </references>
      </pivotArea>
    </format>
    <format dxfId="333">
      <pivotArea dataOnly="0" labelOnly="1" grandRow="1" outline="0" fieldPosition="0"/>
    </format>
    <format dxfId="332">
      <pivotArea dataOnly="0" labelOnly="1" outline="0" axis="axisValues" fieldPosition="0"/>
    </format>
    <format dxfId="331">
      <pivotArea type="all" dataOnly="0" outline="0" fieldPosition="0"/>
    </format>
    <format dxfId="330">
      <pivotArea outline="0" collapsedLevelsAreSubtotals="1" fieldPosition="0"/>
    </format>
    <format dxfId="329">
      <pivotArea field="7" type="button" dataOnly="0" labelOnly="1" outline="0" axis="axisRow" fieldPosition="0"/>
    </format>
    <format dxfId="328">
      <pivotArea dataOnly="0" labelOnly="1" fieldPosition="0">
        <references count="1">
          <reference field="7" count="0"/>
        </references>
      </pivotArea>
    </format>
    <format dxfId="327">
      <pivotArea dataOnly="0" labelOnly="1" grandRow="1" outline="0" fieldPosition="0"/>
    </format>
    <format dxfId="326">
      <pivotArea dataOnly="0" labelOnly="1" outline="0" axis="axisValues" fieldPosition="0"/>
    </format>
    <format dxfId="325">
      <pivotArea dataOnly="0" labelOnly="1" fieldPosition="0">
        <references count="1">
          <reference field="7" count="0"/>
        </references>
      </pivotArea>
    </format>
    <format dxfId="324">
      <pivotArea dataOnly="0" labelOnly="1" fieldPosition="0">
        <references count="1">
          <reference field="7" count="0"/>
        </references>
      </pivotArea>
    </format>
    <format dxfId="323">
      <pivotArea collapsedLevelsAreSubtotals="1" fieldPosition="0">
        <references count="1">
          <reference field="7" count="0"/>
        </references>
      </pivotArea>
    </format>
    <format dxfId="322">
      <pivotArea type="all" dataOnly="0" outline="0" fieldPosition="0"/>
    </format>
    <format dxfId="321">
      <pivotArea dataOnly="0" labelOnly="1" grandRow="1" outline="0" fieldPosition="0"/>
    </format>
    <format dxfId="320">
      <pivotArea collapsedLevelsAreSubtotals="1" fieldPosition="0">
        <references count="1">
          <reference field="7" count="0"/>
        </references>
      </pivotArea>
    </format>
    <format dxfId="319">
      <pivotArea grandRow="1" outline="0" collapsedLevelsAreSubtotals="1" fieldPosition="0"/>
    </format>
    <format dxfId="318">
      <pivotArea dataOnly="0" labelOnly="1" grandRow="1" outline="0" fieldPosition="0"/>
    </format>
    <format dxfId="317">
      <pivotArea type="all" dataOnly="0" outline="0" fieldPosition="0"/>
    </format>
    <format dxfId="316">
      <pivotArea outline="0" collapsedLevelsAreSubtotals="1" fieldPosition="0"/>
    </format>
    <format dxfId="315">
      <pivotArea field="7" type="button" dataOnly="0" labelOnly="1" outline="0" axis="axisRow" fieldPosition="0"/>
    </format>
    <format dxfId="314">
      <pivotArea dataOnly="0" labelOnly="1" fieldPosition="0">
        <references count="1">
          <reference field="7" count="0"/>
        </references>
      </pivotArea>
    </format>
    <format dxfId="313">
      <pivotArea dataOnly="0" labelOnly="1" grandRow="1" outline="0" fieldPosition="0"/>
    </format>
    <format dxfId="312">
      <pivotArea dataOnly="0" labelOnly="1" outline="0" axis="axisValues" fieldPosition="0"/>
    </format>
  </formats>
  <chartFormats count="5">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7" count="1" selected="0">
            <x v="0"/>
          </reference>
        </references>
      </pivotArea>
    </chartFormat>
    <chartFormat chart="1" format="3">
      <pivotArea type="data" outline="0" fieldPosition="0">
        <references count="2">
          <reference field="4294967294" count="1" selected="0">
            <x v="0"/>
          </reference>
          <reference field="7" count="1" selected="0">
            <x v="1"/>
          </reference>
        </references>
      </pivotArea>
    </chartFormat>
    <chartFormat chart="1" format="4">
      <pivotArea type="data" outline="0" fieldPosition="0">
        <references count="2">
          <reference field="4294967294" count="1" selected="0">
            <x v="0"/>
          </reference>
          <reference field="7" count="1" selected="0">
            <x v="2"/>
          </reference>
        </references>
      </pivotArea>
    </chartFormat>
    <chartFormat chart="1" format="5">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EBE333C-0B1E-481E-A097-0CB3DE4A5C81}"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J3:J4" firstHeaderRow="1" firstDataRow="1" firstDataCol="0"/>
  <pivotFields count="18">
    <pivotField showAll="0"/>
    <pivotField showAll="0"/>
    <pivotField numFmtId="14" showAll="0"/>
    <pivotField showAll="0"/>
    <pivotField showAll="0"/>
    <pivotField showAll="0"/>
    <pivotField showAll="0">
      <items count="41">
        <item x="19"/>
        <item x="16"/>
        <item x="36"/>
        <item x="1"/>
        <item x="22"/>
        <item x="29"/>
        <item x="13"/>
        <item x="2"/>
        <item x="32"/>
        <item x="10"/>
        <item x="14"/>
        <item x="23"/>
        <item x="0"/>
        <item x="28"/>
        <item x="39"/>
        <item x="31"/>
        <item x="12"/>
        <item x="11"/>
        <item x="35"/>
        <item x="25"/>
        <item x="37"/>
        <item x="8"/>
        <item x="33"/>
        <item x="38"/>
        <item x="30"/>
        <item x="27"/>
        <item x="15"/>
        <item x="3"/>
        <item x="24"/>
        <item x="26"/>
        <item x="21"/>
        <item x="9"/>
        <item x="34"/>
        <item x="20"/>
        <item x="18"/>
        <item x="5"/>
        <item x="7"/>
        <item x="17"/>
        <item x="4"/>
        <item x="6"/>
        <item t="default"/>
      </items>
    </pivotField>
    <pivotField showAll="0"/>
    <pivotField showAll="0">
      <items count="4">
        <item x="0"/>
        <item x="1"/>
        <item x="2"/>
        <item t="default"/>
      </items>
    </pivotField>
    <pivotField showAll="0"/>
    <pivotField showAll="0"/>
    <pivotField showAll="0"/>
    <pivotField showAll="0"/>
    <pivotField showAll="0"/>
    <pivotField showAll="0"/>
    <pivotField dataField="1" showAll="0"/>
    <pivotField showAll="0">
      <items count="5">
        <item x="2"/>
        <item x="1"/>
        <item x="0"/>
        <item x="3"/>
        <item t="default"/>
      </items>
    </pivotField>
    <pivotField showAll="0">
      <items count="13">
        <item x="9"/>
        <item x="11"/>
        <item x="10"/>
        <item x="3"/>
        <item x="5"/>
        <item x="1"/>
        <item x="7"/>
        <item x="6"/>
        <item x="8"/>
        <item x="2"/>
        <item x="0"/>
        <item x="4"/>
        <item t="default"/>
      </items>
    </pivotField>
  </pivotFields>
  <rowItems count="1">
    <i/>
  </rowItems>
  <colItems count="1">
    <i/>
  </colItems>
  <dataFields count="1">
    <dataField name="Sum of Amount" fld="15" baseField="0" baseItem="0" numFmtId="164"/>
  </dataFields>
  <formats count="5">
    <format dxfId="26">
      <pivotArea dataOnly="0" labelOnly="1" outline="0" axis="axisValues" fieldPosition="0"/>
    </format>
    <format dxfId="25">
      <pivotArea dataOnly="0" labelOnly="1" outline="0" axis="axisValues" fieldPosition="0"/>
    </format>
    <format dxfId="24">
      <pivotArea type="all" dataOnly="0" outline="0" fieldPosition="0"/>
    </format>
    <format dxfId="23">
      <pivotArea outline="0" collapsedLevelsAreSubtotals="1" fieldPosition="0"/>
    </format>
    <format dxfId="2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2E17021-4B4D-4E66-94B8-F66F18E92B8E}"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G3:H14" firstHeaderRow="1" firstDataRow="1" firstDataCol="1"/>
  <pivotFields count="18">
    <pivotField showAll="0"/>
    <pivotField showAll="0"/>
    <pivotField numFmtId="14" showAll="0"/>
    <pivotField showAll="0"/>
    <pivotField axis="axisRow" showAll="0" measureFilter="1">
      <items count="363">
        <item x="144"/>
        <item x="340"/>
        <item x="216"/>
        <item x="269"/>
        <item x="57"/>
        <item x="124"/>
        <item x="117"/>
        <item x="127"/>
        <item x="238"/>
        <item x="8"/>
        <item x="155"/>
        <item x="87"/>
        <item x="211"/>
        <item x="153"/>
        <item x="141"/>
        <item x="4"/>
        <item x="122"/>
        <item x="239"/>
        <item x="132"/>
        <item x="357"/>
        <item x="165"/>
        <item x="247"/>
        <item x="326"/>
        <item x="321"/>
        <item x="295"/>
        <item x="255"/>
        <item x="314"/>
        <item x="151"/>
        <item x="275"/>
        <item x="219"/>
        <item x="195"/>
        <item x="121"/>
        <item x="292"/>
        <item x="162"/>
        <item x="308"/>
        <item x="78"/>
        <item x="130"/>
        <item x="296"/>
        <item x="318"/>
        <item x="217"/>
        <item x="336"/>
        <item x="272"/>
        <item x="214"/>
        <item x="202"/>
        <item x="179"/>
        <item x="29"/>
        <item x="205"/>
        <item x="312"/>
        <item x="3"/>
        <item x="232"/>
        <item x="94"/>
        <item x="298"/>
        <item x="354"/>
        <item x="194"/>
        <item x="303"/>
        <item x="229"/>
        <item x="263"/>
        <item x="170"/>
        <item x="90"/>
        <item x="344"/>
        <item x="79"/>
        <item x="230"/>
        <item x="237"/>
        <item x="294"/>
        <item x="244"/>
        <item x="119"/>
        <item x="278"/>
        <item x="291"/>
        <item x="200"/>
        <item x="37"/>
        <item x="254"/>
        <item x="320"/>
        <item x="0"/>
        <item x="118"/>
        <item x="142"/>
        <item x="52"/>
        <item x="242"/>
        <item x="128"/>
        <item x="113"/>
        <item x="257"/>
        <item x="316"/>
        <item x="222"/>
        <item x="51"/>
        <item x="297"/>
        <item x="112"/>
        <item x="351"/>
        <item x="213"/>
        <item x="24"/>
        <item x="284"/>
        <item x="1"/>
        <item x="72"/>
        <item x="54"/>
        <item x="317"/>
        <item x="106"/>
        <item x="83"/>
        <item x="273"/>
        <item x="103"/>
        <item x="203"/>
        <item x="158"/>
        <item x="290"/>
        <item x="111"/>
        <item x="249"/>
        <item x="157"/>
        <item x="231"/>
        <item x="108"/>
        <item x="137"/>
        <item x="61"/>
        <item x="114"/>
        <item x="140"/>
        <item x="264"/>
        <item x="35"/>
        <item x="182"/>
        <item x="330"/>
        <item x="225"/>
        <item x="45"/>
        <item x="12"/>
        <item x="283"/>
        <item x="212"/>
        <item x="13"/>
        <item x="75"/>
        <item x="301"/>
        <item x="105"/>
        <item x="191"/>
        <item x="20"/>
        <item x="313"/>
        <item x="258"/>
        <item x="135"/>
        <item x="86"/>
        <item x="224"/>
        <item x="92"/>
        <item x="248"/>
        <item x="306"/>
        <item x="39"/>
        <item x="47"/>
        <item x="16"/>
        <item x="334"/>
        <item x="241"/>
        <item x="136"/>
        <item x="265"/>
        <item x="55"/>
        <item x="348"/>
        <item x="218"/>
        <item x="315"/>
        <item x="323"/>
        <item x="150"/>
        <item x="6"/>
        <item x="96"/>
        <item x="66"/>
        <item x="304"/>
        <item x="31"/>
        <item x="332"/>
        <item x="5"/>
        <item x="161"/>
        <item x="311"/>
        <item x="49"/>
        <item x="25"/>
        <item x="123"/>
        <item x="209"/>
        <item x="282"/>
        <item x="271"/>
        <item x="80"/>
        <item x="226"/>
        <item x="188"/>
        <item x="223"/>
        <item x="145"/>
        <item x="187"/>
        <item x="341"/>
        <item x="270"/>
        <item x="329"/>
        <item x="82"/>
        <item x="40"/>
        <item x="300"/>
        <item x="32"/>
        <item x="342"/>
        <item x="189"/>
        <item x="252"/>
        <item x="139"/>
        <item x="63"/>
        <item x="101"/>
        <item x="102"/>
        <item x="185"/>
        <item x="350"/>
        <item x="98"/>
        <item x="148"/>
        <item x="36"/>
        <item x="251"/>
        <item x="68"/>
        <item x="335"/>
        <item x="208"/>
        <item x="346"/>
        <item x="30"/>
        <item x="41"/>
        <item x="44"/>
        <item x="347"/>
        <item x="147"/>
        <item x="168"/>
        <item x="110"/>
        <item x="126"/>
        <item x="10"/>
        <item x="33"/>
        <item x="175"/>
        <item x="107"/>
        <item x="169"/>
        <item x="120"/>
        <item x="27"/>
        <item x="156"/>
        <item x="97"/>
        <item x="328"/>
        <item x="48"/>
        <item x="62"/>
        <item x="23"/>
        <item x="235"/>
        <item x="18"/>
        <item x="322"/>
        <item x="60"/>
        <item x="352"/>
        <item x="293"/>
        <item x="215"/>
        <item x="221"/>
        <item x="299"/>
        <item x="95"/>
        <item x="109"/>
        <item x="166"/>
        <item x="201"/>
        <item x="93"/>
        <item x="198"/>
        <item x="333"/>
        <item x="199"/>
        <item x="88"/>
        <item x="89"/>
        <item x="280"/>
        <item x="15"/>
        <item x="204"/>
        <item x="67"/>
        <item x="250"/>
        <item x="77"/>
        <item x="186"/>
        <item x="246"/>
        <item x="234"/>
        <item x="266"/>
        <item x="149"/>
        <item x="172"/>
        <item x="99"/>
        <item x="192"/>
        <item x="305"/>
        <item x="207"/>
        <item x="177"/>
        <item x="160"/>
        <item x="360"/>
        <item x="152"/>
        <item x="268"/>
        <item x="243"/>
        <item x="173"/>
        <item x="159"/>
        <item x="134"/>
        <item x="71"/>
        <item x="125"/>
        <item x="240"/>
        <item x="73"/>
        <item x="21"/>
        <item x="220"/>
        <item x="331"/>
        <item x="43"/>
        <item x="206"/>
        <item x="310"/>
        <item x="138"/>
        <item x="22"/>
        <item x="38"/>
        <item x="324"/>
        <item x="28"/>
        <item x="307"/>
        <item x="50"/>
        <item x="7"/>
        <item x="287"/>
        <item x="327"/>
        <item x="171"/>
        <item x="58"/>
        <item x="178"/>
        <item x="285"/>
        <item x="345"/>
        <item x="267"/>
        <item x="343"/>
        <item x="181"/>
        <item x="261"/>
        <item x="46"/>
        <item x="302"/>
        <item x="262"/>
        <item x="361"/>
        <item x="210"/>
        <item x="338"/>
        <item x="84"/>
        <item x="355"/>
        <item x="42"/>
        <item x="288"/>
        <item x="276"/>
        <item x="197"/>
        <item x="176"/>
        <item x="279"/>
        <item x="116"/>
        <item x="167"/>
        <item x="19"/>
        <item x="76"/>
        <item x="154"/>
        <item x="53"/>
        <item x="64"/>
        <item x="85"/>
        <item x="325"/>
        <item x="337"/>
        <item x="11"/>
        <item x="65"/>
        <item x="183"/>
        <item x="339"/>
        <item x="319"/>
        <item x="164"/>
        <item x="359"/>
        <item x="227"/>
        <item x="349"/>
        <item x="115"/>
        <item x="253"/>
        <item x="2"/>
        <item x="277"/>
        <item x="129"/>
        <item x="174"/>
        <item x="81"/>
        <item x="259"/>
        <item x="196"/>
        <item x="70"/>
        <item x="281"/>
        <item x="17"/>
        <item x="56"/>
        <item x="256"/>
        <item x="34"/>
        <item x="193"/>
        <item x="133"/>
        <item x="286"/>
        <item x="245"/>
        <item x="143"/>
        <item x="69"/>
        <item x="184"/>
        <item x="26"/>
        <item x="74"/>
        <item x="236"/>
        <item x="353"/>
        <item x="131"/>
        <item x="260"/>
        <item x="309"/>
        <item x="358"/>
        <item x="14"/>
        <item x="274"/>
        <item x="356"/>
        <item x="180"/>
        <item x="59"/>
        <item x="228"/>
        <item x="104"/>
        <item x="91"/>
        <item x="163"/>
        <item x="146"/>
        <item x="100"/>
        <item x="190"/>
        <item x="289"/>
        <item x="233"/>
        <item x="9"/>
        <item t="default"/>
      </items>
    </pivotField>
    <pivotField showAll="0"/>
    <pivotField showAll="0">
      <items count="41">
        <item x="19"/>
        <item x="16"/>
        <item x="36"/>
        <item x="1"/>
        <item x="22"/>
        <item x="29"/>
        <item x="13"/>
        <item x="2"/>
        <item x="32"/>
        <item x="10"/>
        <item x="14"/>
        <item x="23"/>
        <item x="0"/>
        <item x="28"/>
        <item x="39"/>
        <item x="31"/>
        <item x="12"/>
        <item x="11"/>
        <item x="35"/>
        <item x="25"/>
        <item x="37"/>
        <item x="8"/>
        <item x="33"/>
        <item x="38"/>
        <item x="30"/>
        <item x="27"/>
        <item x="15"/>
        <item x="3"/>
        <item x="24"/>
        <item x="26"/>
        <item x="21"/>
        <item x="9"/>
        <item x="34"/>
        <item x="20"/>
        <item x="18"/>
        <item x="5"/>
        <item x="7"/>
        <item x="17"/>
        <item x="4"/>
        <item x="6"/>
        <item t="default"/>
      </items>
    </pivotField>
    <pivotField showAll="0"/>
    <pivotField showAll="0">
      <items count="4">
        <item x="0"/>
        <item x="1"/>
        <item x="2"/>
        <item t="default"/>
      </items>
    </pivotField>
    <pivotField showAll="0"/>
    <pivotField showAll="0"/>
    <pivotField showAll="0"/>
    <pivotField showAll="0"/>
    <pivotField showAll="0"/>
    <pivotField showAll="0"/>
    <pivotField dataField="1" showAll="0"/>
    <pivotField showAll="0">
      <items count="5">
        <item x="2"/>
        <item x="1"/>
        <item x="0"/>
        <item x="3"/>
        <item t="default"/>
      </items>
    </pivotField>
    <pivotField showAll="0">
      <items count="13">
        <item x="9"/>
        <item x="11"/>
        <item x="10"/>
        <item x="3"/>
        <item x="5"/>
        <item x="1"/>
        <item x="7"/>
        <item x="6"/>
        <item x="8"/>
        <item x="2"/>
        <item x="0"/>
        <item x="4"/>
        <item t="default"/>
      </items>
    </pivotField>
  </pivotFields>
  <rowFields count="1">
    <field x="4"/>
  </rowFields>
  <rowItems count="11">
    <i>
      <x v="4"/>
    </i>
    <i>
      <x v="35"/>
    </i>
    <i>
      <x v="48"/>
    </i>
    <i>
      <x v="68"/>
    </i>
    <i>
      <x v="104"/>
    </i>
    <i>
      <x v="186"/>
    </i>
    <i>
      <x v="195"/>
    </i>
    <i>
      <x v="196"/>
    </i>
    <i>
      <x v="248"/>
    </i>
    <i>
      <x v="296"/>
    </i>
    <i t="grand">
      <x/>
    </i>
  </rowItems>
  <colItems count="1">
    <i/>
  </colItems>
  <dataFields count="1">
    <dataField name="Sum of Amount" fld="15" baseField="4" baseItem="0" numFmtId="164"/>
  </dataFields>
  <formats count="15">
    <format dxfId="41">
      <pivotArea dataOnly="0" grandRow="1" axis="axisRow" fieldPosition="0"/>
    </format>
    <format dxfId="40">
      <pivotArea field="4" type="button" dataOnly="0" labelOnly="1" outline="0" axis="axisRow" fieldPosition="0"/>
    </format>
    <format dxfId="39">
      <pivotArea dataOnly="0" labelOnly="1" outline="0" axis="axisValues" fieldPosition="0"/>
    </format>
    <format dxfId="38">
      <pivotArea grandRow="1" outline="0" collapsedLevelsAreSubtotals="1" fieldPosition="0"/>
    </format>
    <format dxfId="37">
      <pivotArea dataOnly="0" labelOnly="1" grandRow="1" outline="0" fieldPosition="0"/>
    </format>
    <format dxfId="36">
      <pivotArea field="4" type="button" dataOnly="0" labelOnly="1" outline="0" axis="axisRow" fieldPosition="0"/>
    </format>
    <format dxfId="35">
      <pivotArea dataOnly="0" labelOnly="1" outline="0" axis="axisValues" fieldPosition="0"/>
    </format>
    <format dxfId="34">
      <pivotArea grandRow="1" outline="0" collapsedLevelsAreSubtotals="1" fieldPosition="0"/>
    </format>
    <format dxfId="33">
      <pivotArea dataOnly="0" labelOnly="1" grandRow="1" outline="0" fieldPosition="0"/>
    </format>
    <format dxfId="32">
      <pivotArea type="all" dataOnly="0" outline="0" fieldPosition="0"/>
    </format>
    <format dxfId="31">
      <pivotArea outline="0" collapsedLevelsAreSubtotals="1" fieldPosition="0"/>
    </format>
    <format dxfId="30">
      <pivotArea field="4" type="button" dataOnly="0" labelOnly="1" outline="0" axis="axisRow" fieldPosition="0"/>
    </format>
    <format dxfId="29">
      <pivotArea dataOnly="0" labelOnly="1" fieldPosition="0">
        <references count="1">
          <reference field="4" count="10">
            <x v="4"/>
            <x v="35"/>
            <x v="48"/>
            <x v="68"/>
            <x v="104"/>
            <x v="186"/>
            <x v="195"/>
            <x v="196"/>
            <x v="248"/>
            <x v="296"/>
          </reference>
        </references>
      </pivotArea>
    </format>
    <format dxfId="28">
      <pivotArea dataOnly="0" labelOnly="1" grandRow="1" outline="0" fieldPosition="0"/>
    </format>
    <format dxfId="27">
      <pivotArea dataOnly="0" labelOnly="1" outline="0" axis="axisValues"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52C7D8D-0626-4DF7-A736-CF6059A03EA8}"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N3:N8" firstHeaderRow="1" firstDataRow="1" firstDataCol="1"/>
  <pivotFields count="18">
    <pivotField showAll="0"/>
    <pivotField showAll="0"/>
    <pivotField numFmtId="14" showAll="0"/>
    <pivotField showAll="0"/>
    <pivotField showAll="0"/>
    <pivotField showAll="0"/>
    <pivotField showAll="0">
      <items count="41">
        <item x="19"/>
        <item x="16"/>
        <item x="36"/>
        <item x="1"/>
        <item x="22"/>
        <item x="29"/>
        <item x="13"/>
        <item x="2"/>
        <item x="32"/>
        <item x="10"/>
        <item x="14"/>
        <item x="23"/>
        <item x="0"/>
        <item x="28"/>
        <item x="39"/>
        <item x="31"/>
        <item x="12"/>
        <item x="11"/>
        <item x="35"/>
        <item x="25"/>
        <item x="37"/>
        <item x="8"/>
        <item x="33"/>
        <item x="38"/>
        <item x="30"/>
        <item x="27"/>
        <item x="15"/>
        <item x="3"/>
        <item x="24"/>
        <item x="26"/>
        <item x="21"/>
        <item x="9"/>
        <item x="34"/>
        <item x="20"/>
        <item x="18"/>
        <item x="5"/>
        <item x="7"/>
        <item x="17"/>
        <item x="4"/>
        <item x="6"/>
        <item t="default"/>
      </items>
    </pivotField>
    <pivotField showAll="0"/>
    <pivotField showAll="0">
      <items count="4">
        <item x="0"/>
        <item x="1"/>
        <item x="2"/>
        <item t="default"/>
      </items>
    </pivotField>
    <pivotField showAll="0"/>
    <pivotField showAll="0"/>
    <pivotField numFmtId="164" showAll="0"/>
    <pivotField showAll="0"/>
    <pivotField showAll="0"/>
    <pivotField numFmtId="164" showAll="0"/>
    <pivotField numFmtId="164" showAll="0"/>
    <pivotField axis="axisRow" showAll="0">
      <items count="5">
        <item x="2"/>
        <item x="1"/>
        <item x="0"/>
        <item x="3"/>
        <item t="default"/>
      </items>
    </pivotField>
    <pivotField showAll="0">
      <items count="13">
        <item x="9"/>
        <item x="11"/>
        <item x="10"/>
        <item x="3"/>
        <item x="5"/>
        <item x="1"/>
        <item x="7"/>
        <item x="6"/>
        <item x="8"/>
        <item x="2"/>
        <item x="0"/>
        <item x="4"/>
        <item t="default"/>
      </items>
    </pivotField>
  </pivotFields>
  <rowFields count="1">
    <field x="16"/>
  </rowFields>
  <rowItems count="5">
    <i>
      <x/>
    </i>
    <i>
      <x v="1"/>
    </i>
    <i>
      <x v="2"/>
    </i>
    <i>
      <x v="3"/>
    </i>
    <i t="grand">
      <x/>
    </i>
  </rowItems>
  <colItems count="1">
    <i/>
  </colItems>
  <formats count="4">
    <format dxfId="45">
      <pivotArea field="16" type="button" dataOnly="0" labelOnly="1" outline="0" axis="axisRow" fieldPosition="0"/>
    </format>
    <format dxfId="44">
      <pivotArea dataOnly="0" labelOnly="1" grandRow="1" outline="0" fieldPosition="0"/>
    </format>
    <format dxfId="43">
      <pivotArea field="16" type="button" dataOnly="0" labelOnly="1" outline="0" axis="axisRow" fieldPosition="0"/>
    </format>
    <format dxfId="42">
      <pivotArea dataOnly="0" labelOnly="1" fieldPosition="0">
        <references count="1">
          <reference field="16"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0DFFB09-82AD-4C20-9087-42C55B2CCC01}" name="PivotTable7"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location ref="A20:B60" firstHeaderRow="1" firstDataRow="1" firstDataCol="1"/>
  <pivotFields count="18">
    <pivotField showAll="0"/>
    <pivotField showAll="0"/>
    <pivotField numFmtId="14" showAll="0"/>
    <pivotField showAll="0"/>
    <pivotField showAll="0"/>
    <pivotField showAll="0"/>
    <pivotField axis="axisRow" showAll="0">
      <items count="41">
        <item x="19"/>
        <item x="16"/>
        <item x="36"/>
        <item x="1"/>
        <item x="22"/>
        <item x="29"/>
        <item x="13"/>
        <item x="2"/>
        <item x="32"/>
        <item x="10"/>
        <item x="14"/>
        <item x="23"/>
        <item x="0"/>
        <item x="28"/>
        <item x="39"/>
        <item x="31"/>
        <item x="12"/>
        <item x="11"/>
        <item x="35"/>
        <item x="25"/>
        <item x="37"/>
        <item x="8"/>
        <item x="33"/>
        <item x="38"/>
        <item x="30"/>
        <item x="27"/>
        <item x="15"/>
        <item x="3"/>
        <item x="24"/>
        <item x="26"/>
        <item x="21"/>
        <item x="9"/>
        <item x="34"/>
        <item x="20"/>
        <item x="18"/>
        <item x="5"/>
        <item x="7"/>
        <item x="17"/>
        <item x="4"/>
        <item x="6"/>
        <item t="default"/>
      </items>
    </pivotField>
    <pivotField showAll="0"/>
    <pivotField showAll="0">
      <items count="4">
        <item x="0"/>
        <item x="1"/>
        <item x="2"/>
        <item t="default"/>
      </items>
    </pivotField>
    <pivotField showAll="0"/>
    <pivotField showAll="0"/>
    <pivotField numFmtId="164" showAll="0"/>
    <pivotField showAll="0"/>
    <pivotField showAll="0"/>
    <pivotField numFmtId="164" showAll="0"/>
    <pivotField dataField="1" numFmtId="164" showAll="0"/>
    <pivotField showAll="0">
      <items count="5">
        <item x="2"/>
        <item x="1"/>
        <item x="0"/>
        <item x="3"/>
        <item t="default"/>
      </items>
    </pivotField>
    <pivotField showAll="0">
      <items count="13">
        <item x="9"/>
        <item x="11"/>
        <item x="10"/>
        <item x="3"/>
        <item x="5"/>
        <item x="1"/>
        <item x="7"/>
        <item x="6"/>
        <item x="8"/>
        <item x="2"/>
        <item x="0"/>
        <item x="4"/>
        <item t="default"/>
      </items>
    </pivotField>
  </pivotFields>
  <rowFields count="1">
    <field x="6"/>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rowItems>
  <colItems count="1">
    <i/>
  </colItems>
  <dataFields count="1">
    <dataField name="Sum of Amount" fld="15" baseField="6" baseItem="0" numFmtId="3"/>
  </dataFields>
  <formats count="8">
    <format dxfId="53">
      <pivotArea collapsedLevelsAreSubtotals="1" fieldPosition="0">
        <references count="1">
          <reference field="6" count="1">
            <x v="5"/>
          </reference>
        </references>
      </pivotArea>
    </format>
    <format dxfId="52">
      <pivotArea outline="0" fieldPosition="0">
        <references count="1">
          <reference field="4294967294" count="1">
            <x v="0"/>
          </reference>
        </references>
      </pivotArea>
    </format>
    <format dxfId="51">
      <pivotArea type="all" dataOnly="0" outline="0" fieldPosition="0"/>
    </format>
    <format dxfId="50">
      <pivotArea outline="0" collapsedLevelsAreSubtotals="1" fieldPosition="0"/>
    </format>
    <format dxfId="49">
      <pivotArea field="6" type="button" dataOnly="0" labelOnly="1" outline="0" axis="axisRow" fieldPosition="0"/>
    </format>
    <format dxfId="48">
      <pivotArea dataOnly="0" labelOnly="1" fieldPosition="0">
        <references count="1">
          <reference field="6" count="0"/>
        </references>
      </pivotArea>
    </format>
    <format dxfId="47">
      <pivotArea dataOnly="0" labelOnly="1" grandRow="1" outline="0" fieldPosition="0"/>
    </format>
    <format dxfId="4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CA33B6C-C194-45A8-A0B6-CABBB7465596}"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N13:O19" firstHeaderRow="1" firstDataRow="1" firstDataCol="1"/>
  <pivotFields count="18">
    <pivotField showAll="0"/>
    <pivotField showAll="0"/>
    <pivotField numFmtId="14" showAll="0"/>
    <pivotField showAll="0"/>
    <pivotField showAll="0"/>
    <pivotField showAll="0"/>
    <pivotField showAll="0">
      <items count="41">
        <item x="19"/>
        <item x="16"/>
        <item x="36"/>
        <item x="1"/>
        <item x="22"/>
        <item x="29"/>
        <item x="13"/>
        <item x="2"/>
        <item x="32"/>
        <item x="10"/>
        <item x="14"/>
        <item x="23"/>
        <item x="0"/>
        <item x="28"/>
        <item x="39"/>
        <item x="31"/>
        <item x="12"/>
        <item x="11"/>
        <item x="35"/>
        <item x="25"/>
        <item x="37"/>
        <item x="8"/>
        <item x="33"/>
        <item x="38"/>
        <item x="30"/>
        <item x="27"/>
        <item x="15"/>
        <item x="3"/>
        <item x="24"/>
        <item x="26"/>
        <item x="21"/>
        <item x="9"/>
        <item x="34"/>
        <item x="20"/>
        <item x="18"/>
        <item x="5"/>
        <item x="7"/>
        <item x="17"/>
        <item x="4"/>
        <item x="6"/>
        <item t="default"/>
      </items>
    </pivotField>
    <pivotField showAll="0"/>
    <pivotField showAll="0">
      <items count="4">
        <item x="0"/>
        <item x="1"/>
        <item x="2"/>
        <item t="default"/>
      </items>
    </pivotField>
    <pivotField showAll="0"/>
    <pivotField axis="axisRow" showAll="0" measureFilter="1">
      <items count="764">
        <item x="753"/>
        <item x="588"/>
        <item x="318"/>
        <item x="36"/>
        <item x="77"/>
        <item x="560"/>
        <item x="352"/>
        <item x="345"/>
        <item x="408"/>
        <item x="620"/>
        <item x="182"/>
        <item x="401"/>
        <item x="74"/>
        <item x="93"/>
        <item x="297"/>
        <item x="237"/>
        <item x="167"/>
        <item x="410"/>
        <item x="315"/>
        <item x="719"/>
        <item x="732"/>
        <item x="31"/>
        <item x="696"/>
        <item x="536"/>
        <item x="61"/>
        <item x="636"/>
        <item x="22"/>
        <item x="755"/>
        <item x="605"/>
        <item x="354"/>
        <item x="682"/>
        <item x="660"/>
        <item x="675"/>
        <item x="169"/>
        <item x="597"/>
        <item x="515"/>
        <item x="557"/>
        <item x="503"/>
        <item x="320"/>
        <item x="162"/>
        <item x="562"/>
        <item x="227"/>
        <item x="670"/>
        <item x="253"/>
        <item x="246"/>
        <item x="203"/>
        <item x="42"/>
        <item x="493"/>
        <item x="659"/>
        <item x="52"/>
        <item x="196"/>
        <item x="457"/>
        <item x="263"/>
        <item x="485"/>
        <item x="555"/>
        <item x="337"/>
        <item x="494"/>
        <item x="429"/>
        <item x="391"/>
        <item x="373"/>
        <item x="250"/>
        <item x="702"/>
        <item x="347"/>
        <item x="520"/>
        <item x="126"/>
        <item x="141"/>
        <item x="701"/>
        <item x="432"/>
        <item x="57"/>
        <item x="116"/>
        <item x="288"/>
        <item x="302"/>
        <item x="53"/>
        <item x="506"/>
        <item x="173"/>
        <item x="37"/>
        <item x="179"/>
        <item x="150"/>
        <item x="580"/>
        <item x="488"/>
        <item x="617"/>
        <item x="547"/>
        <item x="688"/>
        <item x="690"/>
        <item x="49"/>
        <item x="676"/>
        <item x="255"/>
        <item x="579"/>
        <item x="522"/>
        <item x="639"/>
        <item x="199"/>
        <item x="607"/>
        <item x="286"/>
        <item x="166"/>
        <item x="85"/>
        <item x="264"/>
        <item x="573"/>
        <item x="149"/>
        <item x="396"/>
        <item x="322"/>
        <item x="68"/>
        <item x="614"/>
        <item x="109"/>
        <item x="554"/>
        <item x="739"/>
        <item x="122"/>
        <item x="743"/>
        <item x="570"/>
        <item x="78"/>
        <item x="98"/>
        <item x="359"/>
        <item x="307"/>
        <item x="96"/>
        <item x="176"/>
        <item x="276"/>
        <item x="481"/>
        <item x="27"/>
        <item x="734"/>
        <item x="102"/>
        <item x="243"/>
        <item x="438"/>
        <item x="233"/>
        <item x="643"/>
        <item x="143"/>
        <item x="321"/>
        <item x="9"/>
        <item x="650"/>
        <item x="550"/>
        <item x="403"/>
        <item x="611"/>
        <item x="535"/>
        <item x="387"/>
        <item x="210"/>
        <item x="121"/>
        <item x="735"/>
        <item x="258"/>
        <item x="363"/>
        <item x="371"/>
        <item x="601"/>
        <item x="751"/>
        <item x="155"/>
        <item x="313"/>
        <item x="705"/>
        <item x="183"/>
        <item x="581"/>
        <item x="184"/>
        <item x="589"/>
        <item x="257"/>
        <item x="400"/>
        <item x="666"/>
        <item x="626"/>
        <item x="281"/>
        <item x="30"/>
        <item x="290"/>
        <item x="189"/>
        <item x="277"/>
        <item x="190"/>
        <item x="489"/>
        <item x="3"/>
        <item x="216"/>
        <item x="618"/>
        <item x="756"/>
        <item x="370"/>
        <item x="411"/>
        <item x="215"/>
        <item x="574"/>
        <item x="415"/>
        <item x="0"/>
        <item x="712"/>
        <item x="266"/>
        <item x="633"/>
        <item x="388"/>
        <item x="456"/>
        <item x="292"/>
        <item x="349"/>
        <item x="624"/>
        <item x="591"/>
        <item x="416"/>
        <item x="473"/>
        <item x="530"/>
        <item x="460"/>
        <item x="594"/>
        <item x="561"/>
        <item x="10"/>
        <item x="616"/>
        <item x="524"/>
        <item x="201"/>
        <item x="240"/>
        <item x="19"/>
        <item x="495"/>
        <item x="424"/>
        <item x="638"/>
        <item x="665"/>
        <item x="440"/>
        <item x="647"/>
        <item x="558"/>
        <item x="599"/>
        <item x="283"/>
        <item x="627"/>
        <item x="48"/>
        <item x="744"/>
        <item x="436"/>
        <item x="379"/>
        <item x="117"/>
        <item x="746"/>
        <item x="356"/>
        <item x="504"/>
        <item x="136"/>
        <item x="377"/>
        <item x="346"/>
        <item x="572"/>
        <item x="500"/>
        <item x="514"/>
        <item x="748"/>
        <item x="698"/>
        <item x="526"/>
        <item x="527"/>
        <item x="185"/>
        <item x="421"/>
        <item x="101"/>
        <item x="480"/>
        <item x="442"/>
        <item x="736"/>
        <item x="287"/>
        <item x="684"/>
        <item x="709"/>
        <item x="404"/>
        <item x="382"/>
        <item x="628"/>
        <item x="679"/>
        <item x="319"/>
        <item x="291"/>
        <item x="508"/>
        <item x="8"/>
        <item x="33"/>
        <item x="417"/>
        <item x="73"/>
        <item x="546"/>
        <item x="225"/>
        <item x="545"/>
        <item x="192"/>
        <item x="41"/>
        <item x="125"/>
        <item x="269"/>
        <item x="76"/>
        <item x="285"/>
        <item x="5"/>
        <item x="4"/>
        <item x="465"/>
        <item x="393"/>
        <item x="86"/>
        <item x="700"/>
        <item x="254"/>
        <item x="645"/>
        <item x="325"/>
        <item x="278"/>
        <item x="35"/>
        <item x="622"/>
        <item x="476"/>
        <item x="381"/>
        <item x="238"/>
        <item x="191"/>
        <item x="474"/>
        <item x="549"/>
        <item x="642"/>
        <item x="206"/>
        <item x="452"/>
        <item x="282"/>
        <item x="586"/>
        <item x="730"/>
        <item x="399"/>
        <item x="392"/>
        <item x="95"/>
        <item x="673"/>
        <item x="699"/>
        <item x="717"/>
        <item x="571"/>
        <item x="435"/>
        <item x="13"/>
        <item x="758"/>
        <item x="451"/>
        <item x="231"/>
        <item x="414"/>
        <item x="663"/>
        <item x="621"/>
        <item x="426"/>
        <item x="17"/>
        <item x="513"/>
        <item x="330"/>
        <item x="298"/>
        <item x="551"/>
        <item x="610"/>
        <item x="134"/>
        <item x="92"/>
        <item x="275"/>
        <item x="703"/>
        <item x="280"/>
        <item x="115"/>
        <item x="316"/>
        <item x="612"/>
        <item x="692"/>
        <item x="214"/>
        <item x="625"/>
        <item x="582"/>
        <item x="301"/>
        <item x="491"/>
        <item x="142"/>
        <item x="383"/>
        <item x="669"/>
        <item x="655"/>
        <item x="608"/>
        <item x="444"/>
        <item x="338"/>
        <item x="261"/>
        <item x="380"/>
        <item x="497"/>
        <item x="133"/>
        <item x="517"/>
        <item x="34"/>
        <item x="397"/>
        <item x="713"/>
        <item x="662"/>
        <item x="464"/>
        <item x="120"/>
        <item x="268"/>
        <item x="23"/>
        <item x="390"/>
        <item x="323"/>
        <item x="38"/>
        <item x="406"/>
        <item x="654"/>
        <item x="229"/>
        <item x="51"/>
        <item x="212"/>
        <item x="531"/>
        <item x="213"/>
        <item x="124"/>
        <item x="445"/>
        <item x="64"/>
        <item x="164"/>
        <item x="118"/>
        <item x="197"/>
        <item x="45"/>
        <item x="529"/>
        <item x="458"/>
        <item x="634"/>
        <item x="615"/>
        <item x="306"/>
        <item x="70"/>
        <item x="336"/>
        <item x="667"/>
        <item x="14"/>
        <item x="54"/>
        <item x="299"/>
        <item x="284"/>
        <item x="623"/>
        <item x="407"/>
        <item x="309"/>
        <item x="483"/>
        <item x="1"/>
        <item x="499"/>
        <item x="629"/>
        <item x="378"/>
        <item x="342"/>
        <item x="114"/>
        <item x="228"/>
        <item x="532"/>
        <item x="566"/>
        <item x="518"/>
        <item x="484"/>
        <item x="689"/>
        <item x="267"/>
        <item x="592"/>
        <item x="568"/>
        <item x="28"/>
        <item x="441"/>
        <item x="175"/>
        <item x="65"/>
        <item x="108"/>
        <item x="724"/>
        <item x="180"/>
        <item x="509"/>
        <item x="569"/>
        <item x="270"/>
        <item x="674"/>
        <item x="303"/>
        <item x="91"/>
        <item x="132"/>
        <item x="431"/>
        <item x="577"/>
        <item x="463"/>
        <item x="538"/>
        <item x="46"/>
        <item x="25"/>
        <item x="172"/>
        <item x="427"/>
        <item x="386"/>
        <item x="144"/>
        <item x="539"/>
        <item x="161"/>
        <item x="81"/>
        <item x="728"/>
        <item x="722"/>
        <item x="564"/>
        <item x="165"/>
        <item x="160"/>
        <item x="648"/>
        <item x="375"/>
        <item x="224"/>
        <item x="658"/>
        <item x="119"/>
        <item x="11"/>
        <item x="584"/>
        <item x="691"/>
        <item x="760"/>
        <item x="152"/>
        <item x="718"/>
        <item x="385"/>
        <item x="344"/>
        <item x="156"/>
        <item x="47"/>
        <item x="477"/>
        <item x="635"/>
        <item x="677"/>
        <item x="697"/>
        <item x="247"/>
        <item x="687"/>
        <item x="695"/>
        <item x="428"/>
        <item x="409"/>
        <item x="100"/>
        <item x="434"/>
        <item x="343"/>
        <item x="234"/>
        <item x="265"/>
        <item x="295"/>
        <item x="590"/>
        <item x="606"/>
        <item x="106"/>
        <item x="603"/>
        <item x="84"/>
        <item x="685"/>
        <item x="218"/>
        <item x="50"/>
        <item x="32"/>
        <item x="63"/>
        <item x="741"/>
        <item x="221"/>
        <item x="575"/>
        <item x="762"/>
        <item x="107"/>
        <item x="598"/>
        <item x="466"/>
        <item x="505"/>
        <item x="534"/>
        <item x="559"/>
        <item x="720"/>
        <item x="678"/>
        <item x="716"/>
        <item x="198"/>
        <item x="405"/>
        <item x="103"/>
        <item x="731"/>
        <item x="259"/>
        <item x="632"/>
        <item x="333"/>
        <item x="241"/>
        <item x="533"/>
        <item x="7"/>
        <item x="646"/>
        <item x="516"/>
        <item x="462"/>
        <item x="521"/>
        <item x="331"/>
        <item x="293"/>
        <item x="66"/>
        <item x="148"/>
        <item x="512"/>
        <item x="311"/>
        <item x="455"/>
        <item x="21"/>
        <item x="649"/>
        <item x="6"/>
        <item x="332"/>
        <item x="454"/>
        <item x="251"/>
        <item x="563"/>
        <item x="501"/>
        <item x="324"/>
        <item x="671"/>
        <item x="686"/>
        <item x="18"/>
        <item x="402"/>
        <item x="135"/>
        <item x="449"/>
        <item x="398"/>
        <item x="279"/>
        <item x="105"/>
        <item x="174"/>
        <item x="193"/>
        <item x="348"/>
        <item x="704"/>
        <item x="368"/>
        <item x="83"/>
        <item x="56"/>
        <item x="613"/>
        <item x="335"/>
        <item x="747"/>
        <item x="637"/>
        <item x="395"/>
        <item x="541"/>
        <item x="294"/>
        <item x="310"/>
        <item x="204"/>
        <item x="110"/>
        <item x="200"/>
        <item x="672"/>
        <item x="367"/>
        <item x="604"/>
        <item x="430"/>
        <item x="587"/>
        <item x="721"/>
        <item x="168"/>
        <item x="195"/>
        <item x="470"/>
        <item x="40"/>
        <item x="708"/>
        <item x="496"/>
        <item x="450"/>
        <item x="178"/>
        <item x="602"/>
        <item x="328"/>
        <item x="140"/>
        <item x="39"/>
        <item x="619"/>
        <item x="759"/>
        <item x="58"/>
        <item x="412"/>
        <item x="29"/>
        <item x="715"/>
        <item x="761"/>
        <item x="252"/>
        <item x="425"/>
        <item x="59"/>
        <item x="262"/>
        <item x="413"/>
        <item x="472"/>
        <item x="542"/>
        <item x="79"/>
        <item x="186"/>
        <item x="249"/>
        <item x="525"/>
        <item x="223"/>
        <item x="664"/>
        <item x="242"/>
        <item x="657"/>
        <item x="651"/>
        <item x="595"/>
        <item x="422"/>
        <item x="528"/>
        <item x="576"/>
        <item x="245"/>
        <item x="507"/>
        <item x="502"/>
        <item x="111"/>
        <item x="248"/>
        <item x="737"/>
        <item x="26"/>
        <item x="211"/>
        <item x="448"/>
        <item x="256"/>
        <item x="300"/>
        <item x="726"/>
        <item x="235"/>
        <item x="158"/>
        <item x="418"/>
        <item x="244"/>
        <item x="468"/>
        <item x="236"/>
        <item x="82"/>
        <item x="72"/>
        <item x="226"/>
        <item x="631"/>
        <item x="420"/>
        <item x="752"/>
        <item x="453"/>
        <item x="478"/>
        <item x="177"/>
        <item x="97"/>
        <item x="131"/>
        <item x="170"/>
        <item x="159"/>
        <item x="725"/>
        <item x="209"/>
        <item x="492"/>
        <item x="138"/>
        <item x="317"/>
        <item x="419"/>
        <item x="661"/>
        <item x="2"/>
        <item x="365"/>
        <item x="653"/>
        <item x="90"/>
        <item x="139"/>
        <item x="596"/>
        <item x="361"/>
        <item x="75"/>
        <item x="475"/>
        <item x="641"/>
        <item x="67"/>
        <item x="552"/>
        <item x="341"/>
        <item x="357"/>
        <item x="202"/>
        <item x="437"/>
        <item x="80"/>
        <item x="693"/>
        <item x="565"/>
        <item x="145"/>
        <item x="188"/>
        <item x="339"/>
        <item x="556"/>
        <item x="157"/>
        <item x="104"/>
        <item x="433"/>
        <item x="312"/>
        <item x="340"/>
        <item x="733"/>
        <item x="208"/>
        <item x="153"/>
        <item x="360"/>
        <item x="683"/>
        <item x="327"/>
        <item x="222"/>
        <item x="128"/>
        <item x="471"/>
        <item x="305"/>
        <item x="15"/>
        <item x="446"/>
        <item x="439"/>
        <item x="16"/>
        <item x="355"/>
        <item x="207"/>
        <item x="69"/>
        <item x="296"/>
        <item x="583"/>
        <item x="469"/>
        <item x="217"/>
        <item x="171"/>
        <item x="147"/>
        <item x="71"/>
        <item x="486"/>
        <item x="194"/>
        <item x="537"/>
        <item x="459"/>
        <item x="273"/>
        <item x="706"/>
        <item x="593"/>
        <item x="123"/>
        <item x="94"/>
        <item x="553"/>
        <item x="543"/>
        <item x="308"/>
        <item x="351"/>
        <item x="87"/>
        <item x="113"/>
        <item x="232"/>
        <item x="99"/>
        <item x="740"/>
        <item x="540"/>
        <item x="567"/>
        <item x="43"/>
        <item x="60"/>
        <item x="271"/>
        <item x="443"/>
        <item x="754"/>
        <item x="376"/>
        <item x="205"/>
        <item x="467"/>
        <item x="447"/>
        <item x="374"/>
        <item x="326"/>
        <item x="24"/>
        <item x="350"/>
        <item x="304"/>
        <item x="749"/>
        <item x="707"/>
        <item x="20"/>
        <item x="154"/>
        <item x="44"/>
        <item x="714"/>
        <item x="544"/>
        <item x="362"/>
        <item x="727"/>
        <item x="187"/>
        <item x="230"/>
        <item x="364"/>
        <item x="384"/>
        <item x="479"/>
        <item x="750"/>
        <item x="130"/>
        <item x="314"/>
        <item x="146"/>
        <item x="681"/>
        <item x="640"/>
        <item x="519"/>
        <item x="511"/>
        <item x="389"/>
        <item x="482"/>
        <item x="366"/>
        <item x="369"/>
        <item x="694"/>
        <item x="137"/>
        <item x="423"/>
        <item x="163"/>
        <item x="127"/>
        <item x="151"/>
        <item x="112"/>
        <item x="710"/>
        <item x="630"/>
        <item x="329"/>
        <item x="711"/>
        <item x="274"/>
        <item x="656"/>
        <item x="62"/>
        <item x="129"/>
        <item x="220"/>
        <item x="353"/>
        <item x="609"/>
        <item x="334"/>
        <item x="600"/>
        <item x="12"/>
        <item x="652"/>
        <item x="523"/>
        <item x="358"/>
        <item x="578"/>
        <item x="757"/>
        <item x="723"/>
        <item x="372"/>
        <item x="548"/>
        <item x="88"/>
        <item x="89"/>
        <item x="680"/>
        <item x="181"/>
        <item x="289"/>
        <item x="738"/>
        <item x="745"/>
        <item x="729"/>
        <item x="260"/>
        <item x="644"/>
        <item x="585"/>
        <item x="498"/>
        <item x="272"/>
        <item x="510"/>
        <item x="490"/>
        <item x="55"/>
        <item x="219"/>
        <item x="394"/>
        <item x="239"/>
        <item x="461"/>
        <item x="668"/>
        <item x="487"/>
        <item x="742"/>
        <item t="default"/>
      </items>
    </pivotField>
    <pivotField numFmtId="164" showAll="0"/>
    <pivotField showAll="0"/>
    <pivotField showAll="0"/>
    <pivotField numFmtId="164" showAll="0"/>
    <pivotField dataField="1" numFmtId="164" showAll="0"/>
    <pivotField showAll="0">
      <items count="5">
        <item x="2"/>
        <item x="1"/>
        <item x="0"/>
        <item x="3"/>
        <item t="default"/>
      </items>
    </pivotField>
    <pivotField showAll="0">
      <items count="13">
        <item x="9"/>
        <item x="11"/>
        <item x="10"/>
        <item x="3"/>
        <item x="5"/>
        <item x="1"/>
        <item x="7"/>
        <item x="6"/>
        <item x="8"/>
        <item x="2"/>
        <item x="0"/>
        <item x="4"/>
        <item t="default"/>
      </items>
    </pivotField>
  </pivotFields>
  <rowFields count="1">
    <field x="10"/>
  </rowFields>
  <rowItems count="6">
    <i>
      <x v="279"/>
    </i>
    <i>
      <x v="280"/>
    </i>
    <i>
      <x v="359"/>
    </i>
    <i>
      <x v="419"/>
    </i>
    <i>
      <x v="442"/>
    </i>
    <i t="grand">
      <x/>
    </i>
  </rowItems>
  <colItems count="1">
    <i/>
  </colItems>
  <dataFields count="1">
    <dataField name="Sum of Amount" fld="15" baseField="10" baseItem="280" numFmtId="164"/>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80A06A8-B82F-41CD-BA2A-9D5C77E8A3A6}"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3:B8" firstHeaderRow="1" firstDataRow="1" firstDataCol="1"/>
  <pivotFields count="18">
    <pivotField showAll="0"/>
    <pivotField showAll="0"/>
    <pivotField numFmtId="14" showAll="0"/>
    <pivotField showAll="0"/>
    <pivotField showAll="0"/>
    <pivotField showAll="0"/>
    <pivotField showAll="0">
      <items count="41">
        <item x="19"/>
        <item x="16"/>
        <item x="36"/>
        <item x="1"/>
        <item x="22"/>
        <item x="29"/>
        <item x="13"/>
        <item x="2"/>
        <item x="32"/>
        <item x="10"/>
        <item x="14"/>
        <item x="23"/>
        <item x="0"/>
        <item x="28"/>
        <item x="39"/>
        <item x="31"/>
        <item x="12"/>
        <item x="11"/>
        <item x="35"/>
        <item x="25"/>
        <item x="37"/>
        <item x="8"/>
        <item x="33"/>
        <item x="38"/>
        <item x="30"/>
        <item x="27"/>
        <item x="15"/>
        <item x="3"/>
        <item x="24"/>
        <item x="26"/>
        <item x="21"/>
        <item x="9"/>
        <item x="34"/>
        <item x="20"/>
        <item x="18"/>
        <item x="5"/>
        <item x="7"/>
        <item x="17"/>
        <item x="4"/>
        <item x="6"/>
        <item t="default"/>
      </items>
    </pivotField>
    <pivotField axis="axisRow" showAll="0">
      <items count="5">
        <item x="2"/>
        <item x="3"/>
        <item x="0"/>
        <item x="1"/>
        <item t="default"/>
      </items>
    </pivotField>
    <pivotField showAll="0">
      <items count="4">
        <item x="0"/>
        <item x="1"/>
        <item x="2"/>
        <item t="default"/>
      </items>
    </pivotField>
    <pivotField showAll="0"/>
    <pivotField showAll="0"/>
    <pivotField showAll="0"/>
    <pivotField showAll="0"/>
    <pivotField showAll="0"/>
    <pivotField showAll="0"/>
    <pivotField dataField="1" showAll="0"/>
    <pivotField showAll="0">
      <items count="5">
        <item x="2"/>
        <item x="1"/>
        <item x="0"/>
        <item x="3"/>
        <item t="default"/>
      </items>
    </pivotField>
    <pivotField showAll="0">
      <items count="13">
        <item x="9"/>
        <item x="11"/>
        <item x="10"/>
        <item x="3"/>
        <item x="5"/>
        <item x="1"/>
        <item x="7"/>
        <item x="6"/>
        <item x="8"/>
        <item x="2"/>
        <item x="0"/>
        <item x="4"/>
        <item t="default"/>
      </items>
    </pivotField>
  </pivotFields>
  <rowFields count="1">
    <field x="7"/>
  </rowFields>
  <rowItems count="5">
    <i>
      <x/>
    </i>
    <i>
      <x v="1"/>
    </i>
    <i>
      <x v="2"/>
    </i>
    <i>
      <x v="3"/>
    </i>
    <i t="grand">
      <x/>
    </i>
  </rowItems>
  <colItems count="1">
    <i/>
  </colItems>
  <dataFields count="1">
    <dataField name="Sum of Amount" fld="15" baseField="7" baseItem="2" numFmtId="164"/>
  </dataFields>
  <formats count="19">
    <format dxfId="72">
      <pivotArea collapsedLevelsAreSubtotals="1" fieldPosition="0">
        <references count="1">
          <reference field="7" count="1">
            <x v="0"/>
          </reference>
        </references>
      </pivotArea>
    </format>
    <format dxfId="71">
      <pivotArea outline="0" collapsedLevelsAreSubtotals="1" fieldPosition="0"/>
    </format>
    <format dxfId="70">
      <pivotArea outline="0" fieldPosition="0">
        <references count="1">
          <reference field="4294967294" count="1">
            <x v="0"/>
          </reference>
        </references>
      </pivotArea>
    </format>
    <format dxfId="69">
      <pivotArea field="7" type="button" dataOnly="0" labelOnly="1" outline="0" axis="axisRow" fieldPosition="0"/>
    </format>
    <format dxfId="68">
      <pivotArea dataOnly="0" labelOnly="1" outline="0" axis="axisValues" fieldPosition="0"/>
    </format>
    <format dxfId="67">
      <pivotArea grandRow="1" outline="0" collapsedLevelsAreSubtotals="1" fieldPosition="0"/>
    </format>
    <format dxfId="66">
      <pivotArea dataOnly="0" labelOnly="1" grandRow="1" outline="0" fieldPosition="0"/>
    </format>
    <format dxfId="65">
      <pivotArea grandRow="1" outline="0" collapsedLevelsAreSubtotals="1" fieldPosition="0"/>
    </format>
    <format dxfId="64">
      <pivotArea dataOnly="0" labelOnly="1" grandRow="1" outline="0" fieldPosition="0"/>
    </format>
    <format dxfId="63">
      <pivotArea field="7" type="button" dataOnly="0" labelOnly="1" outline="0" axis="axisRow" fieldPosition="0"/>
    </format>
    <format dxfId="62">
      <pivotArea dataOnly="0" labelOnly="1" outline="0" axis="axisValues" fieldPosition="0"/>
    </format>
    <format dxfId="61">
      <pivotArea grandRow="1" outline="0" collapsedLevelsAreSubtotals="1" fieldPosition="0"/>
    </format>
    <format dxfId="60">
      <pivotArea dataOnly="0" labelOnly="1" grandRow="1" outline="0" fieldPosition="0"/>
    </format>
    <format dxfId="59">
      <pivotArea type="all" dataOnly="0" outline="0" fieldPosition="0"/>
    </format>
    <format dxfId="58">
      <pivotArea outline="0" collapsedLevelsAreSubtotals="1" fieldPosition="0"/>
    </format>
    <format dxfId="57">
      <pivotArea field="7" type="button" dataOnly="0" labelOnly="1" outline="0" axis="axisRow" fieldPosition="0"/>
    </format>
    <format dxfId="56">
      <pivotArea dataOnly="0" labelOnly="1" fieldPosition="0">
        <references count="1">
          <reference field="7" count="0"/>
        </references>
      </pivotArea>
    </format>
    <format dxfId="55">
      <pivotArea dataOnly="0" labelOnly="1" grandRow="1" outline="0" fieldPosition="0"/>
    </format>
    <format dxfId="54">
      <pivotArea dataOnly="0" labelOnly="1" outline="0" axis="axisValues" fieldPosition="0"/>
    </format>
  </formats>
  <chartFormats count="5">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7" count="1" selected="0">
            <x v="0"/>
          </reference>
        </references>
      </pivotArea>
    </chartFormat>
    <chartFormat chart="1" format="3">
      <pivotArea type="data" outline="0" fieldPosition="0">
        <references count="2">
          <reference field="4294967294" count="1" selected="0">
            <x v="0"/>
          </reference>
          <reference field="7" count="1" selected="0">
            <x v="1"/>
          </reference>
        </references>
      </pivotArea>
    </chartFormat>
    <chartFormat chart="1" format="4">
      <pivotArea type="data" outline="0" fieldPosition="0">
        <references count="2">
          <reference field="4294967294" count="1" selected="0">
            <x v="0"/>
          </reference>
          <reference field="7" count="1" selected="0">
            <x v="2"/>
          </reference>
        </references>
      </pivotArea>
    </chartFormat>
    <chartFormat chart="1" format="5">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C237BE7-4CEE-4F90-AC4E-85B65FA4D246}"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L3:L4" firstHeaderRow="1" firstDataRow="1" firstDataCol="0"/>
  <pivotFields count="18">
    <pivotField showAll="0"/>
    <pivotField showAll="0"/>
    <pivotField numFmtId="14" showAll="0"/>
    <pivotField showAll="0"/>
    <pivotField showAll="0"/>
    <pivotField showAll="0"/>
    <pivotField showAll="0">
      <items count="41">
        <item x="19"/>
        <item x="16"/>
        <item x="36"/>
        <item x="1"/>
        <item x="22"/>
        <item x="29"/>
        <item x="13"/>
        <item x="2"/>
        <item x="32"/>
        <item x="10"/>
        <item x="14"/>
        <item x="23"/>
        <item x="0"/>
        <item x="28"/>
        <item x="39"/>
        <item x="31"/>
        <item x="12"/>
        <item x="11"/>
        <item x="35"/>
        <item x="25"/>
        <item x="37"/>
        <item x="8"/>
        <item x="33"/>
        <item x="38"/>
        <item x="30"/>
        <item x="27"/>
        <item x="15"/>
        <item x="3"/>
        <item x="24"/>
        <item x="26"/>
        <item x="21"/>
        <item x="9"/>
        <item x="34"/>
        <item x="20"/>
        <item x="18"/>
        <item x="5"/>
        <item x="7"/>
        <item x="17"/>
        <item x="4"/>
        <item x="6"/>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pivotField showAll="0">
      <items count="5">
        <item x="2"/>
        <item x="1"/>
        <item x="0"/>
        <item x="3"/>
        <item t="default"/>
      </items>
    </pivotField>
    <pivotField showAll="0">
      <items count="13">
        <item x="9"/>
        <item x="11"/>
        <item x="10"/>
        <item x="3"/>
        <item x="5"/>
        <item x="1"/>
        <item x="7"/>
        <item x="6"/>
        <item x="8"/>
        <item x="2"/>
        <item x="0"/>
        <item x="4"/>
        <item t="default"/>
      </items>
    </pivotField>
  </pivotFields>
  <rowItems count="1">
    <i/>
  </rowItems>
  <colItems count="1">
    <i/>
  </colItems>
  <dataFields count="1">
    <dataField name="Sum of Profit" fld="14" baseField="0" baseItem="0" numFmtId="164"/>
  </dataFields>
  <formats count="5">
    <format dxfId="77">
      <pivotArea dataOnly="0" labelOnly="1" outline="0" axis="axisValues" fieldPosition="0"/>
    </format>
    <format dxfId="76">
      <pivotArea type="all" dataOnly="0" outline="0" fieldPosition="0"/>
    </format>
    <format dxfId="75">
      <pivotArea outline="0" collapsedLevelsAreSubtotals="1" fieldPosition="0"/>
    </format>
    <format dxfId="74">
      <pivotArea dataOnly="0" labelOnly="1" outline="0" axis="axisValues" fieldPosition="0"/>
    </format>
    <format dxfId="73">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77B39A0-AD15-4FEC-B4DA-04B8D94CBF01}"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D3:E8" firstHeaderRow="1" firstDataRow="1" firstDataCol="1"/>
  <pivotFields count="18">
    <pivotField showAll="0"/>
    <pivotField showAll="0"/>
    <pivotField numFmtId="14" showAll="0"/>
    <pivotField axis="axisRow" showAll="0">
      <items count="5">
        <item x="2"/>
        <item x="3"/>
        <item x="0"/>
        <item x="1"/>
        <item t="default"/>
      </items>
    </pivotField>
    <pivotField showAll="0"/>
    <pivotField showAll="0"/>
    <pivotField showAll="0">
      <items count="41">
        <item x="19"/>
        <item x="16"/>
        <item x="36"/>
        <item x="1"/>
        <item x="22"/>
        <item x="29"/>
        <item x="13"/>
        <item x="2"/>
        <item x="32"/>
        <item x="10"/>
        <item x="14"/>
        <item x="23"/>
        <item x="0"/>
        <item x="28"/>
        <item x="39"/>
        <item x="31"/>
        <item x="12"/>
        <item x="11"/>
        <item x="35"/>
        <item x="25"/>
        <item x="37"/>
        <item x="8"/>
        <item x="33"/>
        <item x="38"/>
        <item x="30"/>
        <item x="27"/>
        <item x="15"/>
        <item x="3"/>
        <item x="24"/>
        <item x="26"/>
        <item x="21"/>
        <item x="9"/>
        <item x="34"/>
        <item x="20"/>
        <item x="18"/>
        <item x="5"/>
        <item x="7"/>
        <item x="17"/>
        <item x="4"/>
        <item x="6"/>
        <item t="default"/>
      </items>
    </pivotField>
    <pivotField showAll="0"/>
    <pivotField showAll="0">
      <items count="4">
        <item x="0"/>
        <item x="1"/>
        <item x="2"/>
        <item t="default"/>
      </items>
    </pivotField>
    <pivotField showAll="0"/>
    <pivotField showAll="0"/>
    <pivotField showAll="0"/>
    <pivotField showAll="0"/>
    <pivotField showAll="0"/>
    <pivotField showAll="0"/>
    <pivotField dataField="1" showAll="0"/>
    <pivotField showAll="0">
      <items count="5">
        <item x="2"/>
        <item x="1"/>
        <item x="0"/>
        <item x="3"/>
        <item t="default"/>
      </items>
    </pivotField>
    <pivotField showAll="0">
      <items count="13">
        <item x="9"/>
        <item x="11"/>
        <item x="10"/>
        <item x="3"/>
        <item x="5"/>
        <item x="1"/>
        <item x="7"/>
        <item x="6"/>
        <item x="8"/>
        <item x="2"/>
        <item x="0"/>
        <item x="4"/>
        <item t="default"/>
      </items>
    </pivotField>
  </pivotFields>
  <rowFields count="1">
    <field x="3"/>
  </rowFields>
  <rowItems count="5">
    <i>
      <x/>
    </i>
    <i>
      <x v="1"/>
    </i>
    <i>
      <x v="2"/>
    </i>
    <i>
      <x v="3"/>
    </i>
    <i t="grand">
      <x/>
    </i>
  </rowItems>
  <colItems count="1">
    <i/>
  </colItems>
  <dataFields count="1">
    <dataField name="Sum of Amount" fld="15" baseField="3" baseItem="1" numFmtId="164"/>
  </dataFields>
  <formats count="18">
    <format dxfId="95">
      <pivotArea collapsedLevelsAreSubtotals="1" fieldPosition="0">
        <references count="1">
          <reference field="3" count="1">
            <x v="0"/>
          </reference>
        </references>
      </pivotArea>
    </format>
    <format dxfId="94">
      <pivotArea field="3" type="button" dataOnly="0" labelOnly="1" outline="0" axis="axisRow" fieldPosition="0"/>
    </format>
    <format dxfId="93">
      <pivotArea dataOnly="0" labelOnly="1" fieldPosition="0">
        <references count="1">
          <reference field="3" count="1">
            <x v="0"/>
          </reference>
        </references>
      </pivotArea>
    </format>
    <format dxfId="92">
      <pivotArea dataOnly="0" labelOnly="1" outline="0" axis="axisValues" fieldPosition="0"/>
    </format>
    <format dxfId="91">
      <pivotArea grandRow="1" outline="0" collapsedLevelsAreSubtotals="1" fieldPosition="0"/>
    </format>
    <format dxfId="90">
      <pivotArea dataOnly="0" labelOnly="1" grandRow="1" outline="0" fieldPosition="0"/>
    </format>
    <format dxfId="89">
      <pivotArea collapsedLevelsAreSubtotals="1" fieldPosition="0">
        <references count="1">
          <reference field="3" count="1">
            <x v="0"/>
          </reference>
        </references>
      </pivotArea>
    </format>
    <format dxfId="88">
      <pivotArea field="3" type="button" dataOnly="0" labelOnly="1" outline="0" axis="axisRow" fieldPosition="0"/>
    </format>
    <format dxfId="87">
      <pivotArea dataOnly="0" labelOnly="1" fieldPosition="0">
        <references count="1">
          <reference field="3" count="1">
            <x v="0"/>
          </reference>
        </references>
      </pivotArea>
    </format>
    <format dxfId="86">
      <pivotArea dataOnly="0" labelOnly="1" outline="0" axis="axisValues" fieldPosition="0"/>
    </format>
    <format dxfId="85">
      <pivotArea grandRow="1" outline="0" collapsedLevelsAreSubtotals="1" fieldPosition="0"/>
    </format>
    <format dxfId="84">
      <pivotArea dataOnly="0" labelOnly="1" grandRow="1" outline="0" fieldPosition="0"/>
    </format>
    <format dxfId="83">
      <pivotArea type="all" dataOnly="0" outline="0" fieldPosition="0"/>
    </format>
    <format dxfId="82">
      <pivotArea outline="0" collapsedLevelsAreSubtotals="1" fieldPosition="0"/>
    </format>
    <format dxfId="81">
      <pivotArea field="3" type="button" dataOnly="0" labelOnly="1" outline="0" axis="axisRow" fieldPosition="0"/>
    </format>
    <format dxfId="80">
      <pivotArea dataOnly="0" labelOnly="1" fieldPosition="0">
        <references count="1">
          <reference field="3" count="0"/>
        </references>
      </pivotArea>
    </format>
    <format dxfId="79">
      <pivotArea dataOnly="0" labelOnly="1" grandRow="1" outline="0" fieldPosition="0"/>
    </format>
    <format dxfId="78">
      <pivotArea dataOnly="0" labelOnly="1" outline="0" axis="axisValues" fieldPosition="0"/>
    </format>
  </formats>
  <chartFormats count="5">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3" count="1" selected="0">
            <x v="0"/>
          </reference>
        </references>
      </pivotArea>
    </chartFormat>
    <chartFormat chart="1" format="3">
      <pivotArea type="data" outline="0" fieldPosition="0">
        <references count="2">
          <reference field="4294967294" count="1" selected="0">
            <x v="0"/>
          </reference>
          <reference field="3" count="1" selected="0">
            <x v="1"/>
          </reference>
        </references>
      </pivotArea>
    </chartFormat>
    <chartFormat chart="1" format="4">
      <pivotArea type="data" outline="0" fieldPosition="0">
        <references count="2">
          <reference field="4294967294" count="1" selected="0">
            <x v="0"/>
          </reference>
          <reference field="3" count="1" selected="0">
            <x v="2"/>
          </reference>
        </references>
      </pivotArea>
    </chartFormat>
    <chartFormat chart="1" format="5">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9476CF9-3987-4672-9D89-DA2A4B488842}" sourceName="Category">
  <pivotTables>
    <pivotTable tabId="2" name="PivotTable2"/>
    <pivotTable tabId="2" name="PivotTable1"/>
    <pivotTable tabId="2" name="PivotTable3"/>
    <pivotTable tabId="2" name="PivotTable4"/>
    <pivotTable tabId="2" name="PivotTable5"/>
    <pivotTable tabId="2" name="PivotTable6"/>
    <pivotTable tabId="2" name="PivotTable7"/>
    <pivotTable tabId="4" name="PivotTable1"/>
    <pivotTable tabId="4" name="PivotTable2"/>
    <pivotTable tabId="4" name="PivotTable3"/>
    <pivotTable tabId="4" name="PivotTable4"/>
    <pivotTable tabId="2" name="PivotTable8"/>
    <pivotTable tabId="4" name="PivotTable9"/>
  </pivotTables>
  <data>
    <tabular pivotCacheId="51341798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9B8C710F-CDBA-409A-9F46-DABC4ECE23A2}" sourceName="years">
  <pivotTables>
    <pivotTable tabId="2" name="PivotTable2"/>
    <pivotTable tabId="2" name="PivotTable1"/>
    <pivotTable tabId="2" name="PivotTable3"/>
    <pivotTable tabId="2" name="PivotTable4"/>
    <pivotTable tabId="2" name="PivotTable5"/>
    <pivotTable tabId="2" name="PivotTable6"/>
    <pivotTable tabId="2" name="PivotTable7"/>
    <pivotTable tabId="4" name="PivotTable1"/>
    <pivotTable tabId="4" name="PivotTable2"/>
    <pivotTable tabId="4" name="PivotTable3"/>
    <pivotTable tabId="4" name="PivotTable4"/>
    <pivotTable tabId="2" name="PivotTable8"/>
    <pivotTable tabId="4" name="PivotTable9"/>
  </pivotTables>
  <data>
    <tabular pivotCacheId="513417982">
      <items count="4">
        <i x="2" s="1"/>
        <i x="1"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D7358CE1-FEA9-4B14-8C4A-AD31561E16D9}" sourceName="month name">
  <pivotTables>
    <pivotTable tabId="2" name="PivotTable2"/>
    <pivotTable tabId="2" name="PivotTable1"/>
    <pivotTable tabId="2" name="PivotTable3"/>
    <pivotTable tabId="2" name="PivotTable4"/>
    <pivotTable tabId="2" name="PivotTable5"/>
    <pivotTable tabId="2" name="PivotTable6"/>
    <pivotTable tabId="2" name="PivotTable7"/>
    <pivotTable tabId="4" name="PivotTable1"/>
    <pivotTable tabId="4" name="PivotTable2"/>
    <pivotTable tabId="4" name="PivotTable3"/>
    <pivotTable tabId="4" name="PivotTable4"/>
    <pivotTable tabId="2" name="PivotTable8"/>
    <pivotTable tabId="4" name="PivotTable9"/>
  </pivotTables>
  <data>
    <tabular pivotCacheId="513417982">
      <items count="12">
        <i x="9" s="1"/>
        <i x="11" s="1"/>
        <i x="10" s="1"/>
        <i x="3" s="1"/>
        <i x="5" s="1"/>
        <i x="1" s="1"/>
        <i x="7" s="1"/>
        <i x="6" s="1"/>
        <i x="8" s="1"/>
        <i x="2" s="1"/>
        <i x="0"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14E86154-B996-44AE-82F8-AC7777D145CD}" sourceName="State">
  <pivotTables>
    <pivotTable tabId="2" name="PivotTable7"/>
    <pivotTable tabId="2" name="PivotTable1"/>
    <pivotTable tabId="2" name="PivotTable2"/>
    <pivotTable tabId="2" name="PivotTable3"/>
    <pivotTable tabId="2" name="PivotTable4"/>
    <pivotTable tabId="2" name="PivotTable5"/>
    <pivotTable tabId="2" name="PivotTable6"/>
    <pivotTable tabId="4" name="PivotTable1"/>
    <pivotTable tabId="4" name="PivotTable2"/>
    <pivotTable tabId="4" name="PivotTable3"/>
    <pivotTable tabId="4" name="PivotTable4"/>
    <pivotTable tabId="2" name="PivotTable8"/>
    <pivotTable tabId="4" name="PivotTable9"/>
  </pivotTables>
  <data>
    <tabular pivotCacheId="513417982">
      <items count="40">
        <i x="19" s="1"/>
        <i x="16" s="1"/>
        <i x="36" s="1"/>
        <i x="1" s="1"/>
        <i x="22" s="1"/>
        <i x="29" s="1"/>
        <i x="13" s="1"/>
        <i x="2" s="1"/>
        <i x="32" s="1"/>
        <i x="10" s="1"/>
        <i x="14" s="1"/>
        <i x="23" s="1"/>
        <i x="0" s="1"/>
        <i x="28" s="1"/>
        <i x="39" s="1"/>
        <i x="31" s="1"/>
        <i x="12" s="1"/>
        <i x="11" s="1"/>
        <i x="35" s="1"/>
        <i x="25" s="1"/>
        <i x="37" s="1"/>
        <i x="8" s="1"/>
        <i x="33" s="1"/>
        <i x="38" s="1"/>
        <i x="30" s="1"/>
        <i x="27" s="1"/>
        <i x="15" s="1"/>
        <i x="3" s="1"/>
        <i x="24" s="1"/>
        <i x="26" s="1"/>
        <i x="21" s="1"/>
        <i x="9" s="1"/>
        <i x="34" s="1"/>
        <i x="20" s="1"/>
        <i x="18" s="1"/>
        <i x="5" s="1"/>
        <i x="7" s="1"/>
        <i x="17" s="1"/>
        <i x="4"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4D787CC-A3DF-4EC7-92CE-297F92E020AB}" cache="Slicer_Category" caption="Category" rowHeight="225425"/>
  <slicer name="years" xr10:uid="{E19D1D71-CE9B-4921-BFBF-EDF2A90B5194}" cache="Slicer_years" caption="years" rowHeight="225425"/>
  <slicer name="month name" xr10:uid="{B9D694D7-3552-4F20-8092-AA8CC4A6ABD9}" cache="Slicer_month_name" caption="month name" startItem="1" rowHeight="225425"/>
  <slicer name="State" xr10:uid="{0C71E744-32BC-46B6-B4AC-2E8E65C515CB}" cache="Slicer_State" caption="State" startItem="1"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A47017AF-3902-4A58-A28E-444EE08F190B}" cache="Slicer_Category" caption="Category" rowHeight="225425"/>
  <slicer name="years 1" xr10:uid="{17696996-5E65-41F4-A98B-EE33D133802E}" cache="Slicer_years" caption="years" columnCount="2" rowHeight="225425"/>
  <slicer name="month name 1" xr10:uid="{3E04A48C-D9B8-4A7E-8C0C-BA2AA1D558BA}" cache="Slicer_month_name" caption="month name" columnCount="2" rowHeight="225425"/>
  <slicer name="State 1" xr10:uid="{253D57C6-1C85-45F9-99DC-2C489CE63BF9}" cache="Slicer_State" caption="State" columnCount="2"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DAB016-02F6-4E62-9817-1F48D451F0B3}" name="Table2" displayName="Table2" ref="A1:S1001" totalsRowShown="0" headerRowDxfId="21" dataDxfId="20" tableBorderDxfId="19">
  <autoFilter ref="A1:S1001" xr:uid="{DAB11D9F-2073-4A15-8D31-69B27D8DA20E}"/>
  <tableColumns count="19">
    <tableColumn id="1" xr3:uid="{86096733-682E-4E15-A472-E49F6BF21437}" name="Row ID" dataDxfId="18"/>
    <tableColumn id="2" xr3:uid="{7AF4B4CE-6B8C-4F10-B669-C73293B1CB10}" name="Order ID" dataDxfId="17"/>
    <tableColumn id="3" xr3:uid="{30EA357B-3AB4-4AFA-9B30-60EA50C18BCE}" name="Order Date" dataDxfId="16"/>
    <tableColumn id="4" xr3:uid="{AD03AE1E-FAA2-48A2-8F0E-6A902E26A380}" name="Ship Mode" dataDxfId="15"/>
    <tableColumn id="5" xr3:uid="{3B2830A8-F70A-47D8-B9FA-332E65B516BB}" name="Customer Name" dataDxfId="14"/>
    <tableColumn id="6" xr3:uid="{F0EA09FA-8CC1-4F9C-AD0A-AA0F6950ED33}" name="City" dataDxfId="13"/>
    <tableColumn id="7" xr3:uid="{D2AB7A7E-FA27-41B0-9739-A043792571A9}" name="State" dataDxfId="12"/>
    <tableColumn id="8" xr3:uid="{92770597-CED2-47D4-B5D7-E0DD8012D3D0}" name="Region" dataDxfId="11"/>
    <tableColumn id="9" xr3:uid="{DFC93EDB-2F33-4C65-856E-F97B48E0DAAD}" name="Category" dataDxfId="10"/>
    <tableColumn id="10" xr3:uid="{E85E4654-F76B-4992-B5BB-60F3EC7ABAD1}" name="Sub-Category" dataDxfId="9"/>
    <tableColumn id="11" xr3:uid="{0EE106B8-8BDD-4141-B467-F1FBCC55FE16}" name="Product Name" dataDxfId="8"/>
    <tableColumn id="12" xr3:uid="{B9D617DE-6AAF-42F7-AA3F-E0F072BA77F3}" name="Sales" dataDxfId="7"/>
    <tableColumn id="13" xr3:uid="{0359B160-547F-43F1-AD5F-EF3CDCCB5275}" name="Quantity" dataDxfId="6"/>
    <tableColumn id="14" xr3:uid="{8A0C3739-B114-4E47-8502-CA152DFFEEAD}" name="Discount" dataDxfId="5"/>
    <tableColumn id="15" xr3:uid="{7B5CF2FE-FA80-4E19-A57A-1801C3794694}" name="Profit" dataDxfId="4"/>
    <tableColumn id="16" xr3:uid="{8B925847-1F3B-43A5-94AB-A29E4EDAEC25}" name="Amount" dataDxfId="3">
      <calculatedColumnFormula>('Work File (2)'!$L2*'Work File (2)'!$M2)*(1-'Work File (2)'!$N2)</calculatedColumnFormula>
    </tableColumn>
    <tableColumn id="17" xr3:uid="{8A039B4D-6418-43B7-A570-0C5582A686F9}" name="years" dataDxfId="2">
      <calculatedColumnFormula>YEAR(Table2[[#This Row],[Order Date]])</calculatedColumnFormula>
    </tableColumn>
    <tableColumn id="18" xr3:uid="{95AD3BFD-49A4-49BD-A33E-4A61AE9998F9}" name="month name" dataDxfId="1">
      <calculatedColumnFormula>TEXT(Table2[[#This Row],[Order Date]],"mmm")</calculatedColumnFormula>
    </tableColumn>
    <tableColumn id="19" xr3:uid="{62C18B71-7ECA-4D78-BFAB-FB807C5F8396}" name="status"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3.xml"/><Relationship Id="rId3" Type="http://schemas.openxmlformats.org/officeDocument/2006/relationships/pivotTable" Target="../pivotTables/pivotTable8.xml"/><Relationship Id="rId7" Type="http://schemas.openxmlformats.org/officeDocument/2006/relationships/pivotTable" Target="../pivotTables/pivotTable1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 Id="rId9"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667AD-599E-495E-A85F-5AACDC462A8D}">
  <dimension ref="J2:Z4"/>
  <sheetViews>
    <sheetView showGridLines="0" tabSelected="1" workbookViewId="0"/>
  </sheetViews>
  <sheetFormatPr defaultRowHeight="12.75" x14ac:dyDescent="0.2"/>
  <cols>
    <col min="1" max="1" width="9.140625" style="21"/>
    <col min="2" max="2" width="5.5703125" style="21" customWidth="1"/>
    <col min="3" max="4" width="9.140625" style="21"/>
    <col min="5" max="5" width="16.7109375" style="21" bestFit="1" customWidth="1"/>
    <col min="6" max="6" width="16.5703125" style="21" customWidth="1"/>
    <col min="7" max="7" width="17.7109375" style="21" bestFit="1" customWidth="1"/>
    <col min="8" max="8" width="5.28515625" style="21" customWidth="1"/>
    <col min="9" max="9" width="9.140625" style="21"/>
    <col min="10" max="10" width="22" style="21" customWidth="1"/>
    <col min="11" max="11" width="12.140625" style="21" bestFit="1" customWidth="1"/>
    <col min="12" max="12" width="22.140625" style="21" customWidth="1"/>
    <col min="13" max="13" width="4.42578125" style="21" hidden="1" customWidth="1"/>
    <col min="14" max="14" width="24.5703125" style="21" customWidth="1"/>
    <col min="15" max="15" width="0.85546875" style="21" customWidth="1"/>
    <col min="16" max="16" width="10.5703125" style="21" customWidth="1"/>
    <col min="17" max="17" width="27.42578125" style="21" customWidth="1"/>
    <col min="18" max="18" width="4.28515625" style="21" customWidth="1"/>
    <col min="19" max="19" width="7.140625" style="21" customWidth="1"/>
    <col min="20" max="21" width="9.140625" style="21"/>
    <col min="22" max="22" width="14.85546875" style="21" customWidth="1"/>
    <col min="23" max="24" width="9.140625" style="21"/>
    <col min="25" max="25" width="9.5703125" style="21" customWidth="1"/>
    <col min="26" max="26" width="5.7109375" style="21" customWidth="1"/>
    <col min="27" max="16384" width="9.140625" style="21"/>
  </cols>
  <sheetData>
    <row r="2" spans="10:26" ht="30" x14ac:dyDescent="0.4">
      <c r="J2" s="30" t="s">
        <v>1869</v>
      </c>
      <c r="K2" s="29" t="str">
        <f>IF('Pivot Table'!P5=1,'Pivot Table'!N4,"All")</f>
        <v>All</v>
      </c>
      <c r="N2" s="47" t="s">
        <v>1872</v>
      </c>
      <c r="Q2" s="46" t="s">
        <v>1868</v>
      </c>
    </row>
    <row r="3" spans="10:26" ht="19.5" x14ac:dyDescent="0.2">
      <c r="N3" s="48">
        <f>GETPIVOTDATA("Profit",'Pivot Table'!$L$3)</f>
        <v>18746.17919999998</v>
      </c>
      <c r="Q3" s="49">
        <f>GETPIVOTDATA("Amount",'Pivot Table'!$J$3)</f>
        <v>977995.902841</v>
      </c>
    </row>
    <row r="4" spans="10:26" ht="19.5" x14ac:dyDescent="0.35">
      <c r="Y4" s="22"/>
      <c r="Z4" s="2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246C8-E629-4276-800A-B82516812A81}">
  <dimension ref="G1:T42"/>
  <sheetViews>
    <sheetView showGridLines="0" zoomScale="87" zoomScaleNormal="87" workbookViewId="0"/>
  </sheetViews>
  <sheetFormatPr defaultRowHeight="12.75" x14ac:dyDescent="0.2"/>
  <cols>
    <col min="1" max="1" width="17" style="21" bestFit="1" customWidth="1"/>
    <col min="2" max="2" width="16" style="21" bestFit="1" customWidth="1"/>
    <col min="3" max="3" width="6.42578125" style="21" customWidth="1"/>
    <col min="4" max="4" width="19.42578125" style="21" bestFit="1" customWidth="1"/>
    <col min="5" max="5" width="16.5703125" style="21" bestFit="1" customWidth="1"/>
    <col min="6" max="6" width="3.7109375" style="21" customWidth="1"/>
    <col min="7" max="7" width="19.7109375" style="21" bestFit="1" customWidth="1"/>
    <col min="8" max="8" width="18.5703125" style="21" bestFit="1" customWidth="1"/>
    <col min="9" max="9" width="7" style="21" customWidth="1"/>
    <col min="10" max="10" width="26" style="21" bestFit="1" customWidth="1"/>
    <col min="11" max="11" width="16.5703125" style="21" bestFit="1" customWidth="1"/>
    <col min="12" max="12" width="5.140625" style="21" customWidth="1"/>
    <col min="13" max="13" width="80.7109375" style="21" bestFit="1" customWidth="1"/>
    <col min="14" max="14" width="16.5703125" style="21" bestFit="1" customWidth="1"/>
    <col min="15" max="15" width="9.140625" style="21"/>
    <col min="16" max="16" width="21.85546875" style="21" bestFit="1" customWidth="1"/>
    <col min="17" max="17" width="15.42578125" style="21" bestFit="1" customWidth="1"/>
    <col min="18" max="19" width="9.140625" style="21"/>
    <col min="20" max="20" width="12.140625" style="21" bestFit="1" customWidth="1"/>
    <col min="21" max="16384" width="9.140625" style="21"/>
  </cols>
  <sheetData>
    <row r="1" spans="7:20" ht="13.5" thickBot="1" x14ac:dyDescent="0.25"/>
    <row r="2" spans="7:20" ht="30.75" thickBot="1" x14ac:dyDescent="0.45">
      <c r="G2" s="40" t="s">
        <v>6</v>
      </c>
      <c r="H2" s="41" t="s">
        <v>1864</v>
      </c>
      <c r="L2" s="30" t="s">
        <v>1869</v>
      </c>
      <c r="M2" s="29" t="str">
        <f>IF('Pivot Table'!P5=1,'Pivot Table'!N4,"All")</f>
        <v>All</v>
      </c>
    </row>
    <row r="3" spans="7:20" ht="13.5" thickBot="1" x14ac:dyDescent="0.25">
      <c r="G3" s="40" t="s">
        <v>236</v>
      </c>
      <c r="H3" s="42">
        <v>5271.88</v>
      </c>
    </row>
    <row r="4" spans="7:20" ht="13.5" thickBot="1" x14ac:dyDescent="0.25">
      <c r="G4" s="40" t="s">
        <v>205</v>
      </c>
      <c r="H4" s="42">
        <v>28059.676200000009</v>
      </c>
    </row>
    <row r="5" spans="7:20" ht="16.5" thickBot="1" x14ac:dyDescent="0.25">
      <c r="G5" s="40" t="s">
        <v>1064</v>
      </c>
      <c r="H5" s="42">
        <v>223.32</v>
      </c>
      <c r="J5" s="32" t="s">
        <v>7</v>
      </c>
      <c r="K5" s="32" t="s">
        <v>1864</v>
      </c>
      <c r="M5" s="31"/>
      <c r="N5" s="31"/>
      <c r="O5" s="31"/>
      <c r="P5" s="31"/>
      <c r="Q5" s="31"/>
      <c r="R5" s="31"/>
      <c r="S5" s="31"/>
      <c r="T5" s="31"/>
    </row>
    <row r="6" spans="7:20" ht="16.5" thickBot="1" x14ac:dyDescent="0.25">
      <c r="G6" s="40" t="s">
        <v>30</v>
      </c>
      <c r="H6" s="42">
        <v>198392.40430000002</v>
      </c>
      <c r="J6" s="33" t="s">
        <v>74</v>
      </c>
      <c r="K6" s="34">
        <v>282285.90861599991</v>
      </c>
    </row>
    <row r="7" spans="7:20" ht="16.5" thickBot="1" x14ac:dyDescent="0.25">
      <c r="G7" s="40" t="s">
        <v>298</v>
      </c>
      <c r="H7" s="42">
        <v>22720.553899999999</v>
      </c>
      <c r="J7" s="33" t="s">
        <v>103</v>
      </c>
      <c r="K7" s="34">
        <v>225924.14290000018</v>
      </c>
    </row>
    <row r="8" spans="7:20" ht="16.5" thickBot="1" x14ac:dyDescent="0.25">
      <c r="G8" s="40" t="s">
        <v>478</v>
      </c>
      <c r="H8" s="42">
        <v>5164.25</v>
      </c>
      <c r="J8" s="33" t="s">
        <v>21</v>
      </c>
      <c r="K8" s="34">
        <v>157876.674225</v>
      </c>
    </row>
    <row r="9" spans="7:20" ht="16.5" thickBot="1" x14ac:dyDescent="0.25">
      <c r="G9" s="40" t="s">
        <v>165</v>
      </c>
      <c r="H9" s="42">
        <v>3333.78</v>
      </c>
      <c r="J9" s="33" t="s">
        <v>31</v>
      </c>
      <c r="K9" s="34">
        <v>311909.17709999997</v>
      </c>
    </row>
    <row r="10" spans="7:20" ht="16.5" thickBot="1" x14ac:dyDescent="0.25">
      <c r="G10" s="40" t="s">
        <v>39</v>
      </c>
      <c r="H10" s="42">
        <v>23721.861225000008</v>
      </c>
      <c r="J10" s="35" t="s">
        <v>1863</v>
      </c>
      <c r="K10" s="36">
        <v>977995.902841</v>
      </c>
    </row>
    <row r="11" spans="7:20" ht="13.5" thickBot="1" x14ac:dyDescent="0.25">
      <c r="G11" s="40" t="s">
        <v>797</v>
      </c>
      <c r="H11" s="42">
        <v>38382.839999999997</v>
      </c>
    </row>
    <row r="12" spans="7:20" ht="16.5" thickBot="1" x14ac:dyDescent="0.25">
      <c r="G12" s="40" t="s">
        <v>142</v>
      </c>
      <c r="H12" s="42">
        <v>38843.494900000012</v>
      </c>
      <c r="M12" s="52" t="s">
        <v>1874</v>
      </c>
      <c r="N12" s="52" t="s">
        <v>1864</v>
      </c>
      <c r="O12" s="31"/>
      <c r="P12" s="31"/>
      <c r="Q12" s="31"/>
      <c r="R12" s="31"/>
      <c r="S12" s="31"/>
      <c r="T12" s="31"/>
    </row>
    <row r="13" spans="7:20" ht="16.5" thickBot="1" x14ac:dyDescent="0.25">
      <c r="G13" s="40" t="s">
        <v>171</v>
      </c>
      <c r="H13" s="42">
        <v>1983.2699999999998</v>
      </c>
      <c r="J13" s="32" t="s">
        <v>3</v>
      </c>
      <c r="K13" s="32" t="s">
        <v>1864</v>
      </c>
      <c r="M13" s="51" t="s">
        <v>1855</v>
      </c>
      <c r="N13" s="50">
        <v>19011.510000000002</v>
      </c>
    </row>
    <row r="14" spans="7:20" ht="16.5" thickBot="1" x14ac:dyDescent="0.25">
      <c r="G14" s="40" t="s">
        <v>318</v>
      </c>
      <c r="H14" s="42">
        <v>1465.04</v>
      </c>
      <c r="J14" s="37" t="s">
        <v>128</v>
      </c>
      <c r="K14" s="38">
        <v>132970.29134999998</v>
      </c>
      <c r="M14" s="51" t="s">
        <v>1086</v>
      </c>
      <c r="N14" s="50">
        <v>31774.75</v>
      </c>
      <c r="O14" s="31"/>
      <c r="R14" s="31"/>
      <c r="S14" s="31"/>
      <c r="T14" s="31"/>
    </row>
    <row r="15" spans="7:20" ht="16.5" thickBot="1" x14ac:dyDescent="0.25">
      <c r="G15" s="40" t="s">
        <v>20</v>
      </c>
      <c r="H15" s="42">
        <v>8826.5499999999993</v>
      </c>
      <c r="J15" s="33" t="s">
        <v>808</v>
      </c>
      <c r="K15" s="34">
        <v>44029.37279999999</v>
      </c>
      <c r="M15" s="51" t="s">
        <v>26</v>
      </c>
      <c r="N15" s="50">
        <v>17810.54</v>
      </c>
    </row>
    <row r="16" spans="7:20" ht="16.5" thickBot="1" x14ac:dyDescent="0.25">
      <c r="G16" s="40" t="s">
        <v>471</v>
      </c>
      <c r="H16" s="42">
        <v>10357.890000000001</v>
      </c>
      <c r="J16" s="33" t="s">
        <v>17</v>
      </c>
      <c r="K16" s="34">
        <v>173132.41083200023</v>
      </c>
      <c r="M16" s="51" t="s">
        <v>440</v>
      </c>
      <c r="N16" s="50">
        <v>50183.704799999992</v>
      </c>
    </row>
    <row r="17" spans="7:14" ht="16.5" thickBot="1" x14ac:dyDescent="0.25">
      <c r="G17" s="40" t="s">
        <v>1700</v>
      </c>
      <c r="H17" s="42">
        <v>263.62</v>
      </c>
      <c r="J17" s="33" t="s">
        <v>36</v>
      </c>
      <c r="K17" s="34">
        <v>627863.82785900019</v>
      </c>
      <c r="M17" s="51" t="s">
        <v>576</v>
      </c>
      <c r="N17" s="50">
        <v>44998.952399999995</v>
      </c>
    </row>
    <row r="18" spans="7:14" ht="16.5" thickBot="1" x14ac:dyDescent="0.25">
      <c r="G18" s="40" t="s">
        <v>781</v>
      </c>
      <c r="H18" s="42">
        <v>11397.837599999999</v>
      </c>
      <c r="J18" s="32" t="s">
        <v>1863</v>
      </c>
      <c r="K18" s="39">
        <v>977995.90284100035</v>
      </c>
      <c r="M18" s="52" t="s">
        <v>1863</v>
      </c>
      <c r="N18" s="50">
        <v>163779.4572</v>
      </c>
    </row>
    <row r="19" spans="7:14" ht="13.5" thickBot="1" x14ac:dyDescent="0.25">
      <c r="G19" s="40" t="s">
        <v>160</v>
      </c>
      <c r="H19" s="42">
        <v>55658.632600000012</v>
      </c>
    </row>
    <row r="20" spans="7:14" ht="13.5" thickBot="1" x14ac:dyDescent="0.25">
      <c r="G20" s="40" t="s">
        <v>154</v>
      </c>
      <c r="H20" s="42">
        <v>24378.16</v>
      </c>
    </row>
    <row r="21" spans="7:14" ht="16.5" thickBot="1" x14ac:dyDescent="0.25">
      <c r="G21" s="40" t="s">
        <v>931</v>
      </c>
      <c r="H21" s="42">
        <v>6977.3499999999995</v>
      </c>
      <c r="J21" s="32" t="s">
        <v>1873</v>
      </c>
      <c r="K21" s="32" t="s">
        <v>1864</v>
      </c>
    </row>
    <row r="22" spans="7:14" ht="16.5" thickBot="1" x14ac:dyDescent="0.25">
      <c r="G22" s="40" t="s">
        <v>384</v>
      </c>
      <c r="H22" s="42">
        <v>2973.27</v>
      </c>
      <c r="J22" s="33" t="s">
        <v>344</v>
      </c>
      <c r="K22" s="34">
        <v>19817.251799999998</v>
      </c>
    </row>
    <row r="23" spans="7:14" ht="16.5" thickBot="1" x14ac:dyDescent="0.25">
      <c r="G23" s="40" t="s">
        <v>1099</v>
      </c>
      <c r="H23" s="42">
        <v>18556.080000000002</v>
      </c>
      <c r="J23" s="33" t="s">
        <v>436</v>
      </c>
      <c r="K23" s="34">
        <v>51493.650799999996</v>
      </c>
    </row>
    <row r="24" spans="7:14" ht="16.5" thickBot="1" x14ac:dyDescent="0.25">
      <c r="G24" s="40" t="s">
        <v>96</v>
      </c>
      <c r="H24" s="42">
        <v>1065.31</v>
      </c>
      <c r="J24" s="33" t="s">
        <v>45</v>
      </c>
      <c r="K24" s="34">
        <v>20545.460800000001</v>
      </c>
    </row>
    <row r="25" spans="7:14" ht="16.5" thickBot="1" x14ac:dyDescent="0.25">
      <c r="G25" s="40" t="s">
        <v>871</v>
      </c>
      <c r="H25" s="42">
        <v>181.9008</v>
      </c>
      <c r="J25" s="33" t="s">
        <v>1081</v>
      </c>
      <c r="K25" s="34">
        <v>31942.73</v>
      </c>
    </row>
    <row r="26" spans="7:14" ht="16.5" thickBot="1" x14ac:dyDescent="0.25">
      <c r="G26" s="40" t="s">
        <v>1673</v>
      </c>
      <c r="H26" s="42">
        <v>2216.9899999999998</v>
      </c>
      <c r="J26" s="33" t="s">
        <v>590</v>
      </c>
      <c r="K26" s="34">
        <v>22253.670000000002</v>
      </c>
    </row>
    <row r="27" spans="7:14" ht="16.5" thickBot="1" x14ac:dyDescent="0.25">
      <c r="G27" s="40" t="s">
        <v>504</v>
      </c>
      <c r="H27" s="42">
        <v>13211.130000000001</v>
      </c>
      <c r="J27" s="33" t="s">
        <v>394</v>
      </c>
      <c r="K27" s="34">
        <v>21151.33</v>
      </c>
    </row>
    <row r="28" spans="7:14" ht="16.5" thickBot="1" x14ac:dyDescent="0.25">
      <c r="G28" s="40" t="s">
        <v>430</v>
      </c>
      <c r="H28" s="42">
        <v>301.99</v>
      </c>
      <c r="J28" s="33" t="s">
        <v>896</v>
      </c>
      <c r="K28" s="34">
        <v>24812.456050000001</v>
      </c>
    </row>
    <row r="29" spans="7:14" ht="16.5" thickBot="1" x14ac:dyDescent="0.25">
      <c r="G29" s="40" t="s">
        <v>179</v>
      </c>
      <c r="H29" s="42">
        <v>107723.30579999997</v>
      </c>
      <c r="J29" s="33" t="s">
        <v>599</v>
      </c>
      <c r="K29" s="34">
        <v>43770.754399999998</v>
      </c>
    </row>
    <row r="30" spans="7:14" ht="16.5" thickBot="1" x14ac:dyDescent="0.25">
      <c r="G30" s="40" t="s">
        <v>62</v>
      </c>
      <c r="H30" s="42">
        <v>28898.375600000003</v>
      </c>
      <c r="J30" s="33" t="s">
        <v>1853</v>
      </c>
      <c r="K30" s="34">
        <v>20865.420000000002</v>
      </c>
    </row>
    <row r="31" spans="7:14" ht="16.5" thickBot="1" x14ac:dyDescent="0.25">
      <c r="G31" s="40" t="s">
        <v>324</v>
      </c>
      <c r="H31" s="42">
        <v>19159.155799999993</v>
      </c>
      <c r="J31" s="33" t="s">
        <v>945</v>
      </c>
      <c r="K31" s="34">
        <v>26334.514400000004</v>
      </c>
    </row>
    <row r="32" spans="7:14" ht="16.5" thickBot="1" x14ac:dyDescent="0.25">
      <c r="G32" s="40" t="s">
        <v>418</v>
      </c>
      <c r="H32" s="42">
        <v>6899.27</v>
      </c>
      <c r="J32" s="32" t="s">
        <v>1863</v>
      </c>
      <c r="K32" s="39">
        <v>282987.23825000005</v>
      </c>
    </row>
    <row r="33" spans="7:8" ht="13.5" thickBot="1" x14ac:dyDescent="0.25">
      <c r="G33" s="40" t="s">
        <v>275</v>
      </c>
      <c r="H33" s="42">
        <v>1911.6290999999999</v>
      </c>
    </row>
    <row r="34" spans="7:8" ht="13.5" thickBot="1" x14ac:dyDescent="0.25">
      <c r="G34" s="40" t="s">
        <v>102</v>
      </c>
      <c r="H34" s="42">
        <v>63328.233700000012</v>
      </c>
    </row>
    <row r="35" spans="7:8" ht="13.5" thickBot="1" x14ac:dyDescent="0.25">
      <c r="G35" s="40" t="s">
        <v>876</v>
      </c>
      <c r="H35" s="42">
        <v>125.84</v>
      </c>
    </row>
    <row r="36" spans="7:8" ht="13.5" thickBot="1" x14ac:dyDescent="0.25">
      <c r="G36" s="40" t="s">
        <v>252</v>
      </c>
      <c r="H36" s="42">
        <v>1163.9899999999998</v>
      </c>
    </row>
    <row r="37" spans="7:8" ht="13.5" thickBot="1" x14ac:dyDescent="0.25">
      <c r="G37" s="40" t="s">
        <v>222</v>
      </c>
      <c r="H37" s="42">
        <v>8904.7674000000025</v>
      </c>
    </row>
    <row r="38" spans="7:8" ht="13.5" thickBot="1" x14ac:dyDescent="0.25">
      <c r="G38" s="40" t="s">
        <v>73</v>
      </c>
      <c r="H38" s="42">
        <v>119213.34111599997</v>
      </c>
    </row>
    <row r="39" spans="7:8" ht="13.5" thickBot="1" x14ac:dyDescent="0.25">
      <c r="G39" s="40" t="s">
        <v>85</v>
      </c>
      <c r="H39" s="42">
        <v>3848.1891999999998</v>
      </c>
    </row>
    <row r="40" spans="7:8" ht="13.5" thickBot="1" x14ac:dyDescent="0.25">
      <c r="G40" s="40" t="s">
        <v>211</v>
      </c>
      <c r="H40" s="42">
        <v>25147.850000000002</v>
      </c>
    </row>
    <row r="41" spans="7:8" ht="13.5" thickBot="1" x14ac:dyDescent="0.25">
      <c r="G41" s="40" t="s">
        <v>68</v>
      </c>
      <c r="H41" s="42">
        <v>37936.753599999989</v>
      </c>
    </row>
    <row r="42" spans="7:8" ht="13.5" thickBot="1" x14ac:dyDescent="0.25">
      <c r="G42" s="40" t="s">
        <v>80</v>
      </c>
      <c r="H42" s="42">
        <v>29806.120000000003</v>
      </c>
    </row>
  </sheetData>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5872C-E185-4D79-8FA6-CEFF3969D99E}">
  <dimension ref="A2:P60"/>
  <sheetViews>
    <sheetView topLeftCell="G1" workbookViewId="0">
      <selection activeCell="P5" sqref="P5"/>
    </sheetView>
  </sheetViews>
  <sheetFormatPr defaultRowHeight="12.75" x14ac:dyDescent="0.2"/>
  <cols>
    <col min="1" max="1" width="13.140625" bestFit="1" customWidth="1"/>
    <col min="2" max="2" width="14.85546875" bestFit="1" customWidth="1"/>
    <col min="3" max="3" width="8.28515625" customWidth="1"/>
    <col min="4" max="4" width="16.5703125" bestFit="1" customWidth="1"/>
    <col min="5" max="5" width="14.85546875" bestFit="1" customWidth="1"/>
    <col min="7" max="7" width="21.85546875" bestFit="1" customWidth="1"/>
    <col min="8" max="8" width="14.85546875" bestFit="1" customWidth="1"/>
    <col min="10" max="10" width="14.85546875" bestFit="1" customWidth="1"/>
    <col min="12" max="12" width="12.5703125" bestFit="1" customWidth="1"/>
    <col min="14" max="14" width="70" bestFit="1" customWidth="1"/>
    <col min="15" max="15" width="16" bestFit="1" customWidth="1"/>
    <col min="16" max="16" width="18.28515625" customWidth="1"/>
  </cols>
  <sheetData>
    <row r="2" spans="1:16" ht="13.5" thickBot="1" x14ac:dyDescent="0.25"/>
    <row r="3" spans="1:16" ht="16.5" thickTop="1" thickBot="1" x14ac:dyDescent="0.3">
      <c r="A3" s="3" t="s">
        <v>1862</v>
      </c>
      <c r="B3" s="3" t="s">
        <v>1864</v>
      </c>
      <c r="C3" s="7"/>
      <c r="D3" s="3" t="s">
        <v>1862</v>
      </c>
      <c r="E3" s="3" t="s">
        <v>1864</v>
      </c>
      <c r="F3" s="7"/>
      <c r="G3" s="3" t="s">
        <v>1862</v>
      </c>
      <c r="H3" s="3" t="s">
        <v>1864</v>
      </c>
      <c r="I3" s="7"/>
      <c r="J3" s="3" t="s">
        <v>1864</v>
      </c>
      <c r="K3" s="7"/>
      <c r="L3" s="8" t="s">
        <v>1865</v>
      </c>
      <c r="M3" s="7"/>
      <c r="N3" s="8" t="s">
        <v>1862</v>
      </c>
    </row>
    <row r="4" spans="1:16" ht="16.5" thickTop="1" thickBot="1" x14ac:dyDescent="0.3">
      <c r="A4" s="9" t="s">
        <v>74</v>
      </c>
      <c r="B4" s="10">
        <v>282285.90861599991</v>
      </c>
      <c r="C4" s="7"/>
      <c r="D4" s="4" t="s">
        <v>128</v>
      </c>
      <c r="E4" s="5">
        <v>132970.29134999998</v>
      </c>
      <c r="F4" s="7"/>
      <c r="G4" s="9" t="s">
        <v>344</v>
      </c>
      <c r="H4" s="10">
        <v>19817.251799999998</v>
      </c>
      <c r="I4" s="7"/>
      <c r="J4" s="10">
        <v>977995.902841</v>
      </c>
      <c r="K4" s="7"/>
      <c r="L4" s="10">
        <v>18746.17919999998</v>
      </c>
      <c r="M4" s="7"/>
      <c r="N4" s="9">
        <v>2016</v>
      </c>
      <c r="P4" s="25" t="s">
        <v>1870</v>
      </c>
    </row>
    <row r="5" spans="1:16" ht="13.5" thickTop="1" x14ac:dyDescent="0.2">
      <c r="A5" s="9" t="s">
        <v>103</v>
      </c>
      <c r="B5" s="10">
        <v>225924.14290000018</v>
      </c>
      <c r="C5" s="7"/>
      <c r="D5" s="9" t="s">
        <v>808</v>
      </c>
      <c r="E5" s="10">
        <v>44029.37279999999</v>
      </c>
      <c r="F5" s="7"/>
      <c r="G5" s="9" t="s">
        <v>436</v>
      </c>
      <c r="H5" s="10">
        <v>51493.650799999996</v>
      </c>
      <c r="I5" s="7"/>
      <c r="J5" s="7"/>
      <c r="K5" s="7"/>
      <c r="L5" s="7"/>
      <c r="M5" s="7"/>
      <c r="N5" s="9">
        <v>2017</v>
      </c>
      <c r="P5" s="20">
        <f>COUNT($N$4:$N$7)</f>
        <v>4</v>
      </c>
    </row>
    <row r="6" spans="1:16" ht="17.25" thickTop="1" thickBot="1" x14ac:dyDescent="0.25">
      <c r="A6" s="9" t="s">
        <v>21</v>
      </c>
      <c r="B6" s="10">
        <v>157876.674225</v>
      </c>
      <c r="C6" s="7"/>
      <c r="D6" s="9" t="s">
        <v>17</v>
      </c>
      <c r="E6" s="10">
        <v>173132.41083200023</v>
      </c>
      <c r="F6" s="7"/>
      <c r="G6" s="9" t="s">
        <v>45</v>
      </c>
      <c r="H6" s="10">
        <v>20545.460800000001</v>
      </c>
      <c r="I6" s="7"/>
      <c r="J6" s="7"/>
      <c r="K6" s="7"/>
      <c r="L6" s="7"/>
      <c r="M6" s="7"/>
      <c r="N6" s="9">
        <v>2018</v>
      </c>
      <c r="P6" s="23"/>
    </row>
    <row r="7" spans="1:16" ht="13.5" thickBot="1" x14ac:dyDescent="0.25">
      <c r="A7" s="9" t="s">
        <v>31</v>
      </c>
      <c r="B7" s="10">
        <v>311909.17709999997</v>
      </c>
      <c r="C7" s="7"/>
      <c r="D7" s="9" t="s">
        <v>36</v>
      </c>
      <c r="E7" s="10">
        <v>627863.82785900019</v>
      </c>
      <c r="F7" s="7"/>
      <c r="G7" s="9" t="s">
        <v>1081</v>
      </c>
      <c r="H7" s="10">
        <v>31942.73</v>
      </c>
      <c r="I7" s="7"/>
      <c r="J7" s="7"/>
      <c r="K7" s="7"/>
      <c r="L7" s="7"/>
      <c r="M7" s="7"/>
      <c r="N7" s="9">
        <v>2019</v>
      </c>
    </row>
    <row r="8" spans="1:16" ht="16.5" thickTop="1" thickBot="1" x14ac:dyDescent="0.3">
      <c r="A8" s="6" t="s">
        <v>1863</v>
      </c>
      <c r="B8" s="6">
        <v>977995.902841</v>
      </c>
      <c r="C8" s="7"/>
      <c r="D8" s="4" t="s">
        <v>1863</v>
      </c>
      <c r="E8" s="5">
        <v>977995.90284100035</v>
      </c>
      <c r="F8" s="7"/>
      <c r="G8" s="9" t="s">
        <v>590</v>
      </c>
      <c r="H8" s="10">
        <v>22253.670000000002</v>
      </c>
      <c r="I8" s="7"/>
      <c r="J8" s="7"/>
      <c r="K8" s="7"/>
      <c r="L8" s="7"/>
      <c r="M8" s="7"/>
      <c r="N8" s="24" t="s">
        <v>1863</v>
      </c>
    </row>
    <row r="9" spans="1:16" ht="14.25" thickTop="1" thickBot="1" x14ac:dyDescent="0.25">
      <c r="A9" s="7"/>
      <c r="B9" s="7"/>
      <c r="C9" s="7"/>
      <c r="D9" s="7"/>
      <c r="E9" s="7"/>
      <c r="F9" s="7"/>
      <c r="G9" s="9" t="s">
        <v>394</v>
      </c>
      <c r="H9" s="10">
        <v>21151.33</v>
      </c>
      <c r="I9" s="7"/>
      <c r="J9" s="7"/>
      <c r="K9" s="7"/>
      <c r="L9" s="7"/>
      <c r="M9" s="7"/>
    </row>
    <row r="10" spans="1:16" ht="13.5" thickTop="1" x14ac:dyDescent="0.2">
      <c r="A10" s="7"/>
      <c r="B10" s="7"/>
      <c r="C10" s="7"/>
      <c r="D10" s="7"/>
      <c r="E10" s="7"/>
      <c r="F10" s="7"/>
      <c r="G10" s="9" t="s">
        <v>896</v>
      </c>
      <c r="H10" s="10">
        <v>24812.456050000001</v>
      </c>
      <c r="I10" s="7"/>
      <c r="J10" s="7"/>
      <c r="K10" s="7"/>
      <c r="L10" s="7"/>
      <c r="M10" s="7"/>
    </row>
    <row r="11" spans="1:16" ht="14.25" thickTop="1" thickBot="1" x14ac:dyDescent="0.25">
      <c r="A11" s="7"/>
      <c r="B11" s="7"/>
      <c r="C11" s="7"/>
      <c r="D11" s="7"/>
      <c r="E11" s="7"/>
      <c r="F11" s="7"/>
      <c r="G11" s="9" t="s">
        <v>599</v>
      </c>
      <c r="H11" s="10">
        <v>43770.754399999998</v>
      </c>
      <c r="I11" s="7"/>
      <c r="J11" s="7"/>
      <c r="K11" s="7"/>
      <c r="L11" s="7"/>
      <c r="M11" s="7"/>
    </row>
    <row r="12" spans="1:16" ht="13.5" thickTop="1" x14ac:dyDescent="0.2">
      <c r="A12" s="7"/>
      <c r="B12" s="7"/>
      <c r="C12" s="7"/>
      <c r="D12" s="7"/>
      <c r="E12" s="7"/>
      <c r="F12" s="7"/>
      <c r="G12" s="9" t="s">
        <v>1853</v>
      </c>
      <c r="H12" s="10">
        <v>20865.420000000002</v>
      </c>
      <c r="I12" s="7"/>
      <c r="J12" s="7"/>
      <c r="K12" s="7"/>
      <c r="L12" s="7"/>
      <c r="M12" s="7"/>
    </row>
    <row r="13" spans="1:16" ht="13.5" thickBot="1" x14ac:dyDescent="0.25">
      <c r="A13" s="7"/>
      <c r="B13" s="7"/>
      <c r="C13" s="7"/>
      <c r="D13" s="7"/>
      <c r="E13" s="7"/>
      <c r="F13" s="7"/>
      <c r="G13" s="9" t="s">
        <v>945</v>
      </c>
      <c r="H13" s="10">
        <v>26334.514400000004</v>
      </c>
      <c r="I13" s="7"/>
      <c r="J13" s="7"/>
      <c r="K13" s="7"/>
      <c r="L13" s="7"/>
      <c r="M13" s="7"/>
      <c r="N13" s="43" t="s">
        <v>1862</v>
      </c>
      <c r="O13" t="s">
        <v>1864</v>
      </c>
    </row>
    <row r="14" spans="1:16" ht="16.5" thickTop="1" thickBot="1" x14ac:dyDescent="0.3">
      <c r="A14" s="7"/>
      <c r="B14" s="7"/>
      <c r="C14" s="7"/>
      <c r="D14" s="7"/>
      <c r="E14" s="7"/>
      <c r="F14" s="7"/>
      <c r="G14" s="4" t="s">
        <v>1863</v>
      </c>
      <c r="H14" s="5">
        <v>282987.23825000005</v>
      </c>
      <c r="I14" s="7"/>
      <c r="J14" s="7"/>
      <c r="K14" s="7"/>
      <c r="L14" s="7"/>
      <c r="M14" s="7"/>
      <c r="N14" s="44" t="s">
        <v>1855</v>
      </c>
      <c r="O14" s="45">
        <v>19011.510000000002</v>
      </c>
    </row>
    <row r="15" spans="1:16" ht="13.5" thickTop="1" x14ac:dyDescent="0.2">
      <c r="A15" s="7"/>
      <c r="B15" s="7"/>
      <c r="C15" s="7"/>
      <c r="D15" s="7"/>
      <c r="E15" s="7"/>
      <c r="F15" s="7"/>
      <c r="G15" s="7"/>
      <c r="H15" s="7"/>
      <c r="I15" s="7"/>
      <c r="J15" s="7"/>
      <c r="K15" s="7"/>
      <c r="L15" s="7"/>
      <c r="M15" s="7"/>
      <c r="N15" s="44" t="s">
        <v>1086</v>
      </c>
      <c r="O15" s="45">
        <v>31774.75</v>
      </c>
    </row>
    <row r="16" spans="1:16" x14ac:dyDescent="0.2">
      <c r="N16" s="44" t="s">
        <v>26</v>
      </c>
      <c r="O16" s="45">
        <v>17810.54</v>
      </c>
    </row>
    <row r="17" spans="1:15" x14ac:dyDescent="0.2">
      <c r="N17" s="44" t="s">
        <v>440</v>
      </c>
      <c r="O17" s="45">
        <v>50183.704799999992</v>
      </c>
    </row>
    <row r="18" spans="1:15" x14ac:dyDescent="0.2">
      <c r="N18" s="44" t="s">
        <v>576</v>
      </c>
      <c r="O18" s="45">
        <v>44998.952399999995</v>
      </c>
    </row>
    <row r="19" spans="1:15" x14ac:dyDescent="0.2">
      <c r="N19" s="44" t="s">
        <v>1863</v>
      </c>
      <c r="O19" s="45">
        <v>163779.4572</v>
      </c>
    </row>
    <row r="20" spans="1:15" x14ac:dyDescent="0.2">
      <c r="A20" s="27" t="s">
        <v>1862</v>
      </c>
      <c r="B20" s="7" t="s">
        <v>1864</v>
      </c>
      <c r="D20" s="26" t="s">
        <v>1862</v>
      </c>
      <c r="E20" s="26" t="s">
        <v>1864</v>
      </c>
    </row>
    <row r="21" spans="1:15" x14ac:dyDescent="0.2">
      <c r="A21" s="9" t="s">
        <v>236</v>
      </c>
      <c r="B21" s="28">
        <v>5271.88</v>
      </c>
      <c r="D21" s="9" t="s">
        <v>236</v>
      </c>
      <c r="E21" s="28">
        <v>5271.88</v>
      </c>
    </row>
    <row r="22" spans="1:15" x14ac:dyDescent="0.2">
      <c r="A22" s="9" t="s">
        <v>205</v>
      </c>
      <c r="B22" s="28">
        <v>28059.676200000009</v>
      </c>
      <c r="D22" s="9" t="s">
        <v>205</v>
      </c>
      <c r="E22" s="28">
        <v>28059.676200000009</v>
      </c>
    </row>
    <row r="23" spans="1:15" x14ac:dyDescent="0.2">
      <c r="A23" s="9" t="s">
        <v>1064</v>
      </c>
      <c r="B23" s="28">
        <v>223.32</v>
      </c>
      <c r="D23" s="9" t="s">
        <v>1064</v>
      </c>
      <c r="E23" s="28">
        <v>223.32</v>
      </c>
    </row>
    <row r="24" spans="1:15" x14ac:dyDescent="0.2">
      <c r="A24" s="9" t="s">
        <v>30</v>
      </c>
      <c r="B24" s="28">
        <v>198392.40430000002</v>
      </c>
      <c r="D24" s="9" t="s">
        <v>30</v>
      </c>
      <c r="E24" s="28">
        <v>198392.40430000002</v>
      </c>
    </row>
    <row r="25" spans="1:15" x14ac:dyDescent="0.2">
      <c r="A25" s="9" t="s">
        <v>298</v>
      </c>
      <c r="B25" s="28">
        <v>22720.553899999999</v>
      </c>
      <c r="D25" s="9" t="s">
        <v>298</v>
      </c>
      <c r="E25" s="28">
        <v>22720.553899999999</v>
      </c>
    </row>
    <row r="26" spans="1:15" x14ac:dyDescent="0.2">
      <c r="A26" s="9" t="s">
        <v>478</v>
      </c>
      <c r="B26" s="28">
        <v>5164.25</v>
      </c>
      <c r="D26" s="9" t="s">
        <v>478</v>
      </c>
      <c r="E26" s="28">
        <v>5164.25</v>
      </c>
    </row>
    <row r="27" spans="1:15" x14ac:dyDescent="0.2">
      <c r="A27" s="9" t="s">
        <v>165</v>
      </c>
      <c r="B27" s="28">
        <v>3333.78</v>
      </c>
      <c r="D27" s="9" t="s">
        <v>165</v>
      </c>
      <c r="E27" s="28">
        <v>3333.78</v>
      </c>
    </row>
    <row r="28" spans="1:15" x14ac:dyDescent="0.2">
      <c r="A28" s="9" t="s">
        <v>39</v>
      </c>
      <c r="B28" s="28">
        <v>23721.861225000008</v>
      </c>
      <c r="D28" s="9" t="s">
        <v>39</v>
      </c>
      <c r="E28" s="28">
        <v>23721.861225000008</v>
      </c>
    </row>
    <row r="29" spans="1:15" x14ac:dyDescent="0.2">
      <c r="A29" s="9" t="s">
        <v>797</v>
      </c>
      <c r="B29" s="28">
        <v>38382.839999999997</v>
      </c>
      <c r="D29" s="9" t="s">
        <v>797</v>
      </c>
      <c r="E29" s="28">
        <v>38382.839999999997</v>
      </c>
    </row>
    <row r="30" spans="1:15" x14ac:dyDescent="0.2">
      <c r="A30" s="9" t="s">
        <v>142</v>
      </c>
      <c r="B30" s="28">
        <v>38843.494900000012</v>
      </c>
      <c r="D30" s="9" t="s">
        <v>142</v>
      </c>
      <c r="E30" s="28">
        <v>38843.494900000012</v>
      </c>
    </row>
    <row r="31" spans="1:15" x14ac:dyDescent="0.2">
      <c r="A31" s="9" t="s">
        <v>171</v>
      </c>
      <c r="B31" s="28">
        <v>1983.2699999999998</v>
      </c>
      <c r="D31" s="9" t="s">
        <v>171</v>
      </c>
      <c r="E31" s="28">
        <v>1983.2699999999998</v>
      </c>
    </row>
    <row r="32" spans="1:15" x14ac:dyDescent="0.2">
      <c r="A32" s="9" t="s">
        <v>318</v>
      </c>
      <c r="B32" s="28">
        <v>1465.04</v>
      </c>
      <c r="D32" s="9" t="s">
        <v>318</v>
      </c>
      <c r="E32" s="28">
        <v>1465.04</v>
      </c>
    </row>
    <row r="33" spans="1:5" x14ac:dyDescent="0.2">
      <c r="A33" s="9" t="s">
        <v>20</v>
      </c>
      <c r="B33" s="28">
        <v>8826.5499999999993</v>
      </c>
      <c r="D33" s="9" t="s">
        <v>20</v>
      </c>
      <c r="E33" s="28">
        <v>8826.5499999999993</v>
      </c>
    </row>
    <row r="34" spans="1:5" x14ac:dyDescent="0.2">
      <c r="A34" s="9" t="s">
        <v>471</v>
      </c>
      <c r="B34" s="28">
        <v>10357.890000000001</v>
      </c>
      <c r="D34" s="9" t="s">
        <v>471</v>
      </c>
      <c r="E34" s="28">
        <v>10357.890000000001</v>
      </c>
    </row>
    <row r="35" spans="1:5" x14ac:dyDescent="0.2">
      <c r="A35" s="9" t="s">
        <v>1700</v>
      </c>
      <c r="B35" s="28">
        <v>263.62</v>
      </c>
      <c r="D35" s="9" t="s">
        <v>1700</v>
      </c>
      <c r="E35" s="28">
        <v>263.62</v>
      </c>
    </row>
    <row r="36" spans="1:5" x14ac:dyDescent="0.2">
      <c r="A36" s="9" t="s">
        <v>781</v>
      </c>
      <c r="B36" s="28">
        <v>11397.837599999999</v>
      </c>
      <c r="D36" s="9" t="s">
        <v>781</v>
      </c>
      <c r="E36" s="28">
        <v>11397.837599999999</v>
      </c>
    </row>
    <row r="37" spans="1:5" x14ac:dyDescent="0.2">
      <c r="A37" s="9" t="s">
        <v>160</v>
      </c>
      <c r="B37" s="28">
        <v>55658.632600000012</v>
      </c>
      <c r="D37" s="9" t="s">
        <v>160</v>
      </c>
      <c r="E37" s="28">
        <v>55658.632600000012</v>
      </c>
    </row>
    <row r="38" spans="1:5" x14ac:dyDescent="0.2">
      <c r="A38" s="9" t="s">
        <v>154</v>
      </c>
      <c r="B38" s="28">
        <v>24378.16</v>
      </c>
      <c r="D38" s="9" t="s">
        <v>154</v>
      </c>
      <c r="E38" s="28">
        <v>24378.16</v>
      </c>
    </row>
    <row r="39" spans="1:5" x14ac:dyDescent="0.2">
      <c r="A39" s="9" t="s">
        <v>931</v>
      </c>
      <c r="B39" s="28">
        <v>6977.3499999999995</v>
      </c>
      <c r="D39" s="9" t="s">
        <v>931</v>
      </c>
      <c r="E39" s="28">
        <v>6977.3499999999995</v>
      </c>
    </row>
    <row r="40" spans="1:5" x14ac:dyDescent="0.2">
      <c r="A40" s="9" t="s">
        <v>384</v>
      </c>
      <c r="B40" s="28">
        <v>2973.27</v>
      </c>
      <c r="D40" s="9" t="s">
        <v>384</v>
      </c>
      <c r="E40" s="28">
        <v>2973.27</v>
      </c>
    </row>
    <row r="41" spans="1:5" x14ac:dyDescent="0.2">
      <c r="A41" s="9" t="s">
        <v>1099</v>
      </c>
      <c r="B41" s="28">
        <v>18556.080000000002</v>
      </c>
      <c r="D41" s="9" t="s">
        <v>1099</v>
      </c>
      <c r="E41" s="28">
        <v>18556.080000000002</v>
      </c>
    </row>
    <row r="42" spans="1:5" x14ac:dyDescent="0.2">
      <c r="A42" s="9" t="s">
        <v>96</v>
      </c>
      <c r="B42" s="28">
        <v>1065.31</v>
      </c>
      <c r="D42" s="9" t="s">
        <v>96</v>
      </c>
      <c r="E42" s="28">
        <v>1065.31</v>
      </c>
    </row>
    <row r="43" spans="1:5" x14ac:dyDescent="0.2">
      <c r="A43" s="9" t="s">
        <v>871</v>
      </c>
      <c r="B43" s="28">
        <v>181.9008</v>
      </c>
      <c r="D43" s="9" t="s">
        <v>871</v>
      </c>
      <c r="E43" s="28">
        <v>181.9008</v>
      </c>
    </row>
    <row r="44" spans="1:5" x14ac:dyDescent="0.2">
      <c r="A44" s="9" t="s">
        <v>1673</v>
      </c>
      <c r="B44" s="28">
        <v>2216.9899999999998</v>
      </c>
      <c r="D44" s="9" t="s">
        <v>1673</v>
      </c>
      <c r="E44" s="28">
        <v>2216.9899999999998</v>
      </c>
    </row>
    <row r="45" spans="1:5" x14ac:dyDescent="0.2">
      <c r="A45" s="9" t="s">
        <v>504</v>
      </c>
      <c r="B45" s="28">
        <v>13211.130000000001</v>
      </c>
      <c r="D45" s="9" t="s">
        <v>504</v>
      </c>
      <c r="E45" s="28">
        <v>13211.130000000001</v>
      </c>
    </row>
    <row r="46" spans="1:5" x14ac:dyDescent="0.2">
      <c r="A46" s="9" t="s">
        <v>430</v>
      </c>
      <c r="B46" s="28">
        <v>301.99</v>
      </c>
      <c r="D46" s="9" t="s">
        <v>430</v>
      </c>
      <c r="E46" s="28">
        <v>301.99</v>
      </c>
    </row>
    <row r="47" spans="1:5" x14ac:dyDescent="0.2">
      <c r="A47" s="9" t="s">
        <v>179</v>
      </c>
      <c r="B47" s="28">
        <v>107723.30579999997</v>
      </c>
      <c r="D47" s="9" t="s">
        <v>179</v>
      </c>
      <c r="E47" s="28">
        <v>107723.30579999997</v>
      </c>
    </row>
    <row r="48" spans="1:5" x14ac:dyDescent="0.2">
      <c r="A48" s="9" t="s">
        <v>62</v>
      </c>
      <c r="B48" s="28">
        <v>28898.375600000003</v>
      </c>
      <c r="D48" s="9" t="s">
        <v>62</v>
      </c>
      <c r="E48" s="28">
        <v>28898.375600000003</v>
      </c>
    </row>
    <row r="49" spans="1:5" x14ac:dyDescent="0.2">
      <c r="A49" s="9" t="s">
        <v>324</v>
      </c>
      <c r="B49" s="28">
        <v>19159.155799999993</v>
      </c>
      <c r="D49" s="9" t="s">
        <v>324</v>
      </c>
      <c r="E49" s="28">
        <v>19159.155799999993</v>
      </c>
    </row>
    <row r="50" spans="1:5" x14ac:dyDescent="0.2">
      <c r="A50" s="9" t="s">
        <v>418</v>
      </c>
      <c r="B50" s="28">
        <v>6899.27</v>
      </c>
      <c r="D50" s="9" t="s">
        <v>418</v>
      </c>
      <c r="E50" s="28">
        <v>6899.27</v>
      </c>
    </row>
    <row r="51" spans="1:5" x14ac:dyDescent="0.2">
      <c r="A51" s="9" t="s">
        <v>275</v>
      </c>
      <c r="B51" s="28">
        <v>1911.6290999999999</v>
      </c>
      <c r="D51" s="9" t="s">
        <v>275</v>
      </c>
      <c r="E51" s="28">
        <v>1911.6290999999999</v>
      </c>
    </row>
    <row r="52" spans="1:5" x14ac:dyDescent="0.2">
      <c r="A52" s="9" t="s">
        <v>102</v>
      </c>
      <c r="B52" s="28">
        <v>63328.233700000012</v>
      </c>
      <c r="D52" s="9" t="s">
        <v>102</v>
      </c>
      <c r="E52" s="28">
        <v>63328.233700000012</v>
      </c>
    </row>
    <row r="53" spans="1:5" x14ac:dyDescent="0.2">
      <c r="A53" s="9" t="s">
        <v>876</v>
      </c>
      <c r="B53" s="28">
        <v>125.84</v>
      </c>
      <c r="D53" s="9" t="s">
        <v>876</v>
      </c>
      <c r="E53" s="28">
        <v>125.84</v>
      </c>
    </row>
    <row r="54" spans="1:5" x14ac:dyDescent="0.2">
      <c r="A54" s="9" t="s">
        <v>252</v>
      </c>
      <c r="B54" s="28">
        <v>1163.9899999999998</v>
      </c>
      <c r="D54" s="9" t="s">
        <v>252</v>
      </c>
      <c r="E54" s="28">
        <v>1163.9899999999998</v>
      </c>
    </row>
    <row r="55" spans="1:5" x14ac:dyDescent="0.2">
      <c r="A55" s="9" t="s">
        <v>222</v>
      </c>
      <c r="B55" s="28">
        <v>8904.7674000000025</v>
      </c>
      <c r="D55" s="9" t="s">
        <v>222</v>
      </c>
      <c r="E55" s="28">
        <v>8904.7674000000025</v>
      </c>
    </row>
    <row r="56" spans="1:5" x14ac:dyDescent="0.2">
      <c r="A56" s="9" t="s">
        <v>73</v>
      </c>
      <c r="B56" s="28">
        <v>119213.34111599997</v>
      </c>
      <c r="D56" s="9" t="s">
        <v>73</v>
      </c>
      <c r="E56" s="28">
        <v>119213.34111599997</v>
      </c>
    </row>
    <row r="57" spans="1:5" x14ac:dyDescent="0.2">
      <c r="A57" s="9" t="s">
        <v>85</v>
      </c>
      <c r="B57" s="28">
        <v>3848.1891999999998</v>
      </c>
      <c r="D57" s="9" t="s">
        <v>85</v>
      </c>
      <c r="E57" s="28">
        <v>3848.1891999999998</v>
      </c>
    </row>
    <row r="58" spans="1:5" x14ac:dyDescent="0.2">
      <c r="A58" s="9" t="s">
        <v>211</v>
      </c>
      <c r="B58" s="28">
        <v>25147.850000000002</v>
      </c>
      <c r="D58" s="9" t="s">
        <v>211</v>
      </c>
      <c r="E58" s="28">
        <v>25147.850000000002</v>
      </c>
    </row>
    <row r="59" spans="1:5" x14ac:dyDescent="0.2">
      <c r="A59" s="9" t="s">
        <v>68</v>
      </c>
      <c r="B59" s="28">
        <v>37936.753599999989</v>
      </c>
      <c r="D59" s="9" t="s">
        <v>68</v>
      </c>
      <c r="E59" s="28">
        <v>37936.753599999989</v>
      </c>
    </row>
    <row r="60" spans="1:5" x14ac:dyDescent="0.2">
      <c r="A60" s="9" t="s">
        <v>80</v>
      </c>
      <c r="B60" s="28">
        <v>29806.120000000003</v>
      </c>
      <c r="D60" s="9" t="s">
        <v>80</v>
      </c>
      <c r="E60" s="28">
        <v>29806.120000000003</v>
      </c>
    </row>
  </sheetData>
  <pageMargins left="0.7" right="0.7" top="0.75" bottom="0.75" header="0.3" footer="0.3"/>
  <pageSetup orientation="portrait"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67CE9-F596-48B3-A65A-40CCFA5888E4}">
  <dimension ref="A1:S1001"/>
  <sheetViews>
    <sheetView topLeftCell="I2" workbookViewId="0">
      <selection activeCell="L13" sqref="L13"/>
    </sheetView>
  </sheetViews>
  <sheetFormatPr defaultRowHeight="12.75" x14ac:dyDescent="0.2"/>
  <cols>
    <col min="1" max="1" width="15" bestFit="1" customWidth="1"/>
    <col min="2" max="2" width="14.42578125" bestFit="1" customWidth="1"/>
    <col min="3" max="3" width="14.28515625" bestFit="1" customWidth="1"/>
    <col min="4" max="4" width="20.140625" bestFit="1" customWidth="1"/>
    <col min="5" max="5" width="19" customWidth="1"/>
    <col min="6" max="6" width="14.85546875" bestFit="1" customWidth="1"/>
    <col min="7" max="7" width="10.7109375" bestFit="1" customWidth="1"/>
    <col min="8" max="8" width="14" bestFit="1" customWidth="1"/>
    <col min="9" max="9" width="17.28515625" bestFit="1" customWidth="1"/>
    <col min="10" max="10" width="16.85546875" customWidth="1"/>
    <col min="11" max="11" width="112.28515625" bestFit="1" customWidth="1"/>
    <col min="12" max="12" width="16.28515625" customWidth="1"/>
    <col min="13" max="13" width="15.42578125" customWidth="1"/>
    <col min="14" max="14" width="14.5703125" customWidth="1"/>
    <col min="15" max="15" width="15.5703125" customWidth="1"/>
    <col min="16" max="16" width="18.5703125" customWidth="1"/>
    <col min="18" max="18" width="15.5703125" bestFit="1" customWidth="1"/>
    <col min="19" max="19" width="14.42578125" customWidth="1"/>
  </cols>
  <sheetData>
    <row r="1" spans="1:19" x14ac:dyDescent="0.2">
      <c r="A1" s="13" t="s">
        <v>0</v>
      </c>
      <c r="B1" s="14" t="s">
        <v>1</v>
      </c>
      <c r="C1" s="14" t="s">
        <v>2</v>
      </c>
      <c r="D1" s="14" t="s">
        <v>3</v>
      </c>
      <c r="E1" s="14" t="s">
        <v>4</v>
      </c>
      <c r="F1" s="14" t="s">
        <v>5</v>
      </c>
      <c r="G1" s="14" t="s">
        <v>6</v>
      </c>
      <c r="H1" s="14" t="s">
        <v>7</v>
      </c>
      <c r="I1" s="14" t="s">
        <v>8</v>
      </c>
      <c r="J1" s="14" t="s">
        <v>9</v>
      </c>
      <c r="K1" s="14" t="s">
        <v>10</v>
      </c>
      <c r="L1" s="14" t="s">
        <v>11</v>
      </c>
      <c r="M1" s="14" t="s">
        <v>12</v>
      </c>
      <c r="N1" s="14" t="s">
        <v>13</v>
      </c>
      <c r="O1" s="14" t="s">
        <v>14</v>
      </c>
      <c r="P1" s="15" t="s">
        <v>15</v>
      </c>
      <c r="Q1" s="16" t="s">
        <v>1866</v>
      </c>
      <c r="R1" s="16" t="s">
        <v>1867</v>
      </c>
      <c r="S1" s="16" t="s">
        <v>1871</v>
      </c>
    </row>
    <row r="2" spans="1:19" x14ac:dyDescent="0.2">
      <c r="A2" s="1">
        <v>1</v>
      </c>
      <c r="B2" s="1" t="s">
        <v>16</v>
      </c>
      <c r="C2" s="2">
        <v>43412</v>
      </c>
      <c r="D2" s="1" t="s">
        <v>17</v>
      </c>
      <c r="E2" s="1" t="s">
        <v>18</v>
      </c>
      <c r="F2" s="1" t="s">
        <v>19</v>
      </c>
      <c r="G2" s="1" t="s">
        <v>20</v>
      </c>
      <c r="H2" s="1" t="s">
        <v>21</v>
      </c>
      <c r="I2" s="1" t="s">
        <v>22</v>
      </c>
      <c r="J2" s="1" t="s">
        <v>23</v>
      </c>
      <c r="K2" s="1" t="s">
        <v>24</v>
      </c>
      <c r="L2" s="17">
        <v>261.95999999999998</v>
      </c>
      <c r="M2" s="1">
        <v>2</v>
      </c>
      <c r="N2" s="1">
        <v>0</v>
      </c>
      <c r="O2" s="17">
        <v>41.913600000000002</v>
      </c>
      <c r="P2" s="17">
        <f>('Work File (2)'!$L2*'Work File (2)'!$M2)*(1-'Work File (2)'!$N2)</f>
        <v>523.91999999999996</v>
      </c>
      <c r="Q2" s="11">
        <f>YEAR(Table2[[#This Row],[Order Date]])</f>
        <v>2018</v>
      </c>
      <c r="R2" s="19" t="str">
        <f>TEXT(Table2[[#This Row],[Order Date]],"mmm")</f>
        <v>Nov</v>
      </c>
      <c r="S2" s="18"/>
    </row>
    <row r="3" spans="1:19" x14ac:dyDescent="0.2">
      <c r="A3" s="1">
        <v>2</v>
      </c>
      <c r="B3" s="1" t="s">
        <v>16</v>
      </c>
      <c r="C3" s="2">
        <v>43412</v>
      </c>
      <c r="D3" s="1" t="s">
        <v>17</v>
      </c>
      <c r="E3" s="1" t="s">
        <v>18</v>
      </c>
      <c r="F3" s="1" t="s">
        <v>19</v>
      </c>
      <c r="G3" s="1" t="s">
        <v>20</v>
      </c>
      <c r="H3" s="1" t="s">
        <v>21</v>
      </c>
      <c r="I3" s="1" t="s">
        <v>22</v>
      </c>
      <c r="J3" s="1" t="s">
        <v>25</v>
      </c>
      <c r="K3" s="1" t="s">
        <v>26</v>
      </c>
      <c r="L3" s="17">
        <v>731.93999999999994</v>
      </c>
      <c r="M3" s="1">
        <v>3</v>
      </c>
      <c r="N3" s="1">
        <v>0</v>
      </c>
      <c r="O3" s="17">
        <v>219.58199999999997</v>
      </c>
      <c r="P3" s="17">
        <f>('Work File (2)'!$L3*'Work File (2)'!$M3)*(1-'Work File (2)'!$N3)</f>
        <v>2195.8199999999997</v>
      </c>
      <c r="Q3" s="1">
        <f>YEAR(Table2[[#This Row],[Order Date]])</f>
        <v>2018</v>
      </c>
      <c r="R3" s="18" t="str">
        <f>TEXT(Table2[[#This Row],[Order Date]],"mmm")</f>
        <v>Nov</v>
      </c>
      <c r="S3" s="18"/>
    </row>
    <row r="4" spans="1:19" x14ac:dyDescent="0.2">
      <c r="A4" s="1">
        <v>3</v>
      </c>
      <c r="B4" s="1" t="s">
        <v>27</v>
      </c>
      <c r="C4" s="2">
        <v>43263</v>
      </c>
      <c r="D4" s="1" t="s">
        <v>17</v>
      </c>
      <c r="E4" s="1" t="s">
        <v>28</v>
      </c>
      <c r="F4" s="1" t="s">
        <v>29</v>
      </c>
      <c r="G4" s="1" t="s">
        <v>30</v>
      </c>
      <c r="H4" s="1" t="s">
        <v>31</v>
      </c>
      <c r="I4" s="1" t="s">
        <v>32</v>
      </c>
      <c r="J4" s="1" t="s">
        <v>33</v>
      </c>
      <c r="K4" s="1" t="s">
        <v>34</v>
      </c>
      <c r="L4" s="17">
        <v>14.62</v>
      </c>
      <c r="M4" s="1">
        <v>2</v>
      </c>
      <c r="N4" s="1">
        <v>0</v>
      </c>
      <c r="O4" s="17">
        <v>6.8713999999999995</v>
      </c>
      <c r="P4" s="17">
        <f>('Work File (2)'!$L4*'Work File (2)'!$M4)*(1-'Work File (2)'!$N4)</f>
        <v>29.24</v>
      </c>
      <c r="Q4" s="1">
        <f>YEAR(Table2[[#This Row],[Order Date]])</f>
        <v>2018</v>
      </c>
      <c r="R4" s="18" t="str">
        <f>TEXT(Table2[[#This Row],[Order Date]],"mmm")</f>
        <v>Jun</v>
      </c>
      <c r="S4" s="18"/>
    </row>
    <row r="5" spans="1:19" x14ac:dyDescent="0.2">
      <c r="A5" s="1">
        <v>4</v>
      </c>
      <c r="B5" s="1" t="s">
        <v>35</v>
      </c>
      <c r="C5" s="2">
        <v>43019</v>
      </c>
      <c r="D5" s="1" t="s">
        <v>36</v>
      </c>
      <c r="E5" s="1" t="s">
        <v>37</v>
      </c>
      <c r="F5" s="1" t="s">
        <v>38</v>
      </c>
      <c r="G5" s="1" t="s">
        <v>39</v>
      </c>
      <c r="H5" s="1" t="s">
        <v>21</v>
      </c>
      <c r="I5" s="1" t="s">
        <v>22</v>
      </c>
      <c r="J5" s="1" t="s">
        <v>40</v>
      </c>
      <c r="K5" s="1" t="s">
        <v>41</v>
      </c>
      <c r="L5" s="17">
        <v>957.57749999999999</v>
      </c>
      <c r="M5" s="1">
        <v>5</v>
      </c>
      <c r="N5" s="1">
        <v>0.45</v>
      </c>
      <c r="O5" s="17">
        <v>-383.03100000000006</v>
      </c>
      <c r="P5" s="17">
        <f>('Work File (2)'!$L5*'Work File (2)'!$M5)*(1-'Work File (2)'!$N5)</f>
        <v>2633.3381250000002</v>
      </c>
      <c r="Q5" s="1">
        <f>YEAR(Table2[[#This Row],[Order Date]])</f>
        <v>2017</v>
      </c>
      <c r="R5" s="18" t="str">
        <f>TEXT(Table2[[#This Row],[Order Date]],"mmm")</f>
        <v>Oct</v>
      </c>
      <c r="S5" s="18"/>
    </row>
    <row r="6" spans="1:19" x14ac:dyDescent="0.2">
      <c r="A6" s="1">
        <v>5</v>
      </c>
      <c r="B6" s="1" t="s">
        <v>35</v>
      </c>
      <c r="C6" s="2">
        <v>43019</v>
      </c>
      <c r="D6" s="1" t="s">
        <v>36</v>
      </c>
      <c r="E6" s="1" t="s">
        <v>37</v>
      </c>
      <c r="F6" s="1" t="s">
        <v>38</v>
      </c>
      <c r="G6" s="1" t="s">
        <v>39</v>
      </c>
      <c r="H6" s="1" t="s">
        <v>21</v>
      </c>
      <c r="I6" s="1" t="s">
        <v>32</v>
      </c>
      <c r="J6" s="1" t="s">
        <v>42</v>
      </c>
      <c r="K6" s="1" t="s">
        <v>43</v>
      </c>
      <c r="L6" s="17">
        <v>22.368000000000002</v>
      </c>
      <c r="M6" s="1">
        <v>2</v>
      </c>
      <c r="N6" s="1">
        <v>0.2</v>
      </c>
      <c r="O6" s="17">
        <v>2.5163999999999991</v>
      </c>
      <c r="P6" s="17">
        <f>('Work File (2)'!$L6*'Work File (2)'!$M6)*(1-'Work File (2)'!$N6)</f>
        <v>35.788800000000002</v>
      </c>
      <c r="Q6" s="1">
        <f>YEAR(Table2[[#This Row],[Order Date]])</f>
        <v>2017</v>
      </c>
      <c r="R6" s="18" t="str">
        <f>TEXT(Table2[[#This Row],[Order Date]],"mmm")</f>
        <v>Oct</v>
      </c>
      <c r="S6" s="18"/>
    </row>
    <row r="7" spans="1:19" x14ac:dyDescent="0.2">
      <c r="A7" s="1">
        <v>6</v>
      </c>
      <c r="B7" s="1" t="s">
        <v>44</v>
      </c>
      <c r="C7" s="2">
        <v>42530</v>
      </c>
      <c r="D7" s="1" t="s">
        <v>36</v>
      </c>
      <c r="E7" s="1" t="s">
        <v>45</v>
      </c>
      <c r="F7" s="1" t="s">
        <v>29</v>
      </c>
      <c r="G7" s="1" t="s">
        <v>30</v>
      </c>
      <c r="H7" s="1" t="s">
        <v>31</v>
      </c>
      <c r="I7" s="1" t="s">
        <v>22</v>
      </c>
      <c r="J7" s="1" t="s">
        <v>46</v>
      </c>
      <c r="K7" s="1" t="s">
        <v>47</v>
      </c>
      <c r="L7" s="17">
        <v>48.86</v>
      </c>
      <c r="M7" s="1">
        <v>7</v>
      </c>
      <c r="N7" s="1">
        <v>0</v>
      </c>
      <c r="O7" s="17">
        <v>14.169399999999996</v>
      </c>
      <c r="P7" s="17">
        <f>('Work File (2)'!$L7*'Work File (2)'!$M7)*(1-'Work File (2)'!$N7)</f>
        <v>342.02</v>
      </c>
      <c r="Q7" s="1">
        <f>YEAR(Table2[[#This Row],[Order Date]])</f>
        <v>2016</v>
      </c>
      <c r="R7" s="18" t="str">
        <f>TEXT(Table2[[#This Row],[Order Date]],"mmm")</f>
        <v>Jun</v>
      </c>
      <c r="S7" s="18"/>
    </row>
    <row r="8" spans="1:19" x14ac:dyDescent="0.2">
      <c r="A8" s="1">
        <v>7</v>
      </c>
      <c r="B8" s="1" t="s">
        <v>44</v>
      </c>
      <c r="C8" s="2">
        <v>42530</v>
      </c>
      <c r="D8" s="1" t="s">
        <v>36</v>
      </c>
      <c r="E8" s="1" t="s">
        <v>45</v>
      </c>
      <c r="F8" s="1" t="s">
        <v>29</v>
      </c>
      <c r="G8" s="1" t="s">
        <v>30</v>
      </c>
      <c r="H8" s="1" t="s">
        <v>31</v>
      </c>
      <c r="I8" s="1" t="s">
        <v>32</v>
      </c>
      <c r="J8" s="1" t="s">
        <v>48</v>
      </c>
      <c r="K8" s="1" t="s">
        <v>49</v>
      </c>
      <c r="L8" s="17">
        <v>7.28</v>
      </c>
      <c r="M8" s="1">
        <v>4</v>
      </c>
      <c r="N8" s="1">
        <v>0</v>
      </c>
      <c r="O8" s="17">
        <v>1.9656000000000002</v>
      </c>
      <c r="P8" s="17">
        <f>('Work File (2)'!$L8*'Work File (2)'!$M8)*(1-'Work File (2)'!$N8)</f>
        <v>29.12</v>
      </c>
      <c r="Q8" s="1">
        <f>YEAR(Table2[[#This Row],[Order Date]])</f>
        <v>2016</v>
      </c>
      <c r="R8" s="18" t="str">
        <f>TEXT(Table2[[#This Row],[Order Date]],"mmm")</f>
        <v>Jun</v>
      </c>
      <c r="S8" s="18"/>
    </row>
    <row r="9" spans="1:19" x14ac:dyDescent="0.2">
      <c r="A9" s="1">
        <v>8</v>
      </c>
      <c r="B9" s="1" t="s">
        <v>44</v>
      </c>
      <c r="C9" s="2">
        <v>42530</v>
      </c>
      <c r="D9" s="1" t="s">
        <v>36</v>
      </c>
      <c r="E9" s="1" t="s">
        <v>45</v>
      </c>
      <c r="F9" s="1" t="s">
        <v>29</v>
      </c>
      <c r="G9" s="1" t="s">
        <v>30</v>
      </c>
      <c r="H9" s="1" t="s">
        <v>31</v>
      </c>
      <c r="I9" s="1" t="s">
        <v>50</v>
      </c>
      <c r="J9" s="1" t="s">
        <v>51</v>
      </c>
      <c r="K9" s="1" t="s">
        <v>52</v>
      </c>
      <c r="L9" s="17">
        <v>907.15200000000004</v>
      </c>
      <c r="M9" s="1">
        <v>6</v>
      </c>
      <c r="N9" s="1">
        <v>0.2</v>
      </c>
      <c r="O9" s="17">
        <v>90.715200000000038</v>
      </c>
      <c r="P9" s="17">
        <f>('Work File (2)'!$L9*'Work File (2)'!$M9)*(1-'Work File (2)'!$N9)</f>
        <v>4354.3296</v>
      </c>
      <c r="Q9" s="1">
        <f>YEAR(Table2[[#This Row],[Order Date]])</f>
        <v>2016</v>
      </c>
      <c r="R9" s="18" t="str">
        <f>TEXT(Table2[[#This Row],[Order Date]],"mmm")</f>
        <v>Jun</v>
      </c>
      <c r="S9" s="18"/>
    </row>
    <row r="10" spans="1:19" x14ac:dyDescent="0.2">
      <c r="A10" s="1">
        <v>9</v>
      </c>
      <c r="B10" s="1" t="s">
        <v>44</v>
      </c>
      <c r="C10" s="2">
        <v>42530</v>
      </c>
      <c r="D10" s="1" t="s">
        <v>36</v>
      </c>
      <c r="E10" s="1" t="s">
        <v>45</v>
      </c>
      <c r="F10" s="1" t="s">
        <v>29</v>
      </c>
      <c r="G10" s="1" t="s">
        <v>30</v>
      </c>
      <c r="H10" s="1" t="s">
        <v>31</v>
      </c>
      <c r="I10" s="1" t="s">
        <v>32</v>
      </c>
      <c r="J10" s="1" t="s">
        <v>53</v>
      </c>
      <c r="K10" s="1" t="s">
        <v>54</v>
      </c>
      <c r="L10" s="17">
        <v>18.504000000000001</v>
      </c>
      <c r="M10" s="1">
        <v>3</v>
      </c>
      <c r="N10" s="1">
        <v>0.2</v>
      </c>
      <c r="O10" s="17">
        <v>5.7824999999999998</v>
      </c>
      <c r="P10" s="17">
        <f>('Work File (2)'!$L10*'Work File (2)'!$M10)*(1-'Work File (2)'!$N10)</f>
        <v>44.409600000000005</v>
      </c>
      <c r="Q10" s="1">
        <f>YEAR(Table2[[#This Row],[Order Date]])</f>
        <v>2016</v>
      </c>
      <c r="R10" s="18" t="str">
        <f>TEXT(Table2[[#This Row],[Order Date]],"mmm")</f>
        <v>Jun</v>
      </c>
      <c r="S10" s="18"/>
    </row>
    <row r="11" spans="1:19" x14ac:dyDescent="0.2">
      <c r="A11" s="1">
        <v>10</v>
      </c>
      <c r="B11" s="1" t="s">
        <v>44</v>
      </c>
      <c r="C11" s="2">
        <v>42530</v>
      </c>
      <c r="D11" s="1" t="s">
        <v>36</v>
      </c>
      <c r="E11" s="1" t="s">
        <v>45</v>
      </c>
      <c r="F11" s="1" t="s">
        <v>29</v>
      </c>
      <c r="G11" s="1" t="s">
        <v>30</v>
      </c>
      <c r="H11" s="1" t="s">
        <v>31</v>
      </c>
      <c r="I11" s="1" t="s">
        <v>32</v>
      </c>
      <c r="J11" s="1" t="s">
        <v>55</v>
      </c>
      <c r="K11" s="1" t="s">
        <v>56</v>
      </c>
      <c r="L11" s="17">
        <v>114.9</v>
      </c>
      <c r="M11" s="1">
        <v>5</v>
      </c>
      <c r="N11" s="1">
        <v>0</v>
      </c>
      <c r="O11" s="17">
        <v>34.469999999999992</v>
      </c>
      <c r="P11" s="17">
        <f>('Work File (2)'!$L11*'Work File (2)'!$M11)*(1-'Work File (2)'!$N11)</f>
        <v>574.5</v>
      </c>
      <c r="Q11" s="1">
        <f>YEAR(Table2[[#This Row],[Order Date]])</f>
        <v>2016</v>
      </c>
      <c r="R11" s="18" t="str">
        <f>TEXT(Table2[[#This Row],[Order Date]],"mmm")</f>
        <v>Jun</v>
      </c>
      <c r="S11" s="18"/>
    </row>
    <row r="12" spans="1:19" x14ac:dyDescent="0.2">
      <c r="A12" s="1">
        <v>11</v>
      </c>
      <c r="B12" s="1" t="s">
        <v>44</v>
      </c>
      <c r="C12" s="2">
        <v>42530</v>
      </c>
      <c r="D12" s="1" t="s">
        <v>36</v>
      </c>
      <c r="E12" s="1" t="s">
        <v>45</v>
      </c>
      <c r="F12" s="1" t="s">
        <v>29</v>
      </c>
      <c r="G12" s="1" t="s">
        <v>30</v>
      </c>
      <c r="H12" s="1" t="s">
        <v>31</v>
      </c>
      <c r="I12" s="1" t="s">
        <v>22</v>
      </c>
      <c r="J12" s="1" t="s">
        <v>40</v>
      </c>
      <c r="K12" s="1" t="s">
        <v>57</v>
      </c>
      <c r="L12" s="17">
        <v>1706.1840000000002</v>
      </c>
      <c r="M12" s="1">
        <v>9</v>
      </c>
      <c r="N12" s="1">
        <v>0.2</v>
      </c>
      <c r="O12" s="17">
        <v>85.309199999999805</v>
      </c>
      <c r="P12" s="17">
        <f>('Work File (2)'!$L12*'Work File (2)'!$M12)*(1-'Work File (2)'!$N12)</f>
        <v>12284.524800000003</v>
      </c>
      <c r="Q12" s="1">
        <f>YEAR(Table2[[#This Row],[Order Date]])</f>
        <v>2016</v>
      </c>
      <c r="R12" s="18" t="str">
        <f>TEXT(Table2[[#This Row],[Order Date]],"mmm")</f>
        <v>Jun</v>
      </c>
      <c r="S12" s="18"/>
    </row>
    <row r="13" spans="1:19" x14ac:dyDescent="0.2">
      <c r="A13" s="1">
        <v>12</v>
      </c>
      <c r="B13" s="1" t="s">
        <v>44</v>
      </c>
      <c r="C13" s="2">
        <v>42530</v>
      </c>
      <c r="D13" s="1" t="s">
        <v>36</v>
      </c>
      <c r="E13" s="1" t="s">
        <v>45</v>
      </c>
      <c r="F13" s="1" t="s">
        <v>29</v>
      </c>
      <c r="G13" s="1" t="s">
        <v>30</v>
      </c>
      <c r="H13" s="1" t="s">
        <v>31</v>
      </c>
      <c r="I13" s="1" t="s">
        <v>50</v>
      </c>
      <c r="J13" s="1" t="s">
        <v>51</v>
      </c>
      <c r="K13" s="1" t="s">
        <v>58</v>
      </c>
      <c r="L13" s="17">
        <v>911.42399999999998</v>
      </c>
      <c r="M13" s="1">
        <v>4</v>
      </c>
      <c r="N13" s="1">
        <v>0.2</v>
      </c>
      <c r="O13" s="17">
        <v>68.356800000000021</v>
      </c>
      <c r="P13" s="17">
        <f>('Work File (2)'!$L13*'Work File (2)'!$M13)*(1-'Work File (2)'!$N13)</f>
        <v>2916.5568000000003</v>
      </c>
      <c r="Q13" s="1">
        <f>YEAR(Table2[[#This Row],[Order Date]])</f>
        <v>2016</v>
      </c>
      <c r="R13" s="18" t="str">
        <f>TEXT(Table2[[#This Row],[Order Date]],"mmm")</f>
        <v>Jun</v>
      </c>
      <c r="S13" s="18"/>
    </row>
    <row r="14" spans="1:19" x14ac:dyDescent="0.2">
      <c r="A14" s="1">
        <v>13</v>
      </c>
      <c r="B14" s="1" t="s">
        <v>59</v>
      </c>
      <c r="C14" s="2">
        <v>43570</v>
      </c>
      <c r="D14" s="1" t="s">
        <v>36</v>
      </c>
      <c r="E14" s="1" t="s">
        <v>60</v>
      </c>
      <c r="F14" s="1" t="s">
        <v>61</v>
      </c>
      <c r="G14" s="1" t="s">
        <v>62</v>
      </c>
      <c r="H14" s="1" t="s">
        <v>21</v>
      </c>
      <c r="I14" s="1" t="s">
        <v>32</v>
      </c>
      <c r="J14" s="1" t="s">
        <v>63</v>
      </c>
      <c r="K14" s="1" t="s">
        <v>64</v>
      </c>
      <c r="L14" s="17">
        <v>15.552000000000003</v>
      </c>
      <c r="M14" s="1">
        <v>3</v>
      </c>
      <c r="N14" s="1">
        <v>0.2</v>
      </c>
      <c r="O14" s="17">
        <v>5.4432</v>
      </c>
      <c r="P14" s="17">
        <f>('Work File (2)'!$L14*'Work File (2)'!$M14)*(1-'Work File (2)'!$N14)</f>
        <v>37.324800000000003</v>
      </c>
      <c r="Q14" s="1">
        <f>YEAR(Table2[[#This Row],[Order Date]])</f>
        <v>2019</v>
      </c>
      <c r="R14" s="18" t="str">
        <f>TEXT(Table2[[#This Row],[Order Date]],"mmm")</f>
        <v>Apr</v>
      </c>
      <c r="S14" s="18"/>
    </row>
    <row r="15" spans="1:19" x14ac:dyDescent="0.2">
      <c r="A15" s="1">
        <v>14</v>
      </c>
      <c r="B15" s="1" t="s">
        <v>65</v>
      </c>
      <c r="C15" s="2">
        <v>43439</v>
      </c>
      <c r="D15" s="1" t="s">
        <v>36</v>
      </c>
      <c r="E15" s="1" t="s">
        <v>66</v>
      </c>
      <c r="F15" s="1" t="s">
        <v>67</v>
      </c>
      <c r="G15" s="1" t="s">
        <v>68</v>
      </c>
      <c r="H15" s="1" t="s">
        <v>31</v>
      </c>
      <c r="I15" s="1" t="s">
        <v>32</v>
      </c>
      <c r="J15" s="1" t="s">
        <v>53</v>
      </c>
      <c r="K15" s="1" t="s">
        <v>69</v>
      </c>
      <c r="L15" s="17">
        <v>407.97600000000006</v>
      </c>
      <c r="M15" s="1">
        <v>3</v>
      </c>
      <c r="N15" s="1">
        <v>0.2</v>
      </c>
      <c r="O15" s="17">
        <v>132.59219999999993</v>
      </c>
      <c r="P15" s="17">
        <f>('Work File (2)'!$L15*'Work File (2)'!$M15)*(1-'Work File (2)'!$N15)</f>
        <v>979.14240000000018</v>
      </c>
      <c r="Q15" s="1">
        <f>YEAR(Table2[[#This Row],[Order Date]])</f>
        <v>2018</v>
      </c>
      <c r="R15" s="18" t="str">
        <f>TEXT(Table2[[#This Row],[Order Date]],"mmm")</f>
        <v>Dec</v>
      </c>
      <c r="S15" s="18"/>
    </row>
    <row r="16" spans="1:19" x14ac:dyDescent="0.2">
      <c r="A16" s="1">
        <v>15</v>
      </c>
      <c r="B16" s="1" t="s">
        <v>70</v>
      </c>
      <c r="C16" s="2">
        <v>43061</v>
      </c>
      <c r="D16" s="1" t="s">
        <v>36</v>
      </c>
      <c r="E16" s="1" t="s">
        <v>71</v>
      </c>
      <c r="F16" s="1" t="s">
        <v>72</v>
      </c>
      <c r="G16" s="1" t="s">
        <v>73</v>
      </c>
      <c r="H16" s="1" t="s">
        <v>74</v>
      </c>
      <c r="I16" s="1" t="s">
        <v>32</v>
      </c>
      <c r="J16" s="1" t="s">
        <v>55</v>
      </c>
      <c r="K16" s="1" t="s">
        <v>75</v>
      </c>
      <c r="L16" s="17">
        <v>68.809999999999988</v>
      </c>
      <c r="M16" s="1">
        <v>5</v>
      </c>
      <c r="N16" s="1">
        <v>0.8</v>
      </c>
      <c r="O16" s="17">
        <v>-123.858</v>
      </c>
      <c r="P16" s="17">
        <f>('Work File (2)'!$L16*'Work File (2)'!$M16)*(1-'Work File (2)'!$N16)</f>
        <v>68.809999999999974</v>
      </c>
      <c r="Q16" s="1">
        <f>YEAR(Table2[[#This Row],[Order Date]])</f>
        <v>2017</v>
      </c>
      <c r="R16" s="18" t="str">
        <f>TEXT(Table2[[#This Row],[Order Date]],"mmm")</f>
        <v>Nov</v>
      </c>
      <c r="S16" s="18"/>
    </row>
    <row r="17" spans="1:19" x14ac:dyDescent="0.2">
      <c r="A17" s="1">
        <v>16</v>
      </c>
      <c r="B17" s="1" t="s">
        <v>70</v>
      </c>
      <c r="C17" s="2">
        <v>43061</v>
      </c>
      <c r="D17" s="1" t="s">
        <v>36</v>
      </c>
      <c r="E17" s="1" t="s">
        <v>71</v>
      </c>
      <c r="F17" s="1" t="s">
        <v>72</v>
      </c>
      <c r="G17" s="1" t="s">
        <v>73</v>
      </c>
      <c r="H17" s="1" t="s">
        <v>74</v>
      </c>
      <c r="I17" s="1" t="s">
        <v>32</v>
      </c>
      <c r="J17" s="1" t="s">
        <v>53</v>
      </c>
      <c r="K17" s="1" t="s">
        <v>76</v>
      </c>
      <c r="L17" s="17">
        <v>2.5439999999999996</v>
      </c>
      <c r="M17" s="1">
        <v>3</v>
      </c>
      <c r="N17" s="1">
        <v>0.8</v>
      </c>
      <c r="O17" s="17">
        <v>-3.8160000000000016</v>
      </c>
      <c r="P17" s="17">
        <f>('Work File (2)'!$L17*'Work File (2)'!$M17)*(1-'Work File (2)'!$N17)</f>
        <v>1.5263999999999993</v>
      </c>
      <c r="Q17" s="1">
        <f>YEAR(Table2[[#This Row],[Order Date]])</f>
        <v>2017</v>
      </c>
      <c r="R17" s="18" t="str">
        <f>TEXT(Table2[[#This Row],[Order Date]],"mmm")</f>
        <v>Nov</v>
      </c>
      <c r="S17" s="18"/>
    </row>
    <row r="18" spans="1:19" x14ac:dyDescent="0.2">
      <c r="A18" s="1">
        <v>17</v>
      </c>
      <c r="B18" s="1" t="s">
        <v>77</v>
      </c>
      <c r="C18" s="2">
        <v>42685</v>
      </c>
      <c r="D18" s="1" t="s">
        <v>36</v>
      </c>
      <c r="E18" s="1" t="s">
        <v>78</v>
      </c>
      <c r="F18" s="1" t="s">
        <v>79</v>
      </c>
      <c r="G18" s="1" t="s">
        <v>80</v>
      </c>
      <c r="H18" s="1" t="s">
        <v>74</v>
      </c>
      <c r="I18" s="1" t="s">
        <v>32</v>
      </c>
      <c r="J18" s="1" t="s">
        <v>42</v>
      </c>
      <c r="K18" s="1" t="s">
        <v>81</v>
      </c>
      <c r="L18" s="17">
        <v>665.88</v>
      </c>
      <c r="M18" s="1">
        <v>6</v>
      </c>
      <c r="N18" s="1">
        <v>0</v>
      </c>
      <c r="O18" s="17">
        <v>13.317599999999999</v>
      </c>
      <c r="P18" s="17">
        <f>('Work File (2)'!$L18*'Work File (2)'!$M18)*(1-'Work File (2)'!$N18)</f>
        <v>3995.2799999999997</v>
      </c>
      <c r="Q18" s="1">
        <f>YEAR(Table2[[#This Row],[Order Date]])</f>
        <v>2016</v>
      </c>
      <c r="R18" s="18" t="str">
        <f>TEXT(Table2[[#This Row],[Order Date]],"mmm")</f>
        <v>Nov</v>
      </c>
      <c r="S18" s="18"/>
    </row>
    <row r="19" spans="1:19" x14ac:dyDescent="0.2">
      <c r="A19" s="1">
        <v>18</v>
      </c>
      <c r="B19" s="1" t="s">
        <v>82</v>
      </c>
      <c r="C19" s="2">
        <v>42503</v>
      </c>
      <c r="D19" s="1" t="s">
        <v>17</v>
      </c>
      <c r="E19" s="1" t="s">
        <v>83</v>
      </c>
      <c r="F19" s="1" t="s">
        <v>84</v>
      </c>
      <c r="G19" s="1" t="s">
        <v>85</v>
      </c>
      <c r="H19" s="1" t="s">
        <v>31</v>
      </c>
      <c r="I19" s="1" t="s">
        <v>32</v>
      </c>
      <c r="J19" s="1" t="s">
        <v>42</v>
      </c>
      <c r="K19" s="1" t="s">
        <v>86</v>
      </c>
      <c r="L19" s="17">
        <v>55.5</v>
      </c>
      <c r="M19" s="1">
        <v>2</v>
      </c>
      <c r="N19" s="1">
        <v>0</v>
      </c>
      <c r="O19" s="17">
        <v>9.9899999999999949</v>
      </c>
      <c r="P19" s="17">
        <f>('Work File (2)'!$L19*'Work File (2)'!$M19)*(1-'Work File (2)'!$N19)</f>
        <v>111</v>
      </c>
      <c r="Q19" s="1">
        <f>YEAR(Table2[[#This Row],[Order Date]])</f>
        <v>2016</v>
      </c>
      <c r="R19" s="18" t="str">
        <f>TEXT(Table2[[#This Row],[Order Date]],"mmm")</f>
        <v>May</v>
      </c>
      <c r="S19" s="18"/>
    </row>
    <row r="20" spans="1:19" x14ac:dyDescent="0.2">
      <c r="A20" s="1">
        <v>19</v>
      </c>
      <c r="B20" s="1" t="s">
        <v>87</v>
      </c>
      <c r="C20" s="2">
        <v>42609</v>
      </c>
      <c r="D20" s="1" t="s">
        <v>17</v>
      </c>
      <c r="E20" s="1" t="s">
        <v>88</v>
      </c>
      <c r="F20" s="1" t="s">
        <v>89</v>
      </c>
      <c r="G20" s="1" t="s">
        <v>30</v>
      </c>
      <c r="H20" s="1" t="s">
        <v>31</v>
      </c>
      <c r="I20" s="1" t="s">
        <v>32</v>
      </c>
      <c r="J20" s="1" t="s">
        <v>48</v>
      </c>
      <c r="K20" s="1" t="s">
        <v>90</v>
      </c>
      <c r="L20" s="17">
        <v>8.56</v>
      </c>
      <c r="M20" s="1">
        <v>2</v>
      </c>
      <c r="N20" s="1">
        <v>0</v>
      </c>
      <c r="O20" s="17">
        <v>2.4823999999999993</v>
      </c>
      <c r="P20" s="17">
        <f>('Work File (2)'!$L20*'Work File (2)'!$M20)*(1-'Work File (2)'!$N20)</f>
        <v>17.12</v>
      </c>
      <c r="Q20" s="1">
        <f>YEAR(Table2[[#This Row],[Order Date]])</f>
        <v>2016</v>
      </c>
      <c r="R20" s="18" t="str">
        <f>TEXT(Table2[[#This Row],[Order Date]],"mmm")</f>
        <v>Aug</v>
      </c>
      <c r="S20" s="18"/>
    </row>
    <row r="21" spans="1:19" x14ac:dyDescent="0.2">
      <c r="A21" s="1">
        <v>20</v>
      </c>
      <c r="B21" s="1" t="s">
        <v>87</v>
      </c>
      <c r="C21" s="2">
        <v>42609</v>
      </c>
      <c r="D21" s="1" t="s">
        <v>17</v>
      </c>
      <c r="E21" s="1" t="s">
        <v>88</v>
      </c>
      <c r="F21" s="1" t="s">
        <v>89</v>
      </c>
      <c r="G21" s="1" t="s">
        <v>30</v>
      </c>
      <c r="H21" s="1" t="s">
        <v>31</v>
      </c>
      <c r="I21" s="1" t="s">
        <v>50</v>
      </c>
      <c r="J21" s="1" t="s">
        <v>51</v>
      </c>
      <c r="K21" s="1" t="s">
        <v>91</v>
      </c>
      <c r="L21" s="17">
        <v>213.48000000000002</v>
      </c>
      <c r="M21" s="1">
        <v>3</v>
      </c>
      <c r="N21" s="1">
        <v>0.2</v>
      </c>
      <c r="O21" s="17">
        <v>16.010999999999981</v>
      </c>
      <c r="P21" s="17">
        <f>('Work File (2)'!$L21*'Work File (2)'!$M21)*(1-'Work File (2)'!$N21)</f>
        <v>512.35200000000009</v>
      </c>
      <c r="Q21" s="1">
        <f>YEAR(Table2[[#This Row],[Order Date]])</f>
        <v>2016</v>
      </c>
      <c r="R21" s="18" t="str">
        <f>TEXT(Table2[[#This Row],[Order Date]],"mmm")</f>
        <v>Aug</v>
      </c>
      <c r="S21" s="18"/>
    </row>
    <row r="22" spans="1:19" x14ac:dyDescent="0.2">
      <c r="A22" s="1">
        <v>21</v>
      </c>
      <c r="B22" s="1" t="s">
        <v>87</v>
      </c>
      <c r="C22" s="2">
        <v>42609</v>
      </c>
      <c r="D22" s="1" t="s">
        <v>17</v>
      </c>
      <c r="E22" s="1" t="s">
        <v>88</v>
      </c>
      <c r="F22" s="1" t="s">
        <v>89</v>
      </c>
      <c r="G22" s="1" t="s">
        <v>30</v>
      </c>
      <c r="H22" s="1" t="s">
        <v>31</v>
      </c>
      <c r="I22" s="1" t="s">
        <v>32</v>
      </c>
      <c r="J22" s="1" t="s">
        <v>53</v>
      </c>
      <c r="K22" s="1" t="s">
        <v>92</v>
      </c>
      <c r="L22" s="17">
        <v>22.72</v>
      </c>
      <c r="M22" s="1">
        <v>4</v>
      </c>
      <c r="N22" s="1">
        <v>0.2</v>
      </c>
      <c r="O22" s="17">
        <v>7.3839999999999986</v>
      </c>
      <c r="P22" s="17">
        <f>('Work File (2)'!$L22*'Work File (2)'!$M22)*(1-'Work File (2)'!$N22)</f>
        <v>72.703999999999994</v>
      </c>
      <c r="Q22" s="1">
        <f>YEAR(Table2[[#This Row],[Order Date]])</f>
        <v>2016</v>
      </c>
      <c r="R22" s="18" t="str">
        <f>TEXT(Table2[[#This Row],[Order Date]],"mmm")</f>
        <v>Aug</v>
      </c>
      <c r="S22" s="18"/>
    </row>
    <row r="23" spans="1:19" x14ac:dyDescent="0.2">
      <c r="A23" s="1">
        <v>22</v>
      </c>
      <c r="B23" s="1" t="s">
        <v>93</v>
      </c>
      <c r="C23" s="2">
        <v>43443</v>
      </c>
      <c r="D23" s="1" t="s">
        <v>36</v>
      </c>
      <c r="E23" s="1" t="s">
        <v>94</v>
      </c>
      <c r="F23" s="1" t="s">
        <v>95</v>
      </c>
      <c r="G23" s="1" t="s">
        <v>96</v>
      </c>
      <c r="H23" s="1" t="s">
        <v>74</v>
      </c>
      <c r="I23" s="1" t="s">
        <v>32</v>
      </c>
      <c r="J23" s="1" t="s">
        <v>48</v>
      </c>
      <c r="K23" s="1" t="s">
        <v>97</v>
      </c>
      <c r="L23" s="17">
        <v>19.459999999999997</v>
      </c>
      <c r="M23" s="1">
        <v>7</v>
      </c>
      <c r="N23" s="1">
        <v>0</v>
      </c>
      <c r="O23" s="17">
        <v>5.0595999999999997</v>
      </c>
      <c r="P23" s="17">
        <f>('Work File (2)'!$L23*'Work File (2)'!$M23)*(1-'Work File (2)'!$N23)</f>
        <v>136.21999999999997</v>
      </c>
      <c r="Q23" s="1">
        <f>YEAR(Table2[[#This Row],[Order Date]])</f>
        <v>2018</v>
      </c>
      <c r="R23" s="18" t="str">
        <f>TEXT(Table2[[#This Row],[Order Date]],"mmm")</f>
        <v>Dec</v>
      </c>
      <c r="S23" s="18"/>
    </row>
    <row r="24" spans="1:19" x14ac:dyDescent="0.2">
      <c r="A24" s="1">
        <v>23</v>
      </c>
      <c r="B24" s="1" t="s">
        <v>93</v>
      </c>
      <c r="C24" s="2">
        <v>43443</v>
      </c>
      <c r="D24" s="1" t="s">
        <v>36</v>
      </c>
      <c r="E24" s="1" t="s">
        <v>94</v>
      </c>
      <c r="F24" s="1" t="s">
        <v>95</v>
      </c>
      <c r="G24" s="1" t="s">
        <v>96</v>
      </c>
      <c r="H24" s="1" t="s">
        <v>74</v>
      </c>
      <c r="I24" s="1" t="s">
        <v>32</v>
      </c>
      <c r="J24" s="1" t="s">
        <v>55</v>
      </c>
      <c r="K24" s="1" t="s">
        <v>98</v>
      </c>
      <c r="L24" s="17">
        <v>60.339999999999996</v>
      </c>
      <c r="M24" s="1">
        <v>7</v>
      </c>
      <c r="N24" s="1">
        <v>0</v>
      </c>
      <c r="O24" s="17">
        <v>15.688400000000001</v>
      </c>
      <c r="P24" s="17">
        <f>('Work File (2)'!$L24*'Work File (2)'!$M24)*(1-'Work File (2)'!$N24)</f>
        <v>422.38</v>
      </c>
      <c r="Q24" s="1">
        <f>YEAR(Table2[[#This Row],[Order Date]])</f>
        <v>2018</v>
      </c>
      <c r="R24" s="18" t="str">
        <f>TEXT(Table2[[#This Row],[Order Date]],"mmm")</f>
        <v>Dec</v>
      </c>
      <c r="S24" s="18"/>
    </row>
    <row r="25" spans="1:19" x14ac:dyDescent="0.2">
      <c r="A25" s="1">
        <v>24</v>
      </c>
      <c r="B25" s="1" t="s">
        <v>99</v>
      </c>
      <c r="C25" s="2">
        <v>43662</v>
      </c>
      <c r="D25" s="1" t="s">
        <v>17</v>
      </c>
      <c r="E25" s="1" t="s">
        <v>100</v>
      </c>
      <c r="F25" s="1" t="s">
        <v>101</v>
      </c>
      <c r="G25" s="1" t="s">
        <v>102</v>
      </c>
      <c r="H25" s="1" t="s">
        <v>103</v>
      </c>
      <c r="I25" s="1" t="s">
        <v>22</v>
      </c>
      <c r="J25" s="1" t="s">
        <v>25</v>
      </c>
      <c r="K25" s="1" t="s">
        <v>104</v>
      </c>
      <c r="L25" s="17">
        <v>71.371999999999986</v>
      </c>
      <c r="M25" s="1">
        <v>2</v>
      </c>
      <c r="N25" s="1">
        <v>0.3</v>
      </c>
      <c r="O25" s="17">
        <v>-1.0196000000000005</v>
      </c>
      <c r="P25" s="17">
        <f>('Work File (2)'!$L25*'Work File (2)'!$M25)*(1-'Work File (2)'!$N25)</f>
        <v>99.920799999999971</v>
      </c>
      <c r="Q25" s="1">
        <f>YEAR(Table2[[#This Row],[Order Date]])</f>
        <v>2019</v>
      </c>
      <c r="R25" s="18" t="str">
        <f>TEXT(Table2[[#This Row],[Order Date]],"mmm")</f>
        <v>Jul</v>
      </c>
      <c r="S25" s="18"/>
    </row>
    <row r="26" spans="1:19" x14ac:dyDescent="0.2">
      <c r="A26" s="1">
        <v>25</v>
      </c>
      <c r="B26" s="1" t="s">
        <v>105</v>
      </c>
      <c r="C26" s="2">
        <v>43003</v>
      </c>
      <c r="D26" s="1" t="s">
        <v>36</v>
      </c>
      <c r="E26" s="1" t="s">
        <v>106</v>
      </c>
      <c r="F26" s="1" t="s">
        <v>107</v>
      </c>
      <c r="G26" s="1" t="s">
        <v>85</v>
      </c>
      <c r="H26" s="1" t="s">
        <v>31</v>
      </c>
      <c r="I26" s="1" t="s">
        <v>22</v>
      </c>
      <c r="J26" s="1" t="s">
        <v>40</v>
      </c>
      <c r="K26" s="1" t="s">
        <v>41</v>
      </c>
      <c r="L26" s="17">
        <v>1044.6299999999999</v>
      </c>
      <c r="M26" s="1">
        <v>3</v>
      </c>
      <c r="N26" s="1">
        <v>0</v>
      </c>
      <c r="O26" s="17">
        <v>240.26490000000001</v>
      </c>
      <c r="P26" s="17">
        <f>('Work File (2)'!$L26*'Work File (2)'!$M26)*(1-'Work File (2)'!$N26)</f>
        <v>3133.8899999999994</v>
      </c>
      <c r="Q26" s="1">
        <f>YEAR(Table2[[#This Row],[Order Date]])</f>
        <v>2017</v>
      </c>
      <c r="R26" s="18" t="str">
        <f>TEXT(Table2[[#This Row],[Order Date]],"mmm")</f>
        <v>Sep</v>
      </c>
      <c r="S26" s="18"/>
    </row>
    <row r="27" spans="1:19" x14ac:dyDescent="0.2">
      <c r="A27" s="1">
        <v>26</v>
      </c>
      <c r="B27" s="1" t="s">
        <v>108</v>
      </c>
      <c r="C27" s="2">
        <v>43116</v>
      </c>
      <c r="D27" s="1" t="s">
        <v>17</v>
      </c>
      <c r="E27" s="1" t="s">
        <v>109</v>
      </c>
      <c r="F27" s="1" t="s">
        <v>29</v>
      </c>
      <c r="G27" s="1" t="s">
        <v>30</v>
      </c>
      <c r="H27" s="1" t="s">
        <v>31</v>
      </c>
      <c r="I27" s="1" t="s">
        <v>32</v>
      </c>
      <c r="J27" s="1" t="s">
        <v>53</v>
      </c>
      <c r="K27" s="1" t="s">
        <v>110</v>
      </c>
      <c r="L27" s="17">
        <v>11.648000000000001</v>
      </c>
      <c r="M27" s="1">
        <v>2</v>
      </c>
      <c r="N27" s="1">
        <v>0.2</v>
      </c>
      <c r="O27" s="17">
        <v>4.2224000000000004</v>
      </c>
      <c r="P27" s="17">
        <f>('Work File (2)'!$L27*'Work File (2)'!$M27)*(1-'Work File (2)'!$N27)</f>
        <v>18.636800000000004</v>
      </c>
      <c r="Q27" s="1">
        <f>YEAR(Table2[[#This Row],[Order Date]])</f>
        <v>2018</v>
      </c>
      <c r="R27" s="18" t="str">
        <f>TEXT(Table2[[#This Row],[Order Date]],"mmm")</f>
        <v>Jan</v>
      </c>
      <c r="S27" s="18"/>
    </row>
    <row r="28" spans="1:19" x14ac:dyDescent="0.2">
      <c r="A28" s="1">
        <v>27</v>
      </c>
      <c r="B28" s="1" t="s">
        <v>108</v>
      </c>
      <c r="C28" s="2">
        <v>43116</v>
      </c>
      <c r="D28" s="1" t="s">
        <v>17</v>
      </c>
      <c r="E28" s="1" t="s">
        <v>109</v>
      </c>
      <c r="F28" s="1" t="s">
        <v>29</v>
      </c>
      <c r="G28" s="1" t="s">
        <v>30</v>
      </c>
      <c r="H28" s="1" t="s">
        <v>31</v>
      </c>
      <c r="I28" s="1" t="s">
        <v>50</v>
      </c>
      <c r="J28" s="1" t="s">
        <v>111</v>
      </c>
      <c r="K28" s="1" t="s">
        <v>112</v>
      </c>
      <c r="L28" s="17">
        <v>90.570000000000007</v>
      </c>
      <c r="M28" s="1">
        <v>3</v>
      </c>
      <c r="N28" s="1">
        <v>0</v>
      </c>
      <c r="O28" s="17">
        <v>11.774100000000004</v>
      </c>
      <c r="P28" s="17">
        <f>('Work File (2)'!$L28*'Work File (2)'!$M28)*(1-'Work File (2)'!$N28)</f>
        <v>271.71000000000004</v>
      </c>
      <c r="Q28" s="1">
        <f>YEAR(Table2[[#This Row],[Order Date]])</f>
        <v>2018</v>
      </c>
      <c r="R28" s="18" t="str">
        <f>TEXT(Table2[[#This Row],[Order Date]],"mmm")</f>
        <v>Jan</v>
      </c>
      <c r="S28" s="18"/>
    </row>
    <row r="29" spans="1:19" x14ac:dyDescent="0.2">
      <c r="A29" s="1">
        <v>28</v>
      </c>
      <c r="B29" s="1" t="s">
        <v>113</v>
      </c>
      <c r="C29" s="2">
        <v>42995</v>
      </c>
      <c r="D29" s="1" t="s">
        <v>36</v>
      </c>
      <c r="E29" s="1" t="s">
        <v>114</v>
      </c>
      <c r="F29" s="1" t="s">
        <v>101</v>
      </c>
      <c r="G29" s="1" t="s">
        <v>102</v>
      </c>
      <c r="H29" s="1" t="s">
        <v>103</v>
      </c>
      <c r="I29" s="1" t="s">
        <v>22</v>
      </c>
      <c r="J29" s="1" t="s">
        <v>23</v>
      </c>
      <c r="K29" s="1" t="s">
        <v>115</v>
      </c>
      <c r="L29" s="17">
        <v>3083.4300000000003</v>
      </c>
      <c r="M29" s="1">
        <v>7</v>
      </c>
      <c r="N29" s="1">
        <v>0.5</v>
      </c>
      <c r="O29" s="17">
        <v>-1665.0522000000001</v>
      </c>
      <c r="P29" s="17">
        <f>('Work File (2)'!$L29*'Work File (2)'!$M29)*(1-'Work File (2)'!$N29)</f>
        <v>10792.005000000001</v>
      </c>
      <c r="Q29" s="1">
        <f>YEAR(Table2[[#This Row],[Order Date]])</f>
        <v>2017</v>
      </c>
      <c r="R29" s="18" t="str">
        <f>TEXT(Table2[[#This Row],[Order Date]],"mmm")</f>
        <v>Sep</v>
      </c>
      <c r="S29" s="18"/>
    </row>
    <row r="30" spans="1:19" x14ac:dyDescent="0.2">
      <c r="A30" s="1">
        <v>29</v>
      </c>
      <c r="B30" s="1" t="s">
        <v>113</v>
      </c>
      <c r="C30" s="2">
        <v>42995</v>
      </c>
      <c r="D30" s="1" t="s">
        <v>36</v>
      </c>
      <c r="E30" s="1" t="s">
        <v>114</v>
      </c>
      <c r="F30" s="1" t="s">
        <v>101</v>
      </c>
      <c r="G30" s="1" t="s">
        <v>102</v>
      </c>
      <c r="H30" s="1" t="s">
        <v>103</v>
      </c>
      <c r="I30" s="1" t="s">
        <v>32</v>
      </c>
      <c r="J30" s="1" t="s">
        <v>53</v>
      </c>
      <c r="K30" s="1" t="s">
        <v>116</v>
      </c>
      <c r="L30" s="17">
        <v>9.6180000000000021</v>
      </c>
      <c r="M30" s="1">
        <v>2</v>
      </c>
      <c r="N30" s="1">
        <v>0.7</v>
      </c>
      <c r="O30" s="17">
        <v>-7.0532000000000004</v>
      </c>
      <c r="P30" s="17">
        <f>('Work File (2)'!$L30*'Work File (2)'!$M30)*(1-'Work File (2)'!$N30)</f>
        <v>5.7708000000000022</v>
      </c>
      <c r="Q30" s="1">
        <f>YEAR(Table2[[#This Row],[Order Date]])</f>
        <v>2017</v>
      </c>
      <c r="R30" s="18" t="str">
        <f>TEXT(Table2[[#This Row],[Order Date]],"mmm")</f>
        <v>Sep</v>
      </c>
      <c r="S30" s="18"/>
    </row>
    <row r="31" spans="1:19" x14ac:dyDescent="0.2">
      <c r="A31" s="1">
        <v>30</v>
      </c>
      <c r="B31" s="1" t="s">
        <v>113</v>
      </c>
      <c r="C31" s="2">
        <v>42995</v>
      </c>
      <c r="D31" s="1" t="s">
        <v>36</v>
      </c>
      <c r="E31" s="1" t="s">
        <v>114</v>
      </c>
      <c r="F31" s="1" t="s">
        <v>101</v>
      </c>
      <c r="G31" s="1" t="s">
        <v>102</v>
      </c>
      <c r="H31" s="1" t="s">
        <v>103</v>
      </c>
      <c r="I31" s="1" t="s">
        <v>22</v>
      </c>
      <c r="J31" s="1" t="s">
        <v>46</v>
      </c>
      <c r="K31" s="1" t="s">
        <v>117</v>
      </c>
      <c r="L31" s="17">
        <v>124.20000000000002</v>
      </c>
      <c r="M31" s="1">
        <v>3</v>
      </c>
      <c r="N31" s="1">
        <v>0.2</v>
      </c>
      <c r="O31" s="17">
        <v>15.524999999999991</v>
      </c>
      <c r="P31" s="17">
        <f>('Work File (2)'!$L31*'Work File (2)'!$M31)*(1-'Work File (2)'!$N31)</f>
        <v>298.08000000000004</v>
      </c>
      <c r="Q31" s="1">
        <f>YEAR(Table2[[#This Row],[Order Date]])</f>
        <v>2017</v>
      </c>
      <c r="R31" s="18" t="str">
        <f>TEXT(Table2[[#This Row],[Order Date]],"mmm")</f>
        <v>Sep</v>
      </c>
      <c r="S31" s="18"/>
    </row>
    <row r="32" spans="1:19" x14ac:dyDescent="0.2">
      <c r="A32" s="1">
        <v>31</v>
      </c>
      <c r="B32" s="1" t="s">
        <v>113</v>
      </c>
      <c r="C32" s="2">
        <v>42995</v>
      </c>
      <c r="D32" s="1" t="s">
        <v>36</v>
      </c>
      <c r="E32" s="1" t="s">
        <v>114</v>
      </c>
      <c r="F32" s="1" t="s">
        <v>101</v>
      </c>
      <c r="G32" s="1" t="s">
        <v>102</v>
      </c>
      <c r="H32" s="1" t="s">
        <v>103</v>
      </c>
      <c r="I32" s="1" t="s">
        <v>32</v>
      </c>
      <c r="J32" s="1" t="s">
        <v>118</v>
      </c>
      <c r="K32" s="1" t="s">
        <v>119</v>
      </c>
      <c r="L32" s="17">
        <v>3.2640000000000002</v>
      </c>
      <c r="M32" s="1">
        <v>2</v>
      </c>
      <c r="N32" s="1">
        <v>0.2</v>
      </c>
      <c r="O32" s="17">
        <v>1.1015999999999997</v>
      </c>
      <c r="P32" s="17">
        <f>('Work File (2)'!$L32*'Work File (2)'!$M32)*(1-'Work File (2)'!$N32)</f>
        <v>5.2224000000000004</v>
      </c>
      <c r="Q32" s="1">
        <f>YEAR(Table2[[#This Row],[Order Date]])</f>
        <v>2017</v>
      </c>
      <c r="R32" s="18" t="str">
        <f>TEXT(Table2[[#This Row],[Order Date]],"mmm")</f>
        <v>Sep</v>
      </c>
      <c r="S32" s="18"/>
    </row>
    <row r="33" spans="1:19" x14ac:dyDescent="0.2">
      <c r="A33" s="1">
        <v>32</v>
      </c>
      <c r="B33" s="1" t="s">
        <v>113</v>
      </c>
      <c r="C33" s="2">
        <v>42995</v>
      </c>
      <c r="D33" s="1" t="s">
        <v>36</v>
      </c>
      <c r="E33" s="1" t="s">
        <v>114</v>
      </c>
      <c r="F33" s="1" t="s">
        <v>101</v>
      </c>
      <c r="G33" s="1" t="s">
        <v>102</v>
      </c>
      <c r="H33" s="1" t="s">
        <v>103</v>
      </c>
      <c r="I33" s="1" t="s">
        <v>32</v>
      </c>
      <c r="J33" s="1" t="s">
        <v>48</v>
      </c>
      <c r="K33" s="1" t="s">
        <v>120</v>
      </c>
      <c r="L33" s="17">
        <v>86.304000000000002</v>
      </c>
      <c r="M33" s="1">
        <v>6</v>
      </c>
      <c r="N33" s="1">
        <v>0.2</v>
      </c>
      <c r="O33" s="17">
        <v>9.7091999999999885</v>
      </c>
      <c r="P33" s="17">
        <f>('Work File (2)'!$L33*'Work File (2)'!$M33)*(1-'Work File (2)'!$N33)</f>
        <v>414.25920000000008</v>
      </c>
      <c r="Q33" s="1">
        <f>YEAR(Table2[[#This Row],[Order Date]])</f>
        <v>2017</v>
      </c>
      <c r="R33" s="18" t="str">
        <f>TEXT(Table2[[#This Row],[Order Date]],"mmm")</f>
        <v>Sep</v>
      </c>
      <c r="S33" s="18"/>
    </row>
    <row r="34" spans="1:19" x14ac:dyDescent="0.2">
      <c r="A34" s="1">
        <v>33</v>
      </c>
      <c r="B34" s="1" t="s">
        <v>113</v>
      </c>
      <c r="C34" s="2">
        <v>42995</v>
      </c>
      <c r="D34" s="1" t="s">
        <v>36</v>
      </c>
      <c r="E34" s="1" t="s">
        <v>114</v>
      </c>
      <c r="F34" s="1" t="s">
        <v>101</v>
      </c>
      <c r="G34" s="1" t="s">
        <v>102</v>
      </c>
      <c r="H34" s="1" t="s">
        <v>103</v>
      </c>
      <c r="I34" s="1" t="s">
        <v>32</v>
      </c>
      <c r="J34" s="1" t="s">
        <v>53</v>
      </c>
      <c r="K34" s="1" t="s">
        <v>121</v>
      </c>
      <c r="L34" s="17">
        <v>6.8580000000000014</v>
      </c>
      <c r="M34" s="1">
        <v>6</v>
      </c>
      <c r="N34" s="1">
        <v>0.7</v>
      </c>
      <c r="O34" s="17">
        <v>-5.7149999999999999</v>
      </c>
      <c r="P34" s="17">
        <f>('Work File (2)'!$L34*'Work File (2)'!$M34)*(1-'Work File (2)'!$N34)</f>
        <v>12.344400000000006</v>
      </c>
      <c r="Q34" s="1">
        <f>YEAR(Table2[[#This Row],[Order Date]])</f>
        <v>2017</v>
      </c>
      <c r="R34" s="18" t="str">
        <f>TEXT(Table2[[#This Row],[Order Date]],"mmm")</f>
        <v>Sep</v>
      </c>
      <c r="S34" s="18"/>
    </row>
    <row r="35" spans="1:19" x14ac:dyDescent="0.2">
      <c r="A35" s="1">
        <v>34</v>
      </c>
      <c r="B35" s="1" t="s">
        <v>113</v>
      </c>
      <c r="C35" s="2">
        <v>42995</v>
      </c>
      <c r="D35" s="1" t="s">
        <v>36</v>
      </c>
      <c r="E35" s="1" t="s">
        <v>114</v>
      </c>
      <c r="F35" s="1" t="s">
        <v>101</v>
      </c>
      <c r="G35" s="1" t="s">
        <v>102</v>
      </c>
      <c r="H35" s="1" t="s">
        <v>103</v>
      </c>
      <c r="I35" s="1" t="s">
        <v>32</v>
      </c>
      <c r="J35" s="1" t="s">
        <v>48</v>
      </c>
      <c r="K35" s="1" t="s">
        <v>122</v>
      </c>
      <c r="L35" s="17">
        <v>15.76</v>
      </c>
      <c r="M35" s="1">
        <v>2</v>
      </c>
      <c r="N35" s="1">
        <v>0.2</v>
      </c>
      <c r="O35" s="17">
        <v>3.5460000000000007</v>
      </c>
      <c r="P35" s="17">
        <f>('Work File (2)'!$L35*'Work File (2)'!$M35)*(1-'Work File (2)'!$N35)</f>
        <v>25.216000000000001</v>
      </c>
      <c r="Q35" s="1">
        <f>YEAR(Table2[[#This Row],[Order Date]])</f>
        <v>2017</v>
      </c>
      <c r="R35" s="18" t="str">
        <f>TEXT(Table2[[#This Row],[Order Date]],"mmm")</f>
        <v>Sep</v>
      </c>
      <c r="S35" s="18"/>
    </row>
    <row r="36" spans="1:19" x14ac:dyDescent="0.2">
      <c r="A36" s="1">
        <v>35</v>
      </c>
      <c r="B36" s="1" t="s">
        <v>123</v>
      </c>
      <c r="C36" s="2">
        <v>43757</v>
      </c>
      <c r="D36" s="1" t="s">
        <v>17</v>
      </c>
      <c r="E36" s="1" t="s">
        <v>124</v>
      </c>
      <c r="F36" s="1" t="s">
        <v>125</v>
      </c>
      <c r="G36" s="1" t="s">
        <v>73</v>
      </c>
      <c r="H36" s="1" t="s">
        <v>74</v>
      </c>
      <c r="I36" s="1" t="s">
        <v>32</v>
      </c>
      <c r="J36" s="1" t="s">
        <v>63</v>
      </c>
      <c r="K36" s="1" t="s">
        <v>126</v>
      </c>
      <c r="L36" s="17">
        <v>29.472000000000001</v>
      </c>
      <c r="M36" s="1">
        <v>3</v>
      </c>
      <c r="N36" s="1">
        <v>0.2</v>
      </c>
      <c r="O36" s="17">
        <v>9.9467999999999979</v>
      </c>
      <c r="P36" s="17">
        <f>('Work File (2)'!$L36*'Work File (2)'!$M36)*(1-'Work File (2)'!$N36)</f>
        <v>70.732799999999997</v>
      </c>
      <c r="Q36" s="1">
        <f>YEAR(Table2[[#This Row],[Order Date]])</f>
        <v>2019</v>
      </c>
      <c r="R36" s="18" t="str">
        <f>TEXT(Table2[[#This Row],[Order Date]],"mmm")</f>
        <v>Oct</v>
      </c>
      <c r="S36" s="18"/>
    </row>
    <row r="37" spans="1:19" x14ac:dyDescent="0.2">
      <c r="A37" s="1">
        <v>36</v>
      </c>
      <c r="B37" s="1" t="s">
        <v>127</v>
      </c>
      <c r="C37" s="2">
        <v>43442</v>
      </c>
      <c r="D37" s="1" t="s">
        <v>128</v>
      </c>
      <c r="E37" s="1" t="s">
        <v>129</v>
      </c>
      <c r="F37" s="1" t="s">
        <v>130</v>
      </c>
      <c r="G37" s="1" t="s">
        <v>73</v>
      </c>
      <c r="H37" s="1" t="s">
        <v>74</v>
      </c>
      <c r="I37" s="1" t="s">
        <v>50</v>
      </c>
      <c r="J37" s="1" t="s">
        <v>51</v>
      </c>
      <c r="K37" s="1" t="s">
        <v>131</v>
      </c>
      <c r="L37" s="17">
        <v>1097.5440000000003</v>
      </c>
      <c r="M37" s="1">
        <v>7</v>
      </c>
      <c r="N37" s="1">
        <v>0.2</v>
      </c>
      <c r="O37" s="17">
        <v>123.47369999999989</v>
      </c>
      <c r="P37" s="17">
        <f>('Work File (2)'!$L37*'Work File (2)'!$M37)*(1-'Work File (2)'!$N37)</f>
        <v>6146.2464000000027</v>
      </c>
      <c r="Q37" s="1">
        <f>YEAR(Table2[[#This Row],[Order Date]])</f>
        <v>2018</v>
      </c>
      <c r="R37" s="18" t="str">
        <f>TEXT(Table2[[#This Row],[Order Date]],"mmm")</f>
        <v>Dec</v>
      </c>
      <c r="S37" s="18"/>
    </row>
    <row r="38" spans="1:19" x14ac:dyDescent="0.2">
      <c r="A38" s="1">
        <v>37</v>
      </c>
      <c r="B38" s="1" t="s">
        <v>127</v>
      </c>
      <c r="C38" s="2">
        <v>43442</v>
      </c>
      <c r="D38" s="1" t="s">
        <v>128</v>
      </c>
      <c r="E38" s="1" t="s">
        <v>129</v>
      </c>
      <c r="F38" s="1" t="s">
        <v>130</v>
      </c>
      <c r="G38" s="1" t="s">
        <v>73</v>
      </c>
      <c r="H38" s="1" t="s">
        <v>74</v>
      </c>
      <c r="I38" s="1" t="s">
        <v>22</v>
      </c>
      <c r="J38" s="1" t="s">
        <v>46</v>
      </c>
      <c r="K38" s="1" t="s">
        <v>132</v>
      </c>
      <c r="L38" s="17">
        <v>190.92</v>
      </c>
      <c r="M38" s="1">
        <v>5</v>
      </c>
      <c r="N38" s="1">
        <v>0.6</v>
      </c>
      <c r="O38" s="17">
        <v>-147.96300000000002</v>
      </c>
      <c r="P38" s="17">
        <f>('Work File (2)'!$L38*'Work File (2)'!$M38)*(1-'Work File (2)'!$N38)</f>
        <v>381.84</v>
      </c>
      <c r="Q38" s="1">
        <f>YEAR(Table2[[#This Row],[Order Date]])</f>
        <v>2018</v>
      </c>
      <c r="R38" s="18" t="str">
        <f>TEXT(Table2[[#This Row],[Order Date]],"mmm")</f>
        <v>Dec</v>
      </c>
      <c r="S38" s="18"/>
    </row>
    <row r="39" spans="1:19" x14ac:dyDescent="0.2">
      <c r="A39" s="1">
        <v>38</v>
      </c>
      <c r="B39" s="1" t="s">
        <v>133</v>
      </c>
      <c r="C39" s="2">
        <v>43096</v>
      </c>
      <c r="D39" s="1" t="s">
        <v>36</v>
      </c>
      <c r="E39" s="1" t="s">
        <v>134</v>
      </c>
      <c r="F39" s="1" t="s">
        <v>125</v>
      </c>
      <c r="G39" s="1" t="s">
        <v>73</v>
      </c>
      <c r="H39" s="1" t="s">
        <v>74</v>
      </c>
      <c r="I39" s="1" t="s">
        <v>32</v>
      </c>
      <c r="J39" s="1" t="s">
        <v>118</v>
      </c>
      <c r="K39" s="1" t="s">
        <v>135</v>
      </c>
      <c r="L39" s="17">
        <v>113.328</v>
      </c>
      <c r="M39" s="1">
        <v>9</v>
      </c>
      <c r="N39" s="1">
        <v>0.2</v>
      </c>
      <c r="O39" s="17">
        <v>35.414999999999999</v>
      </c>
      <c r="P39" s="17">
        <f>('Work File (2)'!$L39*'Work File (2)'!$M39)*(1-'Work File (2)'!$N39)</f>
        <v>815.96160000000009</v>
      </c>
      <c r="Q39" s="1">
        <f>YEAR(Table2[[#This Row],[Order Date]])</f>
        <v>2017</v>
      </c>
      <c r="R39" s="18" t="str">
        <f>TEXT(Table2[[#This Row],[Order Date]],"mmm")</f>
        <v>Dec</v>
      </c>
      <c r="S39" s="18"/>
    </row>
    <row r="40" spans="1:19" x14ac:dyDescent="0.2">
      <c r="A40" s="1">
        <v>39</v>
      </c>
      <c r="B40" s="1" t="s">
        <v>133</v>
      </c>
      <c r="C40" s="2">
        <v>43096</v>
      </c>
      <c r="D40" s="1" t="s">
        <v>36</v>
      </c>
      <c r="E40" s="1" t="s">
        <v>134</v>
      </c>
      <c r="F40" s="1" t="s">
        <v>125</v>
      </c>
      <c r="G40" s="1" t="s">
        <v>73</v>
      </c>
      <c r="H40" s="1" t="s">
        <v>74</v>
      </c>
      <c r="I40" s="1" t="s">
        <v>22</v>
      </c>
      <c r="J40" s="1" t="s">
        <v>23</v>
      </c>
      <c r="K40" s="1" t="s">
        <v>136</v>
      </c>
      <c r="L40" s="17">
        <v>532.39919999999995</v>
      </c>
      <c r="M40" s="1">
        <v>3</v>
      </c>
      <c r="N40" s="1">
        <v>0.32</v>
      </c>
      <c r="O40" s="17">
        <v>-46.976400000000012</v>
      </c>
      <c r="P40" s="17">
        <f>('Work File (2)'!$L40*'Work File (2)'!$M40)*(1-'Work File (2)'!$N40)</f>
        <v>1086.0943679999998</v>
      </c>
      <c r="Q40" s="1">
        <f>YEAR(Table2[[#This Row],[Order Date]])</f>
        <v>2017</v>
      </c>
      <c r="R40" s="18" t="str">
        <f>TEXT(Table2[[#This Row],[Order Date]],"mmm")</f>
        <v>Dec</v>
      </c>
      <c r="S40" s="18"/>
    </row>
    <row r="41" spans="1:19" x14ac:dyDescent="0.2">
      <c r="A41" s="1">
        <v>40</v>
      </c>
      <c r="B41" s="1" t="s">
        <v>133</v>
      </c>
      <c r="C41" s="2">
        <v>43096</v>
      </c>
      <c r="D41" s="1" t="s">
        <v>36</v>
      </c>
      <c r="E41" s="1" t="s">
        <v>134</v>
      </c>
      <c r="F41" s="1" t="s">
        <v>125</v>
      </c>
      <c r="G41" s="1" t="s">
        <v>73</v>
      </c>
      <c r="H41" s="1" t="s">
        <v>74</v>
      </c>
      <c r="I41" s="1" t="s">
        <v>22</v>
      </c>
      <c r="J41" s="1" t="s">
        <v>25</v>
      </c>
      <c r="K41" s="1" t="s">
        <v>137</v>
      </c>
      <c r="L41" s="17">
        <v>212.05799999999999</v>
      </c>
      <c r="M41" s="1">
        <v>3</v>
      </c>
      <c r="N41" s="1">
        <v>0.3</v>
      </c>
      <c r="O41" s="17">
        <v>-15.146999999999991</v>
      </c>
      <c r="P41" s="17">
        <f>('Work File (2)'!$L41*'Work File (2)'!$M41)*(1-'Work File (2)'!$N41)</f>
        <v>445.32179999999994</v>
      </c>
      <c r="Q41" s="1">
        <f>YEAR(Table2[[#This Row],[Order Date]])</f>
        <v>2017</v>
      </c>
      <c r="R41" s="18" t="str">
        <f>TEXT(Table2[[#This Row],[Order Date]],"mmm")</f>
        <v>Dec</v>
      </c>
      <c r="S41" s="18"/>
    </row>
    <row r="42" spans="1:19" x14ac:dyDescent="0.2">
      <c r="A42" s="1">
        <v>41</v>
      </c>
      <c r="B42" s="1" t="s">
        <v>133</v>
      </c>
      <c r="C42" s="2">
        <v>43096</v>
      </c>
      <c r="D42" s="1" t="s">
        <v>36</v>
      </c>
      <c r="E42" s="1" t="s">
        <v>134</v>
      </c>
      <c r="F42" s="1" t="s">
        <v>125</v>
      </c>
      <c r="G42" s="1" t="s">
        <v>73</v>
      </c>
      <c r="H42" s="1" t="s">
        <v>74</v>
      </c>
      <c r="I42" s="1" t="s">
        <v>50</v>
      </c>
      <c r="J42" s="1" t="s">
        <v>51</v>
      </c>
      <c r="K42" s="1" t="s">
        <v>138</v>
      </c>
      <c r="L42" s="17">
        <v>371.16800000000001</v>
      </c>
      <c r="M42" s="1">
        <v>4</v>
      </c>
      <c r="N42" s="1">
        <v>0.2</v>
      </c>
      <c r="O42" s="17">
        <v>41.756399999999957</v>
      </c>
      <c r="P42" s="17">
        <f>('Work File (2)'!$L42*'Work File (2)'!$M42)*(1-'Work File (2)'!$N42)</f>
        <v>1187.7376000000002</v>
      </c>
      <c r="Q42" s="1">
        <f>YEAR(Table2[[#This Row],[Order Date]])</f>
        <v>2017</v>
      </c>
      <c r="R42" s="18" t="str">
        <f>TEXT(Table2[[#This Row],[Order Date]],"mmm")</f>
        <v>Dec</v>
      </c>
      <c r="S42" s="18"/>
    </row>
    <row r="43" spans="1:19" x14ac:dyDescent="0.2">
      <c r="A43" s="1">
        <v>42</v>
      </c>
      <c r="B43" s="1" t="s">
        <v>139</v>
      </c>
      <c r="C43" s="2">
        <v>43718</v>
      </c>
      <c r="D43" s="1" t="s">
        <v>36</v>
      </c>
      <c r="E43" s="1" t="s">
        <v>140</v>
      </c>
      <c r="F43" s="1" t="s">
        <v>141</v>
      </c>
      <c r="G43" s="1" t="s">
        <v>142</v>
      </c>
      <c r="H43" s="1" t="s">
        <v>74</v>
      </c>
      <c r="I43" s="1" t="s">
        <v>50</v>
      </c>
      <c r="J43" s="1" t="s">
        <v>51</v>
      </c>
      <c r="K43" s="1" t="s">
        <v>143</v>
      </c>
      <c r="L43" s="17">
        <v>147.16800000000001</v>
      </c>
      <c r="M43" s="1">
        <v>4</v>
      </c>
      <c r="N43" s="1">
        <v>0.2</v>
      </c>
      <c r="O43" s="17">
        <v>16.556399999999996</v>
      </c>
      <c r="P43" s="17">
        <f>('Work File (2)'!$L43*'Work File (2)'!$M43)*(1-'Work File (2)'!$N43)</f>
        <v>470.93760000000003</v>
      </c>
      <c r="Q43" s="1">
        <f>YEAR(Table2[[#This Row],[Order Date]])</f>
        <v>2019</v>
      </c>
      <c r="R43" s="18" t="str">
        <f>TEXT(Table2[[#This Row],[Order Date]],"mmm")</f>
        <v>Sep</v>
      </c>
      <c r="S43" s="18"/>
    </row>
    <row r="44" spans="1:19" x14ac:dyDescent="0.2">
      <c r="A44" s="1">
        <v>43</v>
      </c>
      <c r="B44" s="1" t="s">
        <v>144</v>
      </c>
      <c r="C44" s="2">
        <v>43298</v>
      </c>
      <c r="D44" s="1" t="s">
        <v>36</v>
      </c>
      <c r="E44" s="1" t="s">
        <v>145</v>
      </c>
      <c r="F44" s="1" t="s">
        <v>29</v>
      </c>
      <c r="G44" s="1" t="s">
        <v>30</v>
      </c>
      <c r="H44" s="1" t="s">
        <v>31</v>
      </c>
      <c r="I44" s="1" t="s">
        <v>32</v>
      </c>
      <c r="J44" s="1" t="s">
        <v>42</v>
      </c>
      <c r="K44" s="1" t="s">
        <v>146</v>
      </c>
      <c r="L44" s="17">
        <v>77.88</v>
      </c>
      <c r="M44" s="1">
        <v>2</v>
      </c>
      <c r="N44" s="1">
        <v>0</v>
      </c>
      <c r="O44" s="17">
        <v>3.8939999999999912</v>
      </c>
      <c r="P44" s="17">
        <f>('Work File (2)'!$L44*'Work File (2)'!$M44)*(1-'Work File (2)'!$N44)</f>
        <v>155.76</v>
      </c>
      <c r="Q44" s="1">
        <f>YEAR(Table2[[#This Row],[Order Date]])</f>
        <v>2018</v>
      </c>
      <c r="R44" s="18" t="str">
        <f>TEXT(Table2[[#This Row],[Order Date]],"mmm")</f>
        <v>Jul</v>
      </c>
      <c r="S44" s="18"/>
    </row>
    <row r="45" spans="1:19" x14ac:dyDescent="0.2">
      <c r="A45" s="1">
        <v>44</v>
      </c>
      <c r="B45" s="1" t="s">
        <v>147</v>
      </c>
      <c r="C45" s="2">
        <v>43727</v>
      </c>
      <c r="D45" s="1" t="s">
        <v>36</v>
      </c>
      <c r="E45" s="1" t="s">
        <v>148</v>
      </c>
      <c r="F45" s="1" t="s">
        <v>149</v>
      </c>
      <c r="G45" s="1" t="s">
        <v>39</v>
      </c>
      <c r="H45" s="1" t="s">
        <v>21</v>
      </c>
      <c r="I45" s="1" t="s">
        <v>32</v>
      </c>
      <c r="J45" s="1" t="s">
        <v>42</v>
      </c>
      <c r="K45" s="1" t="s">
        <v>150</v>
      </c>
      <c r="L45" s="17">
        <v>95.616</v>
      </c>
      <c r="M45" s="1">
        <v>2</v>
      </c>
      <c r="N45" s="1">
        <v>0.2</v>
      </c>
      <c r="O45" s="17">
        <v>9.5616000000000092</v>
      </c>
      <c r="P45" s="17">
        <f>('Work File (2)'!$L45*'Work File (2)'!$M45)*(1-'Work File (2)'!$N45)</f>
        <v>152.98560000000001</v>
      </c>
      <c r="Q45" s="1">
        <f>YEAR(Table2[[#This Row],[Order Date]])</f>
        <v>2019</v>
      </c>
      <c r="R45" s="18" t="str">
        <f>TEXT(Table2[[#This Row],[Order Date]],"mmm")</f>
        <v>Sep</v>
      </c>
      <c r="S45" s="18"/>
    </row>
    <row r="46" spans="1:19" x14ac:dyDescent="0.2">
      <c r="A46" s="1">
        <v>45</v>
      </c>
      <c r="B46" s="1" t="s">
        <v>151</v>
      </c>
      <c r="C46" s="2">
        <v>43170</v>
      </c>
      <c r="D46" s="1" t="s">
        <v>128</v>
      </c>
      <c r="E46" s="1" t="s">
        <v>152</v>
      </c>
      <c r="F46" s="1" t="s">
        <v>153</v>
      </c>
      <c r="G46" s="1" t="s">
        <v>154</v>
      </c>
      <c r="H46" s="1" t="s">
        <v>74</v>
      </c>
      <c r="I46" s="1" t="s">
        <v>50</v>
      </c>
      <c r="J46" s="1" t="s">
        <v>111</v>
      </c>
      <c r="K46" s="1" t="s">
        <v>155</v>
      </c>
      <c r="L46" s="17">
        <v>45.98</v>
      </c>
      <c r="M46" s="1">
        <v>2</v>
      </c>
      <c r="N46" s="1">
        <v>0</v>
      </c>
      <c r="O46" s="17">
        <v>19.7714</v>
      </c>
      <c r="P46" s="17">
        <f>('Work File (2)'!$L46*'Work File (2)'!$M46)*(1-'Work File (2)'!$N46)</f>
        <v>91.96</v>
      </c>
      <c r="Q46" s="1">
        <f>YEAR(Table2[[#This Row],[Order Date]])</f>
        <v>2018</v>
      </c>
      <c r="R46" s="18" t="str">
        <f>TEXT(Table2[[#This Row],[Order Date]],"mmm")</f>
        <v>Mar</v>
      </c>
      <c r="S46" s="18"/>
    </row>
    <row r="47" spans="1:19" x14ac:dyDescent="0.2">
      <c r="A47" s="1">
        <v>46</v>
      </c>
      <c r="B47" s="1" t="s">
        <v>151</v>
      </c>
      <c r="C47" s="2">
        <v>43170</v>
      </c>
      <c r="D47" s="1" t="s">
        <v>128</v>
      </c>
      <c r="E47" s="1" t="s">
        <v>152</v>
      </c>
      <c r="F47" s="1" t="s">
        <v>153</v>
      </c>
      <c r="G47" s="1" t="s">
        <v>154</v>
      </c>
      <c r="H47" s="1" t="s">
        <v>74</v>
      </c>
      <c r="I47" s="1" t="s">
        <v>32</v>
      </c>
      <c r="J47" s="1" t="s">
        <v>53</v>
      </c>
      <c r="K47" s="1" t="s">
        <v>156</v>
      </c>
      <c r="L47" s="17">
        <v>17.46</v>
      </c>
      <c r="M47" s="1">
        <v>2</v>
      </c>
      <c r="N47" s="1">
        <v>0</v>
      </c>
      <c r="O47" s="17">
        <v>8.2061999999999991</v>
      </c>
      <c r="P47" s="17">
        <f>('Work File (2)'!$L47*'Work File (2)'!$M47)*(1-'Work File (2)'!$N47)</f>
        <v>34.92</v>
      </c>
      <c r="Q47" s="1">
        <f>YEAR(Table2[[#This Row],[Order Date]])</f>
        <v>2018</v>
      </c>
      <c r="R47" s="18" t="str">
        <f>TEXT(Table2[[#This Row],[Order Date]],"mmm")</f>
        <v>Mar</v>
      </c>
      <c r="S47" s="18"/>
    </row>
    <row r="48" spans="1:19" x14ac:dyDescent="0.2">
      <c r="A48" s="1">
        <v>47</v>
      </c>
      <c r="B48" s="1" t="s">
        <v>157</v>
      </c>
      <c r="C48" s="2">
        <v>42663</v>
      </c>
      <c r="D48" s="1" t="s">
        <v>17</v>
      </c>
      <c r="E48" s="1" t="s">
        <v>158</v>
      </c>
      <c r="F48" s="1" t="s">
        <v>159</v>
      </c>
      <c r="G48" s="1" t="s">
        <v>160</v>
      </c>
      <c r="H48" s="1" t="s">
        <v>74</v>
      </c>
      <c r="I48" s="1" t="s">
        <v>32</v>
      </c>
      <c r="J48" s="1" t="s">
        <v>42</v>
      </c>
      <c r="K48" s="1" t="s">
        <v>161</v>
      </c>
      <c r="L48" s="17">
        <v>211.96</v>
      </c>
      <c r="M48" s="1">
        <v>4</v>
      </c>
      <c r="N48" s="1">
        <v>0</v>
      </c>
      <c r="O48" s="17">
        <v>8.4783999999999935</v>
      </c>
      <c r="P48" s="17">
        <f>('Work File (2)'!$L48*'Work File (2)'!$M48)*(1-'Work File (2)'!$N48)</f>
        <v>847.84</v>
      </c>
      <c r="Q48" s="1">
        <f>YEAR(Table2[[#This Row],[Order Date]])</f>
        <v>2016</v>
      </c>
      <c r="R48" s="18" t="str">
        <f>TEXT(Table2[[#This Row],[Order Date]],"mmm")</f>
        <v>Oct</v>
      </c>
      <c r="S48" s="18"/>
    </row>
    <row r="49" spans="1:19" x14ac:dyDescent="0.2">
      <c r="A49" s="1">
        <v>48</v>
      </c>
      <c r="B49" s="1" t="s">
        <v>162</v>
      </c>
      <c r="C49" s="2">
        <v>43271</v>
      </c>
      <c r="D49" s="1" t="s">
        <v>36</v>
      </c>
      <c r="E49" s="1" t="s">
        <v>163</v>
      </c>
      <c r="F49" s="1" t="s">
        <v>164</v>
      </c>
      <c r="G49" s="1" t="s">
        <v>165</v>
      </c>
      <c r="H49" s="1" t="s">
        <v>103</v>
      </c>
      <c r="I49" s="1" t="s">
        <v>50</v>
      </c>
      <c r="J49" s="1" t="s">
        <v>111</v>
      </c>
      <c r="K49" s="1" t="s">
        <v>166</v>
      </c>
      <c r="L49" s="17">
        <v>45</v>
      </c>
      <c r="M49" s="1">
        <v>3</v>
      </c>
      <c r="N49" s="1">
        <v>0</v>
      </c>
      <c r="O49" s="17">
        <v>4.9500000000000011</v>
      </c>
      <c r="P49" s="17">
        <f>('Work File (2)'!$L49*'Work File (2)'!$M49)*(1-'Work File (2)'!$N49)</f>
        <v>135</v>
      </c>
      <c r="Q49" s="1">
        <f>YEAR(Table2[[#This Row],[Order Date]])</f>
        <v>2018</v>
      </c>
      <c r="R49" s="18" t="str">
        <f>TEXT(Table2[[#This Row],[Order Date]],"mmm")</f>
        <v>Jun</v>
      </c>
      <c r="S49" s="18"/>
    </row>
    <row r="50" spans="1:19" x14ac:dyDescent="0.2">
      <c r="A50" s="1">
        <v>49</v>
      </c>
      <c r="B50" s="1" t="s">
        <v>162</v>
      </c>
      <c r="C50" s="2">
        <v>43271</v>
      </c>
      <c r="D50" s="1" t="s">
        <v>36</v>
      </c>
      <c r="E50" s="1" t="s">
        <v>163</v>
      </c>
      <c r="F50" s="1" t="s">
        <v>164</v>
      </c>
      <c r="G50" s="1" t="s">
        <v>165</v>
      </c>
      <c r="H50" s="1" t="s">
        <v>103</v>
      </c>
      <c r="I50" s="1" t="s">
        <v>50</v>
      </c>
      <c r="J50" s="1" t="s">
        <v>51</v>
      </c>
      <c r="K50" s="1" t="s">
        <v>167</v>
      </c>
      <c r="L50" s="17">
        <v>21.8</v>
      </c>
      <c r="M50" s="1">
        <v>2</v>
      </c>
      <c r="N50" s="1">
        <v>0</v>
      </c>
      <c r="O50" s="17">
        <v>6.104000000000001</v>
      </c>
      <c r="P50" s="17">
        <f>('Work File (2)'!$L50*'Work File (2)'!$M50)*(1-'Work File (2)'!$N50)</f>
        <v>43.6</v>
      </c>
      <c r="Q50" s="1">
        <f>YEAR(Table2[[#This Row],[Order Date]])</f>
        <v>2018</v>
      </c>
      <c r="R50" s="18" t="str">
        <f>TEXT(Table2[[#This Row],[Order Date]],"mmm")</f>
        <v>Jun</v>
      </c>
      <c r="S50" s="18"/>
    </row>
    <row r="51" spans="1:19" x14ac:dyDescent="0.2">
      <c r="A51" s="1">
        <v>50</v>
      </c>
      <c r="B51" s="1" t="s">
        <v>168</v>
      </c>
      <c r="C51" s="2">
        <v>42843</v>
      </c>
      <c r="D51" s="1" t="s">
        <v>36</v>
      </c>
      <c r="E51" s="1" t="s">
        <v>169</v>
      </c>
      <c r="F51" s="1" t="s">
        <v>170</v>
      </c>
      <c r="G51" s="1" t="s">
        <v>171</v>
      </c>
      <c r="H51" s="1" t="s">
        <v>74</v>
      </c>
      <c r="I51" s="1" t="s">
        <v>32</v>
      </c>
      <c r="J51" s="1" t="s">
        <v>53</v>
      </c>
      <c r="K51" s="1" t="s">
        <v>172</v>
      </c>
      <c r="L51" s="17">
        <v>38.22</v>
      </c>
      <c r="M51" s="1">
        <v>6</v>
      </c>
      <c r="N51" s="1">
        <v>0</v>
      </c>
      <c r="O51" s="17">
        <v>17.9634</v>
      </c>
      <c r="P51" s="17">
        <f>('Work File (2)'!$L51*'Work File (2)'!$M51)*(1-'Work File (2)'!$N51)</f>
        <v>229.32</v>
      </c>
      <c r="Q51" s="1">
        <f>YEAR(Table2[[#This Row],[Order Date]])</f>
        <v>2017</v>
      </c>
      <c r="R51" s="18" t="str">
        <f>TEXT(Table2[[#This Row],[Order Date]],"mmm")</f>
        <v>Apr</v>
      </c>
      <c r="S51" s="18"/>
    </row>
    <row r="52" spans="1:19" x14ac:dyDescent="0.2">
      <c r="A52" s="1">
        <v>51</v>
      </c>
      <c r="B52" s="1" t="s">
        <v>168</v>
      </c>
      <c r="C52" s="2">
        <v>42843</v>
      </c>
      <c r="D52" s="1" t="s">
        <v>36</v>
      </c>
      <c r="E52" s="1" t="s">
        <v>169</v>
      </c>
      <c r="F52" s="1" t="s">
        <v>170</v>
      </c>
      <c r="G52" s="1" t="s">
        <v>171</v>
      </c>
      <c r="H52" s="1" t="s">
        <v>74</v>
      </c>
      <c r="I52" s="1" t="s">
        <v>32</v>
      </c>
      <c r="J52" s="1" t="s">
        <v>33</v>
      </c>
      <c r="K52" s="1" t="s">
        <v>173</v>
      </c>
      <c r="L52" s="17">
        <v>75.179999999999993</v>
      </c>
      <c r="M52" s="1">
        <v>6</v>
      </c>
      <c r="N52" s="1">
        <v>0</v>
      </c>
      <c r="O52" s="17">
        <v>35.334599999999995</v>
      </c>
      <c r="P52" s="17">
        <f>('Work File (2)'!$L52*'Work File (2)'!$M52)*(1-'Work File (2)'!$N52)</f>
        <v>451.07999999999993</v>
      </c>
      <c r="Q52" s="1">
        <f>YEAR(Table2[[#This Row],[Order Date]])</f>
        <v>2017</v>
      </c>
      <c r="R52" s="18" t="str">
        <f>TEXT(Table2[[#This Row],[Order Date]],"mmm")</f>
        <v>Apr</v>
      </c>
      <c r="S52" s="18"/>
    </row>
    <row r="53" spans="1:19" x14ac:dyDescent="0.2">
      <c r="A53" s="1">
        <v>52</v>
      </c>
      <c r="B53" s="1" t="s">
        <v>168</v>
      </c>
      <c r="C53" s="2">
        <v>42843</v>
      </c>
      <c r="D53" s="1" t="s">
        <v>36</v>
      </c>
      <c r="E53" s="1" t="s">
        <v>169</v>
      </c>
      <c r="F53" s="1" t="s">
        <v>170</v>
      </c>
      <c r="G53" s="1" t="s">
        <v>171</v>
      </c>
      <c r="H53" s="1" t="s">
        <v>74</v>
      </c>
      <c r="I53" s="1" t="s">
        <v>22</v>
      </c>
      <c r="J53" s="1" t="s">
        <v>46</v>
      </c>
      <c r="K53" s="1" t="s">
        <v>174</v>
      </c>
      <c r="L53" s="17">
        <v>6.16</v>
      </c>
      <c r="M53" s="1">
        <v>2</v>
      </c>
      <c r="N53" s="1">
        <v>0</v>
      </c>
      <c r="O53" s="17">
        <v>2.9567999999999999</v>
      </c>
      <c r="P53" s="17">
        <f>('Work File (2)'!$L53*'Work File (2)'!$M53)*(1-'Work File (2)'!$N53)</f>
        <v>12.32</v>
      </c>
      <c r="Q53" s="1">
        <f>YEAR(Table2[[#This Row],[Order Date]])</f>
        <v>2017</v>
      </c>
      <c r="R53" s="18" t="str">
        <f>TEXT(Table2[[#This Row],[Order Date]],"mmm")</f>
        <v>Apr</v>
      </c>
      <c r="S53" s="18"/>
    </row>
    <row r="54" spans="1:19" x14ac:dyDescent="0.2">
      <c r="A54" s="1">
        <v>53</v>
      </c>
      <c r="B54" s="1" t="s">
        <v>168</v>
      </c>
      <c r="C54" s="2">
        <v>42843</v>
      </c>
      <c r="D54" s="1" t="s">
        <v>36</v>
      </c>
      <c r="E54" s="1" t="s">
        <v>169</v>
      </c>
      <c r="F54" s="1" t="s">
        <v>170</v>
      </c>
      <c r="G54" s="1" t="s">
        <v>171</v>
      </c>
      <c r="H54" s="1" t="s">
        <v>74</v>
      </c>
      <c r="I54" s="1" t="s">
        <v>22</v>
      </c>
      <c r="J54" s="1" t="s">
        <v>25</v>
      </c>
      <c r="K54" s="1" t="s">
        <v>175</v>
      </c>
      <c r="L54" s="17">
        <v>89.99</v>
      </c>
      <c r="M54" s="1">
        <v>1</v>
      </c>
      <c r="N54" s="1">
        <v>0</v>
      </c>
      <c r="O54" s="17">
        <v>17.098099999999988</v>
      </c>
      <c r="P54" s="17">
        <f>('Work File (2)'!$L54*'Work File (2)'!$M54)*(1-'Work File (2)'!$N54)</f>
        <v>89.99</v>
      </c>
      <c r="Q54" s="1">
        <f>YEAR(Table2[[#This Row],[Order Date]])</f>
        <v>2017</v>
      </c>
      <c r="R54" s="18" t="str">
        <f>TEXT(Table2[[#This Row],[Order Date]],"mmm")</f>
        <v>Apr</v>
      </c>
      <c r="S54" s="18"/>
    </row>
    <row r="55" spans="1:19" x14ac:dyDescent="0.2">
      <c r="A55" s="1">
        <v>54</v>
      </c>
      <c r="B55" s="1" t="s">
        <v>176</v>
      </c>
      <c r="C55" s="2">
        <v>43445</v>
      </c>
      <c r="D55" s="1" t="s">
        <v>36</v>
      </c>
      <c r="E55" s="1" t="s">
        <v>177</v>
      </c>
      <c r="F55" s="1" t="s">
        <v>178</v>
      </c>
      <c r="G55" s="1" t="s">
        <v>179</v>
      </c>
      <c r="H55" s="1" t="s">
        <v>103</v>
      </c>
      <c r="I55" s="1" t="s">
        <v>32</v>
      </c>
      <c r="J55" s="1" t="s">
        <v>180</v>
      </c>
      <c r="K55" s="1" t="s">
        <v>181</v>
      </c>
      <c r="L55" s="17">
        <v>15.260000000000002</v>
      </c>
      <c r="M55" s="1">
        <v>7</v>
      </c>
      <c r="N55" s="1">
        <v>0</v>
      </c>
      <c r="O55" s="17">
        <v>6.2566000000000006</v>
      </c>
      <c r="P55" s="17">
        <f>('Work File (2)'!$L55*'Work File (2)'!$M55)*(1-'Work File (2)'!$N55)</f>
        <v>106.82000000000001</v>
      </c>
      <c r="Q55" s="1">
        <f>YEAR(Table2[[#This Row],[Order Date]])</f>
        <v>2018</v>
      </c>
      <c r="R55" s="18" t="str">
        <f>TEXT(Table2[[#This Row],[Order Date]],"mmm")</f>
        <v>Dec</v>
      </c>
      <c r="S55" s="18"/>
    </row>
    <row r="56" spans="1:19" x14ac:dyDescent="0.2">
      <c r="A56" s="1">
        <v>55</v>
      </c>
      <c r="B56" s="1" t="s">
        <v>176</v>
      </c>
      <c r="C56" s="2">
        <v>43445</v>
      </c>
      <c r="D56" s="1" t="s">
        <v>36</v>
      </c>
      <c r="E56" s="1" t="s">
        <v>177</v>
      </c>
      <c r="F56" s="1" t="s">
        <v>178</v>
      </c>
      <c r="G56" s="1" t="s">
        <v>179</v>
      </c>
      <c r="H56" s="1" t="s">
        <v>103</v>
      </c>
      <c r="I56" s="1" t="s">
        <v>50</v>
      </c>
      <c r="J56" s="1" t="s">
        <v>51</v>
      </c>
      <c r="K56" s="1" t="s">
        <v>182</v>
      </c>
      <c r="L56" s="17">
        <v>1029.95</v>
      </c>
      <c r="M56" s="1">
        <v>5</v>
      </c>
      <c r="N56" s="1">
        <v>0</v>
      </c>
      <c r="O56" s="17">
        <v>298.68549999999999</v>
      </c>
      <c r="P56" s="17">
        <f>('Work File (2)'!$L56*'Work File (2)'!$M56)*(1-'Work File (2)'!$N56)</f>
        <v>5149.75</v>
      </c>
      <c r="Q56" s="1">
        <f>YEAR(Table2[[#This Row],[Order Date]])</f>
        <v>2018</v>
      </c>
      <c r="R56" s="18" t="str">
        <f>TEXT(Table2[[#This Row],[Order Date]],"mmm")</f>
        <v>Dec</v>
      </c>
      <c r="S56" s="18"/>
    </row>
    <row r="57" spans="1:19" x14ac:dyDescent="0.2">
      <c r="A57" s="1">
        <v>56</v>
      </c>
      <c r="B57" s="1" t="s">
        <v>183</v>
      </c>
      <c r="C57" s="2">
        <v>43268</v>
      </c>
      <c r="D57" s="1" t="s">
        <v>128</v>
      </c>
      <c r="E57" s="1" t="s">
        <v>184</v>
      </c>
      <c r="F57" s="1" t="s">
        <v>185</v>
      </c>
      <c r="G57" s="1" t="s">
        <v>179</v>
      </c>
      <c r="H57" s="1" t="s">
        <v>103</v>
      </c>
      <c r="I57" s="1" t="s">
        <v>32</v>
      </c>
      <c r="J57" s="1" t="s">
        <v>42</v>
      </c>
      <c r="K57" s="1" t="s">
        <v>186</v>
      </c>
      <c r="L57" s="17">
        <v>208.56</v>
      </c>
      <c r="M57" s="1">
        <v>6</v>
      </c>
      <c r="N57" s="1">
        <v>0</v>
      </c>
      <c r="O57" s="17">
        <v>52.139999999999986</v>
      </c>
      <c r="P57" s="17">
        <f>('Work File (2)'!$L57*'Work File (2)'!$M57)*(1-'Work File (2)'!$N57)</f>
        <v>1251.3600000000001</v>
      </c>
      <c r="Q57" s="1">
        <f>YEAR(Table2[[#This Row],[Order Date]])</f>
        <v>2018</v>
      </c>
      <c r="R57" s="18" t="str">
        <f>TEXT(Table2[[#This Row],[Order Date]],"mmm")</f>
        <v>Jun</v>
      </c>
      <c r="S57" s="18"/>
    </row>
    <row r="58" spans="1:19" x14ac:dyDescent="0.2">
      <c r="A58" s="1">
        <v>57</v>
      </c>
      <c r="B58" s="1" t="s">
        <v>183</v>
      </c>
      <c r="C58" s="2">
        <v>43268</v>
      </c>
      <c r="D58" s="1" t="s">
        <v>128</v>
      </c>
      <c r="E58" s="1" t="s">
        <v>184</v>
      </c>
      <c r="F58" s="1" t="s">
        <v>185</v>
      </c>
      <c r="G58" s="1" t="s">
        <v>179</v>
      </c>
      <c r="H58" s="1" t="s">
        <v>103</v>
      </c>
      <c r="I58" s="1" t="s">
        <v>32</v>
      </c>
      <c r="J58" s="1" t="s">
        <v>63</v>
      </c>
      <c r="K58" s="1" t="s">
        <v>187</v>
      </c>
      <c r="L58" s="17">
        <v>32.400000000000006</v>
      </c>
      <c r="M58" s="1">
        <v>5</v>
      </c>
      <c r="N58" s="1">
        <v>0</v>
      </c>
      <c r="O58" s="17">
        <v>15.552000000000001</v>
      </c>
      <c r="P58" s="17">
        <f>('Work File (2)'!$L58*'Work File (2)'!$M58)*(1-'Work File (2)'!$N58)</f>
        <v>162.00000000000003</v>
      </c>
      <c r="Q58" s="1">
        <f>YEAR(Table2[[#This Row],[Order Date]])</f>
        <v>2018</v>
      </c>
      <c r="R58" s="18" t="str">
        <f>TEXT(Table2[[#This Row],[Order Date]],"mmm")</f>
        <v>Jun</v>
      </c>
      <c r="S58" s="18"/>
    </row>
    <row r="59" spans="1:19" x14ac:dyDescent="0.2">
      <c r="A59" s="1">
        <v>58</v>
      </c>
      <c r="B59" s="1" t="s">
        <v>183</v>
      </c>
      <c r="C59" s="2">
        <v>43268</v>
      </c>
      <c r="D59" s="1" t="s">
        <v>128</v>
      </c>
      <c r="E59" s="1" t="s">
        <v>184</v>
      </c>
      <c r="F59" s="1" t="s">
        <v>185</v>
      </c>
      <c r="G59" s="1" t="s">
        <v>179</v>
      </c>
      <c r="H59" s="1" t="s">
        <v>103</v>
      </c>
      <c r="I59" s="1" t="s">
        <v>22</v>
      </c>
      <c r="J59" s="1" t="s">
        <v>25</v>
      </c>
      <c r="K59" s="1" t="s">
        <v>188</v>
      </c>
      <c r="L59" s="17">
        <v>319.41000000000003</v>
      </c>
      <c r="M59" s="1">
        <v>5</v>
      </c>
      <c r="N59" s="1">
        <v>0.1</v>
      </c>
      <c r="O59" s="17">
        <v>7.0980000000000061</v>
      </c>
      <c r="P59" s="17">
        <f>('Work File (2)'!$L59*'Work File (2)'!$M59)*(1-'Work File (2)'!$N59)</f>
        <v>1437.3450000000003</v>
      </c>
      <c r="Q59" s="1">
        <f>YEAR(Table2[[#This Row],[Order Date]])</f>
        <v>2018</v>
      </c>
      <c r="R59" s="18" t="str">
        <f>TEXT(Table2[[#This Row],[Order Date]],"mmm")</f>
        <v>Jun</v>
      </c>
      <c r="S59" s="18"/>
    </row>
    <row r="60" spans="1:19" x14ac:dyDescent="0.2">
      <c r="A60" s="1">
        <v>59</v>
      </c>
      <c r="B60" s="1" t="s">
        <v>183</v>
      </c>
      <c r="C60" s="2">
        <v>43268</v>
      </c>
      <c r="D60" s="1" t="s">
        <v>128</v>
      </c>
      <c r="E60" s="1" t="s">
        <v>184</v>
      </c>
      <c r="F60" s="1" t="s">
        <v>185</v>
      </c>
      <c r="G60" s="1" t="s">
        <v>179</v>
      </c>
      <c r="H60" s="1" t="s">
        <v>103</v>
      </c>
      <c r="I60" s="1" t="s">
        <v>32</v>
      </c>
      <c r="J60" s="1" t="s">
        <v>63</v>
      </c>
      <c r="K60" s="1" t="s">
        <v>189</v>
      </c>
      <c r="L60" s="17">
        <v>14.56</v>
      </c>
      <c r="M60" s="1">
        <v>2</v>
      </c>
      <c r="N60" s="1">
        <v>0</v>
      </c>
      <c r="O60" s="17">
        <v>6.9888000000000003</v>
      </c>
      <c r="P60" s="17">
        <f>('Work File (2)'!$L60*'Work File (2)'!$M60)*(1-'Work File (2)'!$N60)</f>
        <v>29.12</v>
      </c>
      <c r="Q60" s="1">
        <f>YEAR(Table2[[#This Row],[Order Date]])</f>
        <v>2018</v>
      </c>
      <c r="R60" s="18" t="str">
        <f>TEXT(Table2[[#This Row],[Order Date]],"mmm")</f>
        <v>Jun</v>
      </c>
      <c r="S60" s="18"/>
    </row>
    <row r="61" spans="1:19" x14ac:dyDescent="0.2">
      <c r="A61" s="1">
        <v>60</v>
      </c>
      <c r="B61" s="1" t="s">
        <v>183</v>
      </c>
      <c r="C61" s="2">
        <v>43268</v>
      </c>
      <c r="D61" s="1" t="s">
        <v>128</v>
      </c>
      <c r="E61" s="1" t="s">
        <v>184</v>
      </c>
      <c r="F61" s="1" t="s">
        <v>185</v>
      </c>
      <c r="G61" s="1" t="s">
        <v>179</v>
      </c>
      <c r="H61" s="1" t="s">
        <v>103</v>
      </c>
      <c r="I61" s="1" t="s">
        <v>50</v>
      </c>
      <c r="J61" s="1" t="s">
        <v>111</v>
      </c>
      <c r="K61" s="1" t="s">
        <v>166</v>
      </c>
      <c r="L61" s="17">
        <v>30</v>
      </c>
      <c r="M61" s="1">
        <v>2</v>
      </c>
      <c r="N61" s="1">
        <v>0</v>
      </c>
      <c r="O61" s="17">
        <v>3.3000000000000007</v>
      </c>
      <c r="P61" s="17">
        <f>('Work File (2)'!$L61*'Work File (2)'!$M61)*(1-'Work File (2)'!$N61)</f>
        <v>60</v>
      </c>
      <c r="Q61" s="1">
        <f>YEAR(Table2[[#This Row],[Order Date]])</f>
        <v>2018</v>
      </c>
      <c r="R61" s="18" t="str">
        <f>TEXT(Table2[[#This Row],[Order Date]],"mmm")</f>
        <v>Jun</v>
      </c>
      <c r="S61" s="18"/>
    </row>
    <row r="62" spans="1:19" x14ac:dyDescent="0.2">
      <c r="A62" s="1">
        <v>61</v>
      </c>
      <c r="B62" s="1" t="s">
        <v>183</v>
      </c>
      <c r="C62" s="2">
        <v>43268</v>
      </c>
      <c r="D62" s="1" t="s">
        <v>128</v>
      </c>
      <c r="E62" s="1" t="s">
        <v>184</v>
      </c>
      <c r="F62" s="1" t="s">
        <v>185</v>
      </c>
      <c r="G62" s="1" t="s">
        <v>179</v>
      </c>
      <c r="H62" s="1" t="s">
        <v>103</v>
      </c>
      <c r="I62" s="1" t="s">
        <v>32</v>
      </c>
      <c r="J62" s="1" t="s">
        <v>53</v>
      </c>
      <c r="K62" s="1" t="s">
        <v>190</v>
      </c>
      <c r="L62" s="17">
        <v>48.480000000000004</v>
      </c>
      <c r="M62" s="1">
        <v>4</v>
      </c>
      <c r="N62" s="1">
        <v>0.2</v>
      </c>
      <c r="O62" s="17">
        <v>16.361999999999998</v>
      </c>
      <c r="P62" s="17">
        <f>('Work File (2)'!$L62*'Work File (2)'!$M62)*(1-'Work File (2)'!$N62)</f>
        <v>155.13600000000002</v>
      </c>
      <c r="Q62" s="1">
        <f>YEAR(Table2[[#This Row],[Order Date]])</f>
        <v>2018</v>
      </c>
      <c r="R62" s="18" t="str">
        <f>TEXT(Table2[[#This Row],[Order Date]],"mmm")</f>
        <v>Jun</v>
      </c>
      <c r="S62" s="18"/>
    </row>
    <row r="63" spans="1:19" x14ac:dyDescent="0.2">
      <c r="A63" s="1">
        <v>62</v>
      </c>
      <c r="B63" s="1" t="s">
        <v>183</v>
      </c>
      <c r="C63" s="2">
        <v>43268</v>
      </c>
      <c r="D63" s="1" t="s">
        <v>128</v>
      </c>
      <c r="E63" s="1" t="s">
        <v>184</v>
      </c>
      <c r="F63" s="1" t="s">
        <v>185</v>
      </c>
      <c r="G63" s="1" t="s">
        <v>179</v>
      </c>
      <c r="H63" s="1" t="s">
        <v>103</v>
      </c>
      <c r="I63" s="1" t="s">
        <v>32</v>
      </c>
      <c r="J63" s="1" t="s">
        <v>48</v>
      </c>
      <c r="K63" s="1" t="s">
        <v>191</v>
      </c>
      <c r="L63" s="17">
        <v>1.68</v>
      </c>
      <c r="M63" s="1">
        <v>1</v>
      </c>
      <c r="N63" s="1">
        <v>0</v>
      </c>
      <c r="O63" s="17">
        <v>0.84</v>
      </c>
      <c r="P63" s="17">
        <f>('Work File (2)'!$L63*'Work File (2)'!$M63)*(1-'Work File (2)'!$N63)</f>
        <v>1.68</v>
      </c>
      <c r="Q63" s="1">
        <f>YEAR(Table2[[#This Row],[Order Date]])</f>
        <v>2018</v>
      </c>
      <c r="R63" s="18" t="str">
        <f>TEXT(Table2[[#This Row],[Order Date]],"mmm")</f>
        <v>Jun</v>
      </c>
      <c r="S63" s="18"/>
    </row>
    <row r="64" spans="1:19" x14ac:dyDescent="0.2">
      <c r="A64" s="1">
        <v>63</v>
      </c>
      <c r="B64" s="1" t="s">
        <v>192</v>
      </c>
      <c r="C64" s="2">
        <v>43063</v>
      </c>
      <c r="D64" s="1" t="s">
        <v>36</v>
      </c>
      <c r="E64" s="1" t="s">
        <v>193</v>
      </c>
      <c r="F64" s="1" t="s">
        <v>29</v>
      </c>
      <c r="G64" s="1" t="s">
        <v>30</v>
      </c>
      <c r="H64" s="1" t="s">
        <v>31</v>
      </c>
      <c r="I64" s="1" t="s">
        <v>50</v>
      </c>
      <c r="J64" s="1" t="s">
        <v>111</v>
      </c>
      <c r="K64" s="1" t="s">
        <v>194</v>
      </c>
      <c r="L64" s="17">
        <v>13.98</v>
      </c>
      <c r="M64" s="1">
        <v>2</v>
      </c>
      <c r="N64" s="1">
        <v>0</v>
      </c>
      <c r="O64" s="17">
        <v>6.1512000000000011</v>
      </c>
      <c r="P64" s="17">
        <f>('Work File (2)'!$L64*'Work File (2)'!$M64)*(1-'Work File (2)'!$N64)</f>
        <v>27.96</v>
      </c>
      <c r="Q64" s="1">
        <f>YEAR(Table2[[#This Row],[Order Date]])</f>
        <v>2017</v>
      </c>
      <c r="R64" s="18" t="str">
        <f>TEXT(Table2[[#This Row],[Order Date]],"mmm")</f>
        <v>Nov</v>
      </c>
      <c r="S64" s="18"/>
    </row>
    <row r="65" spans="1:19" x14ac:dyDescent="0.2">
      <c r="A65" s="1">
        <v>64</v>
      </c>
      <c r="B65" s="1" t="s">
        <v>192</v>
      </c>
      <c r="C65" s="2">
        <v>43063</v>
      </c>
      <c r="D65" s="1" t="s">
        <v>36</v>
      </c>
      <c r="E65" s="1" t="s">
        <v>193</v>
      </c>
      <c r="F65" s="1" t="s">
        <v>29</v>
      </c>
      <c r="G65" s="1" t="s">
        <v>30</v>
      </c>
      <c r="H65" s="1" t="s">
        <v>31</v>
      </c>
      <c r="I65" s="1" t="s">
        <v>32</v>
      </c>
      <c r="J65" s="1" t="s">
        <v>53</v>
      </c>
      <c r="K65" s="1" t="s">
        <v>195</v>
      </c>
      <c r="L65" s="17">
        <v>25.824000000000002</v>
      </c>
      <c r="M65" s="1">
        <v>6</v>
      </c>
      <c r="N65" s="1">
        <v>0.2</v>
      </c>
      <c r="O65" s="17">
        <v>9.3612000000000002</v>
      </c>
      <c r="P65" s="17">
        <f>('Work File (2)'!$L65*'Work File (2)'!$M65)*(1-'Work File (2)'!$N65)</f>
        <v>123.95520000000002</v>
      </c>
      <c r="Q65" s="1">
        <f>YEAR(Table2[[#This Row],[Order Date]])</f>
        <v>2017</v>
      </c>
      <c r="R65" s="18" t="str">
        <f>TEXT(Table2[[#This Row],[Order Date]],"mmm")</f>
        <v>Nov</v>
      </c>
      <c r="S65" s="18"/>
    </row>
    <row r="66" spans="1:19" x14ac:dyDescent="0.2">
      <c r="A66" s="1">
        <v>65</v>
      </c>
      <c r="B66" s="1" t="s">
        <v>192</v>
      </c>
      <c r="C66" s="2">
        <v>43063</v>
      </c>
      <c r="D66" s="1" t="s">
        <v>36</v>
      </c>
      <c r="E66" s="1" t="s">
        <v>193</v>
      </c>
      <c r="F66" s="1" t="s">
        <v>29</v>
      </c>
      <c r="G66" s="1" t="s">
        <v>30</v>
      </c>
      <c r="H66" s="1" t="s">
        <v>31</v>
      </c>
      <c r="I66" s="1" t="s">
        <v>32</v>
      </c>
      <c r="J66" s="1" t="s">
        <v>63</v>
      </c>
      <c r="K66" s="1" t="s">
        <v>196</v>
      </c>
      <c r="L66" s="17">
        <v>146.72999999999999</v>
      </c>
      <c r="M66" s="1">
        <v>3</v>
      </c>
      <c r="N66" s="1">
        <v>0</v>
      </c>
      <c r="O66" s="17">
        <v>68.963099999999997</v>
      </c>
      <c r="P66" s="17">
        <f>('Work File (2)'!$L66*'Work File (2)'!$M66)*(1-'Work File (2)'!$N66)</f>
        <v>440.18999999999994</v>
      </c>
      <c r="Q66" s="1">
        <f>YEAR(Table2[[#This Row],[Order Date]])</f>
        <v>2017</v>
      </c>
      <c r="R66" s="18" t="str">
        <f>TEXT(Table2[[#This Row],[Order Date]],"mmm")</f>
        <v>Nov</v>
      </c>
      <c r="S66" s="18"/>
    </row>
    <row r="67" spans="1:19" x14ac:dyDescent="0.2">
      <c r="A67" s="1">
        <v>66</v>
      </c>
      <c r="B67" s="1" t="s">
        <v>192</v>
      </c>
      <c r="C67" s="2">
        <v>43063</v>
      </c>
      <c r="D67" s="1" t="s">
        <v>36</v>
      </c>
      <c r="E67" s="1" t="s">
        <v>193</v>
      </c>
      <c r="F67" s="1" t="s">
        <v>29</v>
      </c>
      <c r="G67" s="1" t="s">
        <v>30</v>
      </c>
      <c r="H67" s="1" t="s">
        <v>31</v>
      </c>
      <c r="I67" s="1" t="s">
        <v>22</v>
      </c>
      <c r="J67" s="1" t="s">
        <v>46</v>
      </c>
      <c r="K67" s="1" t="s">
        <v>197</v>
      </c>
      <c r="L67" s="17">
        <v>79.760000000000005</v>
      </c>
      <c r="M67" s="1">
        <v>4</v>
      </c>
      <c r="N67" s="1">
        <v>0</v>
      </c>
      <c r="O67" s="17">
        <v>22.332800000000006</v>
      </c>
      <c r="P67" s="17">
        <f>('Work File (2)'!$L67*'Work File (2)'!$M67)*(1-'Work File (2)'!$N67)</f>
        <v>319.04000000000002</v>
      </c>
      <c r="Q67" s="1">
        <f>YEAR(Table2[[#This Row],[Order Date]])</f>
        <v>2017</v>
      </c>
      <c r="R67" s="18" t="str">
        <f>TEXT(Table2[[#This Row],[Order Date]],"mmm")</f>
        <v>Nov</v>
      </c>
      <c r="S67" s="18"/>
    </row>
    <row r="68" spans="1:19" x14ac:dyDescent="0.2">
      <c r="A68" s="1">
        <v>67</v>
      </c>
      <c r="B68" s="1" t="s">
        <v>198</v>
      </c>
      <c r="C68" s="2">
        <v>42855</v>
      </c>
      <c r="D68" s="1" t="s">
        <v>36</v>
      </c>
      <c r="E68" s="1" t="s">
        <v>199</v>
      </c>
      <c r="F68" s="1" t="s">
        <v>200</v>
      </c>
      <c r="G68" s="1" t="s">
        <v>142</v>
      </c>
      <c r="H68" s="1" t="s">
        <v>74</v>
      </c>
      <c r="I68" s="1" t="s">
        <v>22</v>
      </c>
      <c r="J68" s="1" t="s">
        <v>25</v>
      </c>
      <c r="K68" s="1" t="s">
        <v>201</v>
      </c>
      <c r="L68" s="17">
        <v>213.11499999999998</v>
      </c>
      <c r="M68" s="1">
        <v>5</v>
      </c>
      <c r="N68" s="1">
        <v>0.3</v>
      </c>
      <c r="O68" s="17">
        <v>-15.222500000000011</v>
      </c>
      <c r="P68" s="17">
        <f>('Work File (2)'!$L68*'Work File (2)'!$M68)*(1-'Work File (2)'!$N68)</f>
        <v>745.9024999999998</v>
      </c>
      <c r="Q68" s="1">
        <f>YEAR(Table2[[#This Row],[Order Date]])</f>
        <v>2017</v>
      </c>
      <c r="R68" s="18" t="str">
        <f>TEXT(Table2[[#This Row],[Order Date]],"mmm")</f>
        <v>Apr</v>
      </c>
      <c r="S68" s="18"/>
    </row>
    <row r="69" spans="1:19" x14ac:dyDescent="0.2">
      <c r="A69" s="1">
        <v>68</v>
      </c>
      <c r="B69" s="1" t="s">
        <v>202</v>
      </c>
      <c r="C69" s="2">
        <v>42709</v>
      </c>
      <c r="D69" s="1" t="s">
        <v>36</v>
      </c>
      <c r="E69" s="1" t="s">
        <v>203</v>
      </c>
      <c r="F69" s="1" t="s">
        <v>204</v>
      </c>
      <c r="G69" s="1" t="s">
        <v>205</v>
      </c>
      <c r="H69" s="1" t="s">
        <v>31</v>
      </c>
      <c r="I69" s="1" t="s">
        <v>32</v>
      </c>
      <c r="J69" s="1" t="s">
        <v>48</v>
      </c>
      <c r="K69" s="1" t="s">
        <v>206</v>
      </c>
      <c r="L69" s="17">
        <v>1113.0240000000001</v>
      </c>
      <c r="M69" s="1">
        <v>8</v>
      </c>
      <c r="N69" s="1">
        <v>0.2</v>
      </c>
      <c r="O69" s="17">
        <v>111.30239999999998</v>
      </c>
      <c r="P69" s="17">
        <f>('Work File (2)'!$L69*'Work File (2)'!$M69)*(1-'Work File (2)'!$N69)</f>
        <v>7123.3536000000013</v>
      </c>
      <c r="Q69" s="1">
        <f>YEAR(Table2[[#This Row],[Order Date]])</f>
        <v>2016</v>
      </c>
      <c r="R69" s="18" t="str">
        <f>TEXT(Table2[[#This Row],[Order Date]],"mmm")</f>
        <v>Dec</v>
      </c>
      <c r="S69" s="18"/>
    </row>
    <row r="70" spans="1:19" x14ac:dyDescent="0.2">
      <c r="A70" s="1">
        <v>69</v>
      </c>
      <c r="B70" s="1" t="s">
        <v>202</v>
      </c>
      <c r="C70" s="2">
        <v>42709</v>
      </c>
      <c r="D70" s="1" t="s">
        <v>36</v>
      </c>
      <c r="E70" s="1" t="s">
        <v>203</v>
      </c>
      <c r="F70" s="1" t="s">
        <v>204</v>
      </c>
      <c r="G70" s="1" t="s">
        <v>205</v>
      </c>
      <c r="H70" s="1" t="s">
        <v>31</v>
      </c>
      <c r="I70" s="1" t="s">
        <v>50</v>
      </c>
      <c r="J70" s="1" t="s">
        <v>51</v>
      </c>
      <c r="K70" s="1" t="s">
        <v>207</v>
      </c>
      <c r="L70" s="17">
        <v>167.96800000000002</v>
      </c>
      <c r="M70" s="1">
        <v>4</v>
      </c>
      <c r="N70" s="1">
        <v>0.2</v>
      </c>
      <c r="O70" s="17">
        <v>62.988</v>
      </c>
      <c r="P70" s="17">
        <f>('Work File (2)'!$L70*'Work File (2)'!$M70)*(1-'Work File (2)'!$N70)</f>
        <v>537.49760000000003</v>
      </c>
      <c r="Q70" s="1">
        <f>YEAR(Table2[[#This Row],[Order Date]])</f>
        <v>2016</v>
      </c>
      <c r="R70" s="18" t="str">
        <f>TEXT(Table2[[#This Row],[Order Date]],"mmm")</f>
        <v>Dec</v>
      </c>
      <c r="S70" s="18"/>
    </row>
    <row r="71" spans="1:19" x14ac:dyDescent="0.2">
      <c r="A71" s="1">
        <v>70</v>
      </c>
      <c r="B71" s="1" t="s">
        <v>208</v>
      </c>
      <c r="C71" s="2">
        <v>43255</v>
      </c>
      <c r="D71" s="1" t="s">
        <v>128</v>
      </c>
      <c r="E71" s="1" t="s">
        <v>209</v>
      </c>
      <c r="F71" s="1" t="s">
        <v>210</v>
      </c>
      <c r="G71" s="1" t="s">
        <v>211</v>
      </c>
      <c r="H71" s="1" t="s">
        <v>21</v>
      </c>
      <c r="I71" s="1" t="s">
        <v>32</v>
      </c>
      <c r="J71" s="1" t="s">
        <v>63</v>
      </c>
      <c r="K71" s="1" t="s">
        <v>212</v>
      </c>
      <c r="L71" s="17">
        <v>75.88</v>
      </c>
      <c r="M71" s="1">
        <v>2</v>
      </c>
      <c r="N71" s="1">
        <v>0</v>
      </c>
      <c r="O71" s="17">
        <v>35.663599999999995</v>
      </c>
      <c r="P71" s="17">
        <f>('Work File (2)'!$L71*'Work File (2)'!$M71)*(1-'Work File (2)'!$N71)</f>
        <v>151.76</v>
      </c>
      <c r="Q71" s="1">
        <f>YEAR(Table2[[#This Row],[Order Date]])</f>
        <v>2018</v>
      </c>
      <c r="R71" s="18" t="str">
        <f>TEXT(Table2[[#This Row],[Order Date]],"mmm")</f>
        <v>Jun</v>
      </c>
      <c r="S71" s="18"/>
    </row>
    <row r="72" spans="1:19" x14ac:dyDescent="0.2">
      <c r="A72" s="1">
        <v>71</v>
      </c>
      <c r="B72" s="1" t="s">
        <v>213</v>
      </c>
      <c r="C72" s="2">
        <v>43361</v>
      </c>
      <c r="D72" s="1" t="s">
        <v>36</v>
      </c>
      <c r="E72" s="1" t="s">
        <v>214</v>
      </c>
      <c r="F72" s="1" t="s">
        <v>178</v>
      </c>
      <c r="G72" s="1" t="s">
        <v>179</v>
      </c>
      <c r="H72" s="1" t="s">
        <v>103</v>
      </c>
      <c r="I72" s="1" t="s">
        <v>32</v>
      </c>
      <c r="J72" s="1" t="s">
        <v>53</v>
      </c>
      <c r="K72" s="1" t="s">
        <v>215</v>
      </c>
      <c r="L72" s="17">
        <v>4.6159999999999997</v>
      </c>
      <c r="M72" s="1">
        <v>1</v>
      </c>
      <c r="N72" s="1">
        <v>0.2</v>
      </c>
      <c r="O72" s="17">
        <v>1.7309999999999999</v>
      </c>
      <c r="P72" s="17">
        <f>('Work File (2)'!$L72*'Work File (2)'!$M72)*(1-'Work File (2)'!$N72)</f>
        <v>3.6928000000000001</v>
      </c>
      <c r="Q72" s="1">
        <f>YEAR(Table2[[#This Row],[Order Date]])</f>
        <v>2018</v>
      </c>
      <c r="R72" s="18" t="str">
        <f>TEXT(Table2[[#This Row],[Order Date]],"mmm")</f>
        <v>Sep</v>
      </c>
      <c r="S72" s="18"/>
    </row>
    <row r="73" spans="1:19" x14ac:dyDescent="0.2">
      <c r="A73" s="1">
        <v>72</v>
      </c>
      <c r="B73" s="1" t="s">
        <v>216</v>
      </c>
      <c r="C73" s="2">
        <v>43722</v>
      </c>
      <c r="D73" s="1" t="s">
        <v>17</v>
      </c>
      <c r="E73" s="1" t="s">
        <v>114</v>
      </c>
      <c r="F73" s="1" t="s">
        <v>217</v>
      </c>
      <c r="G73" s="1" t="s">
        <v>160</v>
      </c>
      <c r="H73" s="1" t="s">
        <v>74</v>
      </c>
      <c r="I73" s="1" t="s">
        <v>32</v>
      </c>
      <c r="J73" s="1" t="s">
        <v>63</v>
      </c>
      <c r="K73" s="1" t="s">
        <v>218</v>
      </c>
      <c r="L73" s="17">
        <v>19.049999999999997</v>
      </c>
      <c r="M73" s="1">
        <v>3</v>
      </c>
      <c r="N73" s="1">
        <v>0</v>
      </c>
      <c r="O73" s="17">
        <v>8.7629999999999999</v>
      </c>
      <c r="P73" s="17">
        <f>('Work File (2)'!$L73*'Work File (2)'!$M73)*(1-'Work File (2)'!$N73)</f>
        <v>57.149999999999991</v>
      </c>
      <c r="Q73" s="1">
        <f>YEAR(Table2[[#This Row],[Order Date]])</f>
        <v>2019</v>
      </c>
      <c r="R73" s="18" t="str">
        <f>TEXT(Table2[[#This Row],[Order Date]],"mmm")</f>
        <v>Sep</v>
      </c>
      <c r="S73" s="18"/>
    </row>
    <row r="74" spans="1:19" x14ac:dyDescent="0.2">
      <c r="A74" s="1">
        <v>73</v>
      </c>
      <c r="B74" s="1" t="s">
        <v>219</v>
      </c>
      <c r="C74" s="2">
        <v>42851</v>
      </c>
      <c r="D74" s="1" t="s">
        <v>36</v>
      </c>
      <c r="E74" s="1" t="s">
        <v>220</v>
      </c>
      <c r="F74" s="1" t="s">
        <v>221</v>
      </c>
      <c r="G74" s="1" t="s">
        <v>222</v>
      </c>
      <c r="H74" s="1" t="s">
        <v>21</v>
      </c>
      <c r="I74" s="1" t="s">
        <v>22</v>
      </c>
      <c r="J74" s="1" t="s">
        <v>25</v>
      </c>
      <c r="K74" s="1" t="s">
        <v>223</v>
      </c>
      <c r="L74" s="17">
        <v>831.93600000000015</v>
      </c>
      <c r="M74" s="1">
        <v>8</v>
      </c>
      <c r="N74" s="1">
        <v>0.2</v>
      </c>
      <c r="O74" s="17">
        <v>-114.39120000000003</v>
      </c>
      <c r="P74" s="17">
        <f>('Work File (2)'!$L74*'Work File (2)'!$M74)*(1-'Work File (2)'!$N74)</f>
        <v>5324.3904000000011</v>
      </c>
      <c r="Q74" s="1">
        <f>YEAR(Table2[[#This Row],[Order Date]])</f>
        <v>2017</v>
      </c>
      <c r="R74" s="18" t="str">
        <f>TEXT(Table2[[#This Row],[Order Date]],"mmm")</f>
        <v>Apr</v>
      </c>
      <c r="S74" s="18"/>
    </row>
    <row r="75" spans="1:19" x14ac:dyDescent="0.2">
      <c r="A75" s="1">
        <v>74</v>
      </c>
      <c r="B75" s="1" t="s">
        <v>219</v>
      </c>
      <c r="C75" s="2">
        <v>42851</v>
      </c>
      <c r="D75" s="1" t="s">
        <v>36</v>
      </c>
      <c r="E75" s="1" t="s">
        <v>220</v>
      </c>
      <c r="F75" s="1" t="s">
        <v>221</v>
      </c>
      <c r="G75" s="1" t="s">
        <v>222</v>
      </c>
      <c r="H75" s="1" t="s">
        <v>21</v>
      </c>
      <c r="I75" s="1" t="s">
        <v>22</v>
      </c>
      <c r="J75" s="1" t="s">
        <v>46</v>
      </c>
      <c r="K75" s="1" t="s">
        <v>224</v>
      </c>
      <c r="L75" s="17">
        <v>97.04</v>
      </c>
      <c r="M75" s="1">
        <v>2</v>
      </c>
      <c r="N75" s="1">
        <v>0.2</v>
      </c>
      <c r="O75" s="17">
        <v>1.2129999999999974</v>
      </c>
      <c r="P75" s="17">
        <f>('Work File (2)'!$L75*'Work File (2)'!$M75)*(1-'Work File (2)'!$N75)</f>
        <v>155.26400000000001</v>
      </c>
      <c r="Q75" s="1">
        <f>YEAR(Table2[[#This Row],[Order Date]])</f>
        <v>2017</v>
      </c>
      <c r="R75" s="18" t="str">
        <f>TEXT(Table2[[#This Row],[Order Date]],"mmm")</f>
        <v>Apr</v>
      </c>
      <c r="S75" s="18"/>
    </row>
    <row r="76" spans="1:19" x14ac:dyDescent="0.2">
      <c r="A76" s="1">
        <v>75</v>
      </c>
      <c r="B76" s="1" t="s">
        <v>219</v>
      </c>
      <c r="C76" s="2">
        <v>42851</v>
      </c>
      <c r="D76" s="1" t="s">
        <v>36</v>
      </c>
      <c r="E76" s="1" t="s">
        <v>220</v>
      </c>
      <c r="F76" s="1" t="s">
        <v>221</v>
      </c>
      <c r="G76" s="1" t="s">
        <v>222</v>
      </c>
      <c r="H76" s="1" t="s">
        <v>21</v>
      </c>
      <c r="I76" s="1" t="s">
        <v>32</v>
      </c>
      <c r="J76" s="1" t="s">
        <v>42</v>
      </c>
      <c r="K76" s="1" t="s">
        <v>225</v>
      </c>
      <c r="L76" s="17">
        <v>72.784000000000006</v>
      </c>
      <c r="M76" s="1">
        <v>1</v>
      </c>
      <c r="N76" s="1">
        <v>0.2</v>
      </c>
      <c r="O76" s="17">
        <v>-18.196000000000002</v>
      </c>
      <c r="P76" s="17">
        <f>('Work File (2)'!$L76*'Work File (2)'!$M76)*(1-'Work File (2)'!$N76)</f>
        <v>58.227200000000011</v>
      </c>
      <c r="Q76" s="1">
        <f>YEAR(Table2[[#This Row],[Order Date]])</f>
        <v>2017</v>
      </c>
      <c r="R76" s="18" t="str">
        <f>TEXT(Table2[[#This Row],[Order Date]],"mmm")</f>
        <v>Apr</v>
      </c>
      <c r="S76" s="18"/>
    </row>
    <row r="77" spans="1:19" x14ac:dyDescent="0.2">
      <c r="A77" s="1">
        <v>76</v>
      </c>
      <c r="B77" s="1" t="s">
        <v>226</v>
      </c>
      <c r="C77" s="2">
        <v>43808</v>
      </c>
      <c r="D77" s="1" t="s">
        <v>128</v>
      </c>
      <c r="E77" s="1" t="s">
        <v>227</v>
      </c>
      <c r="F77" s="1" t="s">
        <v>125</v>
      </c>
      <c r="G77" s="1" t="s">
        <v>73</v>
      </c>
      <c r="H77" s="1" t="s">
        <v>74</v>
      </c>
      <c r="I77" s="1" t="s">
        <v>32</v>
      </c>
      <c r="J77" s="1" t="s">
        <v>53</v>
      </c>
      <c r="K77" s="1" t="s">
        <v>228</v>
      </c>
      <c r="L77" s="17">
        <v>1.2479999999999998</v>
      </c>
      <c r="M77" s="1">
        <v>3</v>
      </c>
      <c r="N77" s="1">
        <v>0.8</v>
      </c>
      <c r="O77" s="17">
        <v>-1.9344000000000006</v>
      </c>
      <c r="P77" s="17">
        <f>('Work File (2)'!$L77*'Work File (2)'!$M77)*(1-'Work File (2)'!$N77)</f>
        <v>0.74879999999999969</v>
      </c>
      <c r="Q77" s="1">
        <f>YEAR(Table2[[#This Row],[Order Date]])</f>
        <v>2019</v>
      </c>
      <c r="R77" s="18" t="str">
        <f>TEXT(Table2[[#This Row],[Order Date]],"mmm")</f>
        <v>Dec</v>
      </c>
      <c r="S77" s="18"/>
    </row>
    <row r="78" spans="1:19" x14ac:dyDescent="0.2">
      <c r="A78" s="1">
        <v>77</v>
      </c>
      <c r="B78" s="1" t="s">
        <v>226</v>
      </c>
      <c r="C78" s="2">
        <v>43808</v>
      </c>
      <c r="D78" s="1" t="s">
        <v>128</v>
      </c>
      <c r="E78" s="1" t="s">
        <v>227</v>
      </c>
      <c r="F78" s="1" t="s">
        <v>125</v>
      </c>
      <c r="G78" s="1" t="s">
        <v>73</v>
      </c>
      <c r="H78" s="1" t="s">
        <v>74</v>
      </c>
      <c r="I78" s="1" t="s">
        <v>22</v>
      </c>
      <c r="J78" s="1" t="s">
        <v>46</v>
      </c>
      <c r="K78" s="1" t="s">
        <v>229</v>
      </c>
      <c r="L78" s="17">
        <v>9.7080000000000002</v>
      </c>
      <c r="M78" s="1">
        <v>3</v>
      </c>
      <c r="N78" s="1">
        <v>0.6</v>
      </c>
      <c r="O78" s="17">
        <v>-5.8248000000000015</v>
      </c>
      <c r="P78" s="17">
        <f>('Work File (2)'!$L78*'Work File (2)'!$M78)*(1-'Work File (2)'!$N78)</f>
        <v>11.649600000000001</v>
      </c>
      <c r="Q78" s="1">
        <f>YEAR(Table2[[#This Row],[Order Date]])</f>
        <v>2019</v>
      </c>
      <c r="R78" s="18" t="str">
        <f>TEXT(Table2[[#This Row],[Order Date]],"mmm")</f>
        <v>Dec</v>
      </c>
      <c r="S78" s="18"/>
    </row>
    <row r="79" spans="1:19" x14ac:dyDescent="0.2">
      <c r="A79" s="1">
        <v>78</v>
      </c>
      <c r="B79" s="1" t="s">
        <v>226</v>
      </c>
      <c r="C79" s="2">
        <v>43808</v>
      </c>
      <c r="D79" s="1" t="s">
        <v>128</v>
      </c>
      <c r="E79" s="1" t="s">
        <v>227</v>
      </c>
      <c r="F79" s="1" t="s">
        <v>125</v>
      </c>
      <c r="G79" s="1" t="s">
        <v>73</v>
      </c>
      <c r="H79" s="1" t="s">
        <v>74</v>
      </c>
      <c r="I79" s="1" t="s">
        <v>32</v>
      </c>
      <c r="J79" s="1" t="s">
        <v>42</v>
      </c>
      <c r="K79" s="1" t="s">
        <v>230</v>
      </c>
      <c r="L79" s="17">
        <v>27.240000000000002</v>
      </c>
      <c r="M79" s="1">
        <v>3</v>
      </c>
      <c r="N79" s="1">
        <v>0.2</v>
      </c>
      <c r="O79" s="17">
        <v>2.724000000000002</v>
      </c>
      <c r="P79" s="17">
        <f>('Work File (2)'!$L79*'Work File (2)'!$M79)*(1-'Work File (2)'!$N79)</f>
        <v>65.376000000000005</v>
      </c>
      <c r="Q79" s="1">
        <f>YEAR(Table2[[#This Row],[Order Date]])</f>
        <v>2019</v>
      </c>
      <c r="R79" s="18" t="str">
        <f>TEXT(Table2[[#This Row],[Order Date]],"mmm")</f>
        <v>Dec</v>
      </c>
      <c r="S79" s="18"/>
    </row>
    <row r="80" spans="1:19" x14ac:dyDescent="0.2">
      <c r="A80" s="1">
        <v>79</v>
      </c>
      <c r="B80" s="1" t="s">
        <v>231</v>
      </c>
      <c r="C80" s="2">
        <v>42700</v>
      </c>
      <c r="D80" s="1" t="s">
        <v>17</v>
      </c>
      <c r="E80" s="1" t="s">
        <v>220</v>
      </c>
      <c r="F80" s="1" t="s">
        <v>125</v>
      </c>
      <c r="G80" s="1" t="s">
        <v>73</v>
      </c>
      <c r="H80" s="1" t="s">
        <v>74</v>
      </c>
      <c r="I80" s="1" t="s">
        <v>22</v>
      </c>
      <c r="J80" s="1" t="s">
        <v>46</v>
      </c>
      <c r="K80" s="1" t="s">
        <v>232</v>
      </c>
      <c r="L80" s="17">
        <v>19.3</v>
      </c>
      <c r="M80" s="1">
        <v>5</v>
      </c>
      <c r="N80" s="1">
        <v>0.6</v>
      </c>
      <c r="O80" s="17">
        <v>-14.475000000000001</v>
      </c>
      <c r="P80" s="17">
        <f>('Work File (2)'!$L80*'Work File (2)'!$M80)*(1-'Work File (2)'!$N80)</f>
        <v>38.6</v>
      </c>
      <c r="Q80" s="1">
        <f>YEAR(Table2[[#This Row],[Order Date]])</f>
        <v>2016</v>
      </c>
      <c r="R80" s="18" t="str">
        <f>TEXT(Table2[[#This Row],[Order Date]],"mmm")</f>
        <v>Nov</v>
      </c>
      <c r="S80" s="18"/>
    </row>
    <row r="81" spans="1:19" x14ac:dyDescent="0.2">
      <c r="A81" s="1">
        <v>80</v>
      </c>
      <c r="B81" s="1" t="s">
        <v>233</v>
      </c>
      <c r="C81" s="2">
        <v>43263</v>
      </c>
      <c r="D81" s="1" t="s">
        <v>128</v>
      </c>
      <c r="E81" s="1" t="s">
        <v>234</v>
      </c>
      <c r="F81" s="1" t="s">
        <v>235</v>
      </c>
      <c r="G81" s="1" t="s">
        <v>236</v>
      </c>
      <c r="H81" s="1" t="s">
        <v>21</v>
      </c>
      <c r="I81" s="1" t="s">
        <v>32</v>
      </c>
      <c r="J81" s="1" t="s">
        <v>55</v>
      </c>
      <c r="K81" s="1" t="s">
        <v>237</v>
      </c>
      <c r="L81" s="17">
        <v>208.16</v>
      </c>
      <c r="M81" s="1">
        <v>1</v>
      </c>
      <c r="N81" s="1">
        <v>0</v>
      </c>
      <c r="O81" s="17">
        <v>56.20320000000001</v>
      </c>
      <c r="P81" s="17">
        <f>('Work File (2)'!$L81*'Work File (2)'!$M81)*(1-'Work File (2)'!$N81)</f>
        <v>208.16</v>
      </c>
      <c r="Q81" s="1">
        <f>YEAR(Table2[[#This Row],[Order Date]])</f>
        <v>2018</v>
      </c>
      <c r="R81" s="18" t="str">
        <f>TEXT(Table2[[#This Row],[Order Date]],"mmm")</f>
        <v>Jun</v>
      </c>
      <c r="S81" s="18"/>
    </row>
    <row r="82" spans="1:19" x14ac:dyDescent="0.2">
      <c r="A82" s="1">
        <v>81</v>
      </c>
      <c r="B82" s="1" t="s">
        <v>233</v>
      </c>
      <c r="C82" s="2">
        <v>43263</v>
      </c>
      <c r="D82" s="1" t="s">
        <v>128</v>
      </c>
      <c r="E82" s="1" t="s">
        <v>234</v>
      </c>
      <c r="F82" s="1" t="s">
        <v>235</v>
      </c>
      <c r="G82" s="1" t="s">
        <v>236</v>
      </c>
      <c r="H82" s="1" t="s">
        <v>21</v>
      </c>
      <c r="I82" s="1" t="s">
        <v>32</v>
      </c>
      <c r="J82" s="1" t="s">
        <v>53</v>
      </c>
      <c r="K82" s="1" t="s">
        <v>238</v>
      </c>
      <c r="L82" s="17">
        <v>16.740000000000002</v>
      </c>
      <c r="M82" s="1">
        <v>3</v>
      </c>
      <c r="N82" s="1">
        <v>0</v>
      </c>
      <c r="O82" s="17">
        <v>8.0351999999999997</v>
      </c>
      <c r="P82" s="17">
        <f>('Work File (2)'!$L82*'Work File (2)'!$M82)*(1-'Work File (2)'!$N82)</f>
        <v>50.220000000000006</v>
      </c>
      <c r="Q82" s="1">
        <f>YEAR(Table2[[#This Row],[Order Date]])</f>
        <v>2018</v>
      </c>
      <c r="R82" s="18" t="str">
        <f>TEXT(Table2[[#This Row],[Order Date]],"mmm")</f>
        <v>Jun</v>
      </c>
      <c r="S82" s="18"/>
    </row>
    <row r="83" spans="1:19" x14ac:dyDescent="0.2">
      <c r="A83" s="1">
        <v>82</v>
      </c>
      <c r="B83" s="1" t="s">
        <v>239</v>
      </c>
      <c r="C83" s="2">
        <v>42655</v>
      </c>
      <c r="D83" s="1" t="s">
        <v>36</v>
      </c>
      <c r="E83" s="1" t="s">
        <v>240</v>
      </c>
      <c r="F83" s="1" t="s">
        <v>89</v>
      </c>
      <c r="G83" s="1" t="s">
        <v>30</v>
      </c>
      <c r="H83" s="1" t="s">
        <v>31</v>
      </c>
      <c r="I83" s="1" t="s">
        <v>32</v>
      </c>
      <c r="J83" s="1" t="s">
        <v>48</v>
      </c>
      <c r="K83" s="1" t="s">
        <v>241</v>
      </c>
      <c r="L83" s="17">
        <v>14.9</v>
      </c>
      <c r="M83" s="1">
        <v>5</v>
      </c>
      <c r="N83" s="1">
        <v>0</v>
      </c>
      <c r="O83" s="17">
        <v>4.1720000000000006</v>
      </c>
      <c r="P83" s="17">
        <f>('Work File (2)'!$L83*'Work File (2)'!$M83)*(1-'Work File (2)'!$N83)</f>
        <v>74.5</v>
      </c>
      <c r="Q83" s="1">
        <f>YEAR(Table2[[#This Row],[Order Date]])</f>
        <v>2016</v>
      </c>
      <c r="R83" s="18" t="str">
        <f>TEXT(Table2[[#This Row],[Order Date]],"mmm")</f>
        <v>Oct</v>
      </c>
      <c r="S83" s="18"/>
    </row>
    <row r="84" spans="1:19" x14ac:dyDescent="0.2">
      <c r="A84" s="1">
        <v>83</v>
      </c>
      <c r="B84" s="1" t="s">
        <v>239</v>
      </c>
      <c r="C84" s="2">
        <v>42655</v>
      </c>
      <c r="D84" s="1" t="s">
        <v>36</v>
      </c>
      <c r="E84" s="1" t="s">
        <v>240</v>
      </c>
      <c r="F84" s="1" t="s">
        <v>89</v>
      </c>
      <c r="G84" s="1" t="s">
        <v>30</v>
      </c>
      <c r="H84" s="1" t="s">
        <v>31</v>
      </c>
      <c r="I84" s="1" t="s">
        <v>32</v>
      </c>
      <c r="J84" s="1" t="s">
        <v>42</v>
      </c>
      <c r="K84" s="1" t="s">
        <v>242</v>
      </c>
      <c r="L84" s="17">
        <v>21.39</v>
      </c>
      <c r="M84" s="1">
        <v>1</v>
      </c>
      <c r="N84" s="1">
        <v>0</v>
      </c>
      <c r="O84" s="17">
        <v>6.2030999999999992</v>
      </c>
      <c r="P84" s="17">
        <f>('Work File (2)'!$L84*'Work File (2)'!$M84)*(1-'Work File (2)'!$N84)</f>
        <v>21.39</v>
      </c>
      <c r="Q84" s="1">
        <f>YEAR(Table2[[#This Row],[Order Date]])</f>
        <v>2016</v>
      </c>
      <c r="R84" s="18" t="str">
        <f>TEXT(Table2[[#This Row],[Order Date]],"mmm")</f>
        <v>Oct</v>
      </c>
      <c r="S84" s="18"/>
    </row>
    <row r="85" spans="1:19" x14ac:dyDescent="0.2">
      <c r="A85" s="1">
        <v>84</v>
      </c>
      <c r="B85" s="1" t="s">
        <v>243</v>
      </c>
      <c r="C85" s="2">
        <v>42981</v>
      </c>
      <c r="D85" s="1" t="s">
        <v>36</v>
      </c>
      <c r="E85" s="1" t="s">
        <v>244</v>
      </c>
      <c r="F85" s="1" t="s">
        <v>245</v>
      </c>
      <c r="G85" s="1" t="s">
        <v>62</v>
      </c>
      <c r="H85" s="1" t="s">
        <v>21</v>
      </c>
      <c r="I85" s="1" t="s">
        <v>32</v>
      </c>
      <c r="J85" s="1" t="s">
        <v>118</v>
      </c>
      <c r="K85" s="1" t="s">
        <v>246</v>
      </c>
      <c r="L85" s="17">
        <v>200.98400000000004</v>
      </c>
      <c r="M85" s="1">
        <v>7</v>
      </c>
      <c r="N85" s="1">
        <v>0.2</v>
      </c>
      <c r="O85" s="17">
        <v>62.807499999999976</v>
      </c>
      <c r="P85" s="17">
        <f>('Work File (2)'!$L85*'Work File (2)'!$M85)*(1-'Work File (2)'!$N85)</f>
        <v>1125.5104000000003</v>
      </c>
      <c r="Q85" s="1">
        <f>YEAR(Table2[[#This Row],[Order Date]])</f>
        <v>2017</v>
      </c>
      <c r="R85" s="18" t="str">
        <f>TEXT(Table2[[#This Row],[Order Date]],"mmm")</f>
        <v>Sep</v>
      </c>
      <c r="S85" s="18"/>
    </row>
    <row r="86" spans="1:19" x14ac:dyDescent="0.2">
      <c r="A86" s="1">
        <v>85</v>
      </c>
      <c r="B86" s="1" t="s">
        <v>247</v>
      </c>
      <c r="C86" s="2">
        <v>43782</v>
      </c>
      <c r="D86" s="1" t="s">
        <v>128</v>
      </c>
      <c r="E86" s="1" t="s">
        <v>248</v>
      </c>
      <c r="F86" s="1" t="s">
        <v>200</v>
      </c>
      <c r="G86" s="1" t="s">
        <v>142</v>
      </c>
      <c r="H86" s="1" t="s">
        <v>74</v>
      </c>
      <c r="I86" s="1" t="s">
        <v>32</v>
      </c>
      <c r="J86" s="1" t="s">
        <v>42</v>
      </c>
      <c r="K86" s="1" t="s">
        <v>249</v>
      </c>
      <c r="L86" s="17">
        <v>230.376</v>
      </c>
      <c r="M86" s="1">
        <v>3</v>
      </c>
      <c r="N86" s="1">
        <v>0.2</v>
      </c>
      <c r="O86" s="17">
        <v>-48.954900000000002</v>
      </c>
      <c r="P86" s="17">
        <f>('Work File (2)'!$L86*'Work File (2)'!$M86)*(1-'Work File (2)'!$N86)</f>
        <v>552.90240000000006</v>
      </c>
      <c r="Q86" s="1">
        <f>YEAR(Table2[[#This Row],[Order Date]])</f>
        <v>2019</v>
      </c>
      <c r="R86" s="18" t="str">
        <f>TEXT(Table2[[#This Row],[Order Date]],"mmm")</f>
        <v>Nov</v>
      </c>
      <c r="S86" s="18"/>
    </row>
    <row r="87" spans="1:19" x14ac:dyDescent="0.2">
      <c r="A87" s="1">
        <v>86</v>
      </c>
      <c r="B87" s="1" t="s">
        <v>250</v>
      </c>
      <c r="C87" s="2">
        <v>43613</v>
      </c>
      <c r="D87" s="1" t="s">
        <v>17</v>
      </c>
      <c r="E87" s="1" t="s">
        <v>158</v>
      </c>
      <c r="F87" s="1" t="s">
        <v>251</v>
      </c>
      <c r="G87" s="1" t="s">
        <v>252</v>
      </c>
      <c r="H87" s="1" t="s">
        <v>21</v>
      </c>
      <c r="I87" s="1" t="s">
        <v>22</v>
      </c>
      <c r="J87" s="1" t="s">
        <v>25</v>
      </c>
      <c r="K87" s="1" t="s">
        <v>253</v>
      </c>
      <c r="L87" s="17">
        <v>301.95999999999998</v>
      </c>
      <c r="M87" s="1">
        <v>2</v>
      </c>
      <c r="N87" s="1">
        <v>0</v>
      </c>
      <c r="O87" s="17">
        <v>33.215599999999995</v>
      </c>
      <c r="P87" s="17">
        <f>('Work File (2)'!$L87*'Work File (2)'!$M87)*(1-'Work File (2)'!$N87)</f>
        <v>603.91999999999996</v>
      </c>
      <c r="Q87" s="1">
        <f>YEAR(Table2[[#This Row],[Order Date]])</f>
        <v>2019</v>
      </c>
      <c r="R87" s="18" t="str">
        <f>TEXT(Table2[[#This Row],[Order Date]],"mmm")</f>
        <v>May</v>
      </c>
      <c r="S87" s="18"/>
    </row>
    <row r="88" spans="1:19" x14ac:dyDescent="0.2">
      <c r="A88" s="1">
        <v>87</v>
      </c>
      <c r="B88" s="1" t="s">
        <v>254</v>
      </c>
      <c r="C88" s="2">
        <v>43764</v>
      </c>
      <c r="D88" s="1" t="s">
        <v>36</v>
      </c>
      <c r="E88" s="1" t="s">
        <v>255</v>
      </c>
      <c r="F88" s="1" t="s">
        <v>256</v>
      </c>
      <c r="G88" s="1" t="s">
        <v>154</v>
      </c>
      <c r="H88" s="1" t="s">
        <v>74</v>
      </c>
      <c r="I88" s="1" t="s">
        <v>50</v>
      </c>
      <c r="J88" s="1" t="s">
        <v>111</v>
      </c>
      <c r="K88" s="1" t="s">
        <v>257</v>
      </c>
      <c r="L88" s="17">
        <v>19.989999999999998</v>
      </c>
      <c r="M88" s="1">
        <v>1</v>
      </c>
      <c r="N88" s="1">
        <v>0</v>
      </c>
      <c r="O88" s="17">
        <v>6.796599999999998</v>
      </c>
      <c r="P88" s="17">
        <f>('Work File (2)'!$L88*'Work File (2)'!$M88)*(1-'Work File (2)'!$N88)</f>
        <v>19.989999999999998</v>
      </c>
      <c r="Q88" s="1">
        <f>YEAR(Table2[[#This Row],[Order Date]])</f>
        <v>2019</v>
      </c>
      <c r="R88" s="18" t="str">
        <f>TEXT(Table2[[#This Row],[Order Date]],"mmm")</f>
        <v>Oct</v>
      </c>
      <c r="S88" s="18"/>
    </row>
    <row r="89" spans="1:19" x14ac:dyDescent="0.2">
      <c r="A89" s="1">
        <v>88</v>
      </c>
      <c r="B89" s="1" t="s">
        <v>254</v>
      </c>
      <c r="C89" s="2">
        <v>43764</v>
      </c>
      <c r="D89" s="1" t="s">
        <v>36</v>
      </c>
      <c r="E89" s="1" t="s">
        <v>255</v>
      </c>
      <c r="F89" s="1" t="s">
        <v>256</v>
      </c>
      <c r="G89" s="1" t="s">
        <v>154</v>
      </c>
      <c r="H89" s="1" t="s">
        <v>74</v>
      </c>
      <c r="I89" s="1" t="s">
        <v>32</v>
      </c>
      <c r="J89" s="1" t="s">
        <v>33</v>
      </c>
      <c r="K89" s="1" t="s">
        <v>258</v>
      </c>
      <c r="L89" s="17">
        <v>6.16</v>
      </c>
      <c r="M89" s="1">
        <v>2</v>
      </c>
      <c r="N89" s="1">
        <v>0</v>
      </c>
      <c r="O89" s="17">
        <v>2.9567999999999999</v>
      </c>
      <c r="P89" s="17">
        <f>('Work File (2)'!$L89*'Work File (2)'!$M89)*(1-'Work File (2)'!$N89)</f>
        <v>12.32</v>
      </c>
      <c r="Q89" s="1">
        <f>YEAR(Table2[[#This Row],[Order Date]])</f>
        <v>2019</v>
      </c>
      <c r="R89" s="18" t="str">
        <f>TEXT(Table2[[#This Row],[Order Date]],"mmm")</f>
        <v>Oct</v>
      </c>
      <c r="S89" s="18"/>
    </row>
    <row r="90" spans="1:19" x14ac:dyDescent="0.2">
      <c r="A90" s="1">
        <v>89</v>
      </c>
      <c r="B90" s="1" t="s">
        <v>259</v>
      </c>
      <c r="C90" s="2">
        <v>43195</v>
      </c>
      <c r="D90" s="1" t="s">
        <v>17</v>
      </c>
      <c r="E90" s="1" t="s">
        <v>260</v>
      </c>
      <c r="F90" s="1" t="s">
        <v>125</v>
      </c>
      <c r="G90" s="1" t="s">
        <v>73</v>
      </c>
      <c r="H90" s="1" t="s">
        <v>74</v>
      </c>
      <c r="I90" s="1" t="s">
        <v>32</v>
      </c>
      <c r="J90" s="1" t="s">
        <v>42</v>
      </c>
      <c r="K90" s="1" t="s">
        <v>261</v>
      </c>
      <c r="L90" s="17">
        <v>158.36800000000002</v>
      </c>
      <c r="M90" s="1">
        <v>7</v>
      </c>
      <c r="N90" s="1">
        <v>0.2</v>
      </c>
      <c r="O90" s="17">
        <v>13.857199999999999</v>
      </c>
      <c r="P90" s="17">
        <f>('Work File (2)'!$L90*'Work File (2)'!$M90)*(1-'Work File (2)'!$N90)</f>
        <v>886.86080000000027</v>
      </c>
      <c r="Q90" s="1">
        <f>YEAR(Table2[[#This Row],[Order Date]])</f>
        <v>2018</v>
      </c>
      <c r="R90" s="18" t="str">
        <f>TEXT(Table2[[#This Row],[Order Date]],"mmm")</f>
        <v>Apr</v>
      </c>
      <c r="S90" s="18"/>
    </row>
    <row r="91" spans="1:19" x14ac:dyDescent="0.2">
      <c r="A91" s="1">
        <v>90</v>
      </c>
      <c r="B91" s="1" t="s">
        <v>262</v>
      </c>
      <c r="C91" s="2">
        <v>43360</v>
      </c>
      <c r="D91" s="1" t="s">
        <v>36</v>
      </c>
      <c r="E91" s="1" t="s">
        <v>263</v>
      </c>
      <c r="F91" s="1" t="s">
        <v>29</v>
      </c>
      <c r="G91" s="1" t="s">
        <v>30</v>
      </c>
      <c r="H91" s="1" t="s">
        <v>31</v>
      </c>
      <c r="I91" s="1" t="s">
        <v>32</v>
      </c>
      <c r="J91" s="1" t="s">
        <v>48</v>
      </c>
      <c r="K91" s="1" t="s">
        <v>264</v>
      </c>
      <c r="L91" s="17">
        <v>20.100000000000001</v>
      </c>
      <c r="M91" s="1">
        <v>3</v>
      </c>
      <c r="N91" s="1">
        <v>0</v>
      </c>
      <c r="O91" s="17">
        <v>6.6329999999999982</v>
      </c>
      <c r="P91" s="17">
        <f>('Work File (2)'!$L91*'Work File (2)'!$M91)*(1-'Work File (2)'!$N91)</f>
        <v>60.300000000000004</v>
      </c>
      <c r="Q91" s="1">
        <f>YEAR(Table2[[#This Row],[Order Date]])</f>
        <v>2018</v>
      </c>
      <c r="R91" s="18" t="str">
        <f>TEXT(Table2[[#This Row],[Order Date]],"mmm")</f>
        <v>Sep</v>
      </c>
      <c r="S91" s="18"/>
    </row>
    <row r="92" spans="1:19" x14ac:dyDescent="0.2">
      <c r="A92" s="1">
        <v>91</v>
      </c>
      <c r="B92" s="1" t="s">
        <v>262</v>
      </c>
      <c r="C92" s="2">
        <v>43360</v>
      </c>
      <c r="D92" s="1" t="s">
        <v>36</v>
      </c>
      <c r="E92" s="1" t="s">
        <v>263</v>
      </c>
      <c r="F92" s="1" t="s">
        <v>29</v>
      </c>
      <c r="G92" s="1" t="s">
        <v>30</v>
      </c>
      <c r="H92" s="1" t="s">
        <v>31</v>
      </c>
      <c r="I92" s="1" t="s">
        <v>50</v>
      </c>
      <c r="J92" s="1" t="s">
        <v>51</v>
      </c>
      <c r="K92" s="1" t="s">
        <v>143</v>
      </c>
      <c r="L92" s="17">
        <v>73.584000000000003</v>
      </c>
      <c r="M92" s="1">
        <v>2</v>
      </c>
      <c r="N92" s="1">
        <v>0.2</v>
      </c>
      <c r="O92" s="17">
        <v>8.2781999999999982</v>
      </c>
      <c r="P92" s="17">
        <f>('Work File (2)'!$L92*'Work File (2)'!$M92)*(1-'Work File (2)'!$N92)</f>
        <v>117.73440000000001</v>
      </c>
      <c r="Q92" s="1">
        <f>YEAR(Table2[[#This Row],[Order Date]])</f>
        <v>2018</v>
      </c>
      <c r="R92" s="18" t="str">
        <f>TEXT(Table2[[#This Row],[Order Date]],"mmm")</f>
        <v>Sep</v>
      </c>
      <c r="S92" s="18"/>
    </row>
    <row r="93" spans="1:19" x14ac:dyDescent="0.2">
      <c r="A93" s="1">
        <v>92</v>
      </c>
      <c r="B93" s="1" t="s">
        <v>262</v>
      </c>
      <c r="C93" s="2">
        <v>43360</v>
      </c>
      <c r="D93" s="1" t="s">
        <v>36</v>
      </c>
      <c r="E93" s="1" t="s">
        <v>263</v>
      </c>
      <c r="F93" s="1" t="s">
        <v>29</v>
      </c>
      <c r="G93" s="1" t="s">
        <v>30</v>
      </c>
      <c r="H93" s="1" t="s">
        <v>31</v>
      </c>
      <c r="I93" s="1" t="s">
        <v>32</v>
      </c>
      <c r="J93" s="1" t="s">
        <v>63</v>
      </c>
      <c r="K93" s="1" t="s">
        <v>265</v>
      </c>
      <c r="L93" s="17">
        <v>6.48</v>
      </c>
      <c r="M93" s="1">
        <v>1</v>
      </c>
      <c r="N93" s="1">
        <v>0</v>
      </c>
      <c r="O93" s="17">
        <v>3.1104000000000003</v>
      </c>
      <c r="P93" s="17">
        <f>('Work File (2)'!$L93*'Work File (2)'!$M93)*(1-'Work File (2)'!$N93)</f>
        <v>6.48</v>
      </c>
      <c r="Q93" s="1">
        <f>YEAR(Table2[[#This Row],[Order Date]])</f>
        <v>2018</v>
      </c>
      <c r="R93" s="18" t="str">
        <f>TEXT(Table2[[#This Row],[Order Date]],"mmm")</f>
        <v>Sep</v>
      </c>
      <c r="S93" s="18"/>
    </row>
    <row r="94" spans="1:19" x14ac:dyDescent="0.2">
      <c r="A94" s="1">
        <v>93</v>
      </c>
      <c r="B94" s="1" t="s">
        <v>266</v>
      </c>
      <c r="C94" s="2">
        <v>42766</v>
      </c>
      <c r="D94" s="1" t="s">
        <v>17</v>
      </c>
      <c r="E94" s="1" t="s">
        <v>267</v>
      </c>
      <c r="F94" s="1" t="s">
        <v>268</v>
      </c>
      <c r="G94" s="1" t="s">
        <v>154</v>
      </c>
      <c r="H94" s="1" t="s">
        <v>74</v>
      </c>
      <c r="I94" s="1" t="s">
        <v>32</v>
      </c>
      <c r="J94" s="1" t="s">
        <v>63</v>
      </c>
      <c r="K94" s="1" t="s">
        <v>269</v>
      </c>
      <c r="L94" s="17">
        <v>12.96</v>
      </c>
      <c r="M94" s="1">
        <v>2</v>
      </c>
      <c r="N94" s="1">
        <v>0</v>
      </c>
      <c r="O94" s="17">
        <v>6.2208000000000006</v>
      </c>
      <c r="P94" s="17">
        <f>('Work File (2)'!$L94*'Work File (2)'!$M94)*(1-'Work File (2)'!$N94)</f>
        <v>25.92</v>
      </c>
      <c r="Q94" s="1">
        <f>YEAR(Table2[[#This Row],[Order Date]])</f>
        <v>2017</v>
      </c>
      <c r="R94" s="18" t="str">
        <f>TEXT(Table2[[#This Row],[Order Date]],"mmm")</f>
        <v>Jan</v>
      </c>
      <c r="S94" s="18"/>
    </row>
    <row r="95" spans="1:19" x14ac:dyDescent="0.2">
      <c r="A95" s="1">
        <v>94</v>
      </c>
      <c r="B95" s="1" t="s">
        <v>266</v>
      </c>
      <c r="C95" s="2">
        <v>42766</v>
      </c>
      <c r="D95" s="1" t="s">
        <v>17</v>
      </c>
      <c r="E95" s="1" t="s">
        <v>267</v>
      </c>
      <c r="F95" s="1" t="s">
        <v>268</v>
      </c>
      <c r="G95" s="1" t="s">
        <v>154</v>
      </c>
      <c r="H95" s="1" t="s">
        <v>74</v>
      </c>
      <c r="I95" s="1" t="s">
        <v>22</v>
      </c>
      <c r="J95" s="1" t="s">
        <v>46</v>
      </c>
      <c r="K95" s="1" t="s">
        <v>270</v>
      </c>
      <c r="L95" s="17">
        <v>53.34</v>
      </c>
      <c r="M95" s="1">
        <v>3</v>
      </c>
      <c r="N95" s="1">
        <v>0</v>
      </c>
      <c r="O95" s="17">
        <v>16.535399999999996</v>
      </c>
      <c r="P95" s="17">
        <f>('Work File (2)'!$L95*'Work File (2)'!$M95)*(1-'Work File (2)'!$N95)</f>
        <v>160.02000000000001</v>
      </c>
      <c r="Q95" s="1">
        <f>YEAR(Table2[[#This Row],[Order Date]])</f>
        <v>2017</v>
      </c>
      <c r="R95" s="18" t="str">
        <f>TEXT(Table2[[#This Row],[Order Date]],"mmm")</f>
        <v>Jan</v>
      </c>
      <c r="S95" s="18"/>
    </row>
    <row r="96" spans="1:19" x14ac:dyDescent="0.2">
      <c r="A96" s="1">
        <v>95</v>
      </c>
      <c r="B96" s="1" t="s">
        <v>266</v>
      </c>
      <c r="C96" s="2">
        <v>42766</v>
      </c>
      <c r="D96" s="1" t="s">
        <v>17</v>
      </c>
      <c r="E96" s="1" t="s">
        <v>267</v>
      </c>
      <c r="F96" s="1" t="s">
        <v>268</v>
      </c>
      <c r="G96" s="1" t="s">
        <v>154</v>
      </c>
      <c r="H96" s="1" t="s">
        <v>74</v>
      </c>
      <c r="I96" s="1" t="s">
        <v>32</v>
      </c>
      <c r="J96" s="1" t="s">
        <v>53</v>
      </c>
      <c r="K96" s="1" t="s">
        <v>271</v>
      </c>
      <c r="L96" s="17">
        <v>32.96</v>
      </c>
      <c r="M96" s="1">
        <v>2</v>
      </c>
      <c r="N96" s="1">
        <v>0</v>
      </c>
      <c r="O96" s="17">
        <v>16.150400000000001</v>
      </c>
      <c r="P96" s="17">
        <f>('Work File (2)'!$L96*'Work File (2)'!$M96)*(1-'Work File (2)'!$N96)</f>
        <v>65.92</v>
      </c>
      <c r="Q96" s="1">
        <f>YEAR(Table2[[#This Row],[Order Date]])</f>
        <v>2017</v>
      </c>
      <c r="R96" s="18" t="str">
        <f>TEXT(Table2[[#This Row],[Order Date]],"mmm")</f>
        <v>Jan</v>
      </c>
      <c r="S96" s="18"/>
    </row>
    <row r="97" spans="1:19" x14ac:dyDescent="0.2">
      <c r="A97" s="1">
        <v>96</v>
      </c>
      <c r="B97" s="1" t="s">
        <v>272</v>
      </c>
      <c r="C97" s="2">
        <v>43775</v>
      </c>
      <c r="D97" s="1" t="s">
        <v>36</v>
      </c>
      <c r="E97" s="1" t="s">
        <v>273</v>
      </c>
      <c r="F97" s="1" t="s">
        <v>274</v>
      </c>
      <c r="G97" s="1" t="s">
        <v>275</v>
      </c>
      <c r="H97" s="1" t="s">
        <v>31</v>
      </c>
      <c r="I97" s="1" t="s">
        <v>32</v>
      </c>
      <c r="J97" s="1" t="s">
        <v>53</v>
      </c>
      <c r="K97" s="1" t="s">
        <v>276</v>
      </c>
      <c r="L97" s="17">
        <v>5.6820000000000013</v>
      </c>
      <c r="M97" s="1">
        <v>1</v>
      </c>
      <c r="N97" s="1">
        <v>0.7</v>
      </c>
      <c r="O97" s="17">
        <v>-3.7880000000000003</v>
      </c>
      <c r="P97" s="17">
        <f>('Work File (2)'!$L97*'Work File (2)'!$M97)*(1-'Work File (2)'!$N97)</f>
        <v>1.7046000000000006</v>
      </c>
      <c r="Q97" s="1">
        <f>YEAR(Table2[[#This Row],[Order Date]])</f>
        <v>2019</v>
      </c>
      <c r="R97" s="18" t="str">
        <f>TEXT(Table2[[#This Row],[Order Date]],"mmm")</f>
        <v>Nov</v>
      </c>
      <c r="S97" s="18"/>
    </row>
    <row r="98" spans="1:19" x14ac:dyDescent="0.2">
      <c r="A98" s="1">
        <v>97</v>
      </c>
      <c r="B98" s="1" t="s">
        <v>277</v>
      </c>
      <c r="C98" s="2">
        <v>43778</v>
      </c>
      <c r="D98" s="1" t="s">
        <v>17</v>
      </c>
      <c r="E98" s="1" t="s">
        <v>278</v>
      </c>
      <c r="F98" s="1" t="s">
        <v>178</v>
      </c>
      <c r="G98" s="1" t="s">
        <v>179</v>
      </c>
      <c r="H98" s="1" t="s">
        <v>103</v>
      </c>
      <c r="I98" s="1" t="s">
        <v>22</v>
      </c>
      <c r="J98" s="1" t="s">
        <v>46</v>
      </c>
      <c r="K98" s="1" t="s">
        <v>279</v>
      </c>
      <c r="L98" s="17">
        <v>96.53</v>
      </c>
      <c r="M98" s="1">
        <v>7</v>
      </c>
      <c r="N98" s="1">
        <v>0</v>
      </c>
      <c r="O98" s="17">
        <v>40.5426</v>
      </c>
      <c r="P98" s="17">
        <f>('Work File (2)'!$L98*'Work File (2)'!$M98)*(1-'Work File (2)'!$N98)</f>
        <v>675.71</v>
      </c>
      <c r="Q98" s="1">
        <f>YEAR(Table2[[#This Row],[Order Date]])</f>
        <v>2019</v>
      </c>
      <c r="R98" s="18" t="str">
        <f>TEXT(Table2[[#This Row],[Order Date]],"mmm")</f>
        <v>Nov</v>
      </c>
      <c r="S98" s="18"/>
    </row>
    <row r="99" spans="1:19" x14ac:dyDescent="0.2">
      <c r="A99" s="1">
        <v>98</v>
      </c>
      <c r="B99" s="1" t="s">
        <v>280</v>
      </c>
      <c r="C99" s="2">
        <v>43633</v>
      </c>
      <c r="D99" s="1" t="s">
        <v>128</v>
      </c>
      <c r="E99" s="1" t="s">
        <v>281</v>
      </c>
      <c r="F99" s="1" t="s">
        <v>89</v>
      </c>
      <c r="G99" s="1" t="s">
        <v>30</v>
      </c>
      <c r="H99" s="1" t="s">
        <v>31</v>
      </c>
      <c r="I99" s="1" t="s">
        <v>32</v>
      </c>
      <c r="J99" s="1" t="s">
        <v>53</v>
      </c>
      <c r="K99" s="1" t="s">
        <v>282</v>
      </c>
      <c r="L99" s="17">
        <v>51.311999999999998</v>
      </c>
      <c r="M99" s="1">
        <v>3</v>
      </c>
      <c r="N99" s="1">
        <v>0.2</v>
      </c>
      <c r="O99" s="17">
        <v>17.959199999999999</v>
      </c>
      <c r="P99" s="17">
        <f>('Work File (2)'!$L99*'Work File (2)'!$M99)*(1-'Work File (2)'!$N99)</f>
        <v>123.14879999999999</v>
      </c>
      <c r="Q99" s="1">
        <f>YEAR(Table2[[#This Row],[Order Date]])</f>
        <v>2019</v>
      </c>
      <c r="R99" s="18" t="str">
        <f>TEXT(Table2[[#This Row],[Order Date]],"mmm")</f>
        <v>Jun</v>
      </c>
      <c r="S99" s="18"/>
    </row>
    <row r="100" spans="1:19" x14ac:dyDescent="0.2">
      <c r="A100" s="1">
        <v>99</v>
      </c>
      <c r="B100" s="1" t="s">
        <v>283</v>
      </c>
      <c r="C100" s="2">
        <v>43349</v>
      </c>
      <c r="D100" s="1" t="s">
        <v>36</v>
      </c>
      <c r="E100" s="1" t="s">
        <v>284</v>
      </c>
      <c r="F100" s="1" t="s">
        <v>285</v>
      </c>
      <c r="G100" s="1" t="s">
        <v>154</v>
      </c>
      <c r="H100" s="1" t="s">
        <v>74</v>
      </c>
      <c r="I100" s="1" t="s">
        <v>32</v>
      </c>
      <c r="J100" s="1" t="s">
        <v>55</v>
      </c>
      <c r="K100" s="1" t="s">
        <v>286</v>
      </c>
      <c r="L100" s="17">
        <v>77.88</v>
      </c>
      <c r="M100" s="1">
        <v>6</v>
      </c>
      <c r="N100" s="1">
        <v>0</v>
      </c>
      <c r="O100" s="17">
        <v>22.585199999999993</v>
      </c>
      <c r="P100" s="17">
        <f>('Work File (2)'!$L100*'Work File (2)'!$M100)*(1-'Work File (2)'!$N100)</f>
        <v>467.28</v>
      </c>
      <c r="Q100" s="1">
        <f>YEAR(Table2[[#This Row],[Order Date]])</f>
        <v>2018</v>
      </c>
      <c r="R100" s="18" t="str">
        <f>TEXT(Table2[[#This Row],[Order Date]],"mmm")</f>
        <v>Sep</v>
      </c>
      <c r="S100" s="18"/>
    </row>
    <row r="101" spans="1:19" x14ac:dyDescent="0.2">
      <c r="A101" s="1">
        <v>100</v>
      </c>
      <c r="B101" s="1" t="s">
        <v>287</v>
      </c>
      <c r="C101" s="2">
        <v>43341</v>
      </c>
      <c r="D101" s="1" t="s">
        <v>36</v>
      </c>
      <c r="E101" s="1" t="s">
        <v>288</v>
      </c>
      <c r="F101" s="1" t="s">
        <v>200</v>
      </c>
      <c r="G101" s="1" t="s">
        <v>142</v>
      </c>
      <c r="H101" s="1" t="s">
        <v>74</v>
      </c>
      <c r="I101" s="1" t="s">
        <v>32</v>
      </c>
      <c r="J101" s="1" t="s">
        <v>63</v>
      </c>
      <c r="K101" s="1" t="s">
        <v>289</v>
      </c>
      <c r="L101" s="17">
        <v>64.623999999999995</v>
      </c>
      <c r="M101" s="1">
        <v>7</v>
      </c>
      <c r="N101" s="1">
        <v>0.2</v>
      </c>
      <c r="O101" s="17">
        <v>22.618399999999994</v>
      </c>
      <c r="P101" s="17">
        <f>('Work File (2)'!$L101*'Work File (2)'!$M101)*(1-'Work File (2)'!$N101)</f>
        <v>361.89439999999996</v>
      </c>
      <c r="Q101" s="1">
        <f>YEAR(Table2[[#This Row],[Order Date]])</f>
        <v>2018</v>
      </c>
      <c r="R101" s="18" t="str">
        <f>TEXT(Table2[[#This Row],[Order Date]],"mmm")</f>
        <v>Aug</v>
      </c>
      <c r="S101" s="18"/>
    </row>
    <row r="102" spans="1:19" x14ac:dyDescent="0.2">
      <c r="A102" s="1">
        <v>101</v>
      </c>
      <c r="B102" s="1" t="s">
        <v>287</v>
      </c>
      <c r="C102" s="2">
        <v>43341</v>
      </c>
      <c r="D102" s="1" t="s">
        <v>36</v>
      </c>
      <c r="E102" s="1" t="s">
        <v>288</v>
      </c>
      <c r="F102" s="1" t="s">
        <v>200</v>
      </c>
      <c r="G102" s="1" t="s">
        <v>142</v>
      </c>
      <c r="H102" s="1" t="s">
        <v>74</v>
      </c>
      <c r="I102" s="1" t="s">
        <v>50</v>
      </c>
      <c r="J102" s="1" t="s">
        <v>111</v>
      </c>
      <c r="K102" s="1" t="s">
        <v>290</v>
      </c>
      <c r="L102" s="17">
        <v>95.976000000000013</v>
      </c>
      <c r="M102" s="1">
        <v>3</v>
      </c>
      <c r="N102" s="1">
        <v>0.2</v>
      </c>
      <c r="O102" s="17">
        <v>-10.797300000000011</v>
      </c>
      <c r="P102" s="17">
        <f>('Work File (2)'!$L102*'Work File (2)'!$M102)*(1-'Work File (2)'!$N102)</f>
        <v>230.34240000000005</v>
      </c>
      <c r="Q102" s="1">
        <f>YEAR(Table2[[#This Row],[Order Date]])</f>
        <v>2018</v>
      </c>
      <c r="R102" s="18" t="str">
        <f>TEXT(Table2[[#This Row],[Order Date]],"mmm")</f>
        <v>Aug</v>
      </c>
      <c r="S102" s="18"/>
    </row>
    <row r="103" spans="1:19" x14ac:dyDescent="0.2">
      <c r="A103" s="1">
        <v>102</v>
      </c>
      <c r="B103" s="1" t="s">
        <v>287</v>
      </c>
      <c r="C103" s="2">
        <v>43341</v>
      </c>
      <c r="D103" s="1" t="s">
        <v>36</v>
      </c>
      <c r="E103" s="1" t="s">
        <v>288</v>
      </c>
      <c r="F103" s="1" t="s">
        <v>200</v>
      </c>
      <c r="G103" s="1" t="s">
        <v>142</v>
      </c>
      <c r="H103" s="1" t="s">
        <v>74</v>
      </c>
      <c r="I103" s="1" t="s">
        <v>32</v>
      </c>
      <c r="J103" s="1" t="s">
        <v>53</v>
      </c>
      <c r="K103" s="1" t="s">
        <v>291</v>
      </c>
      <c r="L103" s="17">
        <v>1.7879999999999996</v>
      </c>
      <c r="M103" s="1">
        <v>3</v>
      </c>
      <c r="N103" s="1">
        <v>0.8</v>
      </c>
      <c r="O103" s="17">
        <v>-3.0396000000000001</v>
      </c>
      <c r="P103" s="17">
        <f>('Work File (2)'!$L103*'Work File (2)'!$M103)*(1-'Work File (2)'!$N103)</f>
        <v>1.0727999999999995</v>
      </c>
      <c r="Q103" s="1">
        <f>YEAR(Table2[[#This Row],[Order Date]])</f>
        <v>2018</v>
      </c>
      <c r="R103" s="18" t="str">
        <f>TEXT(Table2[[#This Row],[Order Date]],"mmm")</f>
        <v>Aug</v>
      </c>
      <c r="S103" s="18"/>
    </row>
    <row r="104" spans="1:19" x14ac:dyDescent="0.2">
      <c r="A104" s="1">
        <v>103</v>
      </c>
      <c r="B104" s="1" t="s">
        <v>292</v>
      </c>
      <c r="C104" s="2">
        <v>43435</v>
      </c>
      <c r="D104" s="1" t="s">
        <v>17</v>
      </c>
      <c r="E104" s="1" t="s">
        <v>293</v>
      </c>
      <c r="F104" s="1" t="s">
        <v>256</v>
      </c>
      <c r="G104" s="1" t="s">
        <v>154</v>
      </c>
      <c r="H104" s="1" t="s">
        <v>74</v>
      </c>
      <c r="I104" s="1" t="s">
        <v>32</v>
      </c>
      <c r="J104" s="1" t="s">
        <v>63</v>
      </c>
      <c r="K104" s="1" t="s">
        <v>294</v>
      </c>
      <c r="L104" s="17">
        <v>23.92</v>
      </c>
      <c r="M104" s="1">
        <v>4</v>
      </c>
      <c r="N104" s="1">
        <v>0</v>
      </c>
      <c r="O104" s="17">
        <v>11.720800000000001</v>
      </c>
      <c r="P104" s="17">
        <f>('Work File (2)'!$L104*'Work File (2)'!$M104)*(1-'Work File (2)'!$N104)</f>
        <v>95.68</v>
      </c>
      <c r="Q104" s="1">
        <f>YEAR(Table2[[#This Row],[Order Date]])</f>
        <v>2018</v>
      </c>
      <c r="R104" s="18" t="str">
        <f>TEXT(Table2[[#This Row],[Order Date]],"mmm")</f>
        <v>Dec</v>
      </c>
      <c r="S104" s="18"/>
    </row>
    <row r="105" spans="1:19" x14ac:dyDescent="0.2">
      <c r="A105" s="1">
        <v>104</v>
      </c>
      <c r="B105" s="1" t="s">
        <v>295</v>
      </c>
      <c r="C105" s="2">
        <v>43052</v>
      </c>
      <c r="D105" s="1" t="s">
        <v>36</v>
      </c>
      <c r="E105" s="1" t="s">
        <v>296</v>
      </c>
      <c r="F105" s="1" t="s">
        <v>297</v>
      </c>
      <c r="G105" s="1" t="s">
        <v>298</v>
      </c>
      <c r="H105" s="1" t="s">
        <v>31</v>
      </c>
      <c r="I105" s="1" t="s">
        <v>50</v>
      </c>
      <c r="J105" s="1" t="s">
        <v>111</v>
      </c>
      <c r="K105" s="1" t="s">
        <v>299</v>
      </c>
      <c r="L105" s="17">
        <v>238.89600000000002</v>
      </c>
      <c r="M105" s="1">
        <v>6</v>
      </c>
      <c r="N105" s="1">
        <v>0.2</v>
      </c>
      <c r="O105" s="17">
        <v>-26.875800000000012</v>
      </c>
      <c r="P105" s="17">
        <f>('Work File (2)'!$L105*'Work File (2)'!$M105)*(1-'Work File (2)'!$N105)</f>
        <v>1146.7008000000003</v>
      </c>
      <c r="Q105" s="1">
        <f>YEAR(Table2[[#This Row],[Order Date]])</f>
        <v>2017</v>
      </c>
      <c r="R105" s="18" t="str">
        <f>TEXT(Table2[[#This Row],[Order Date]],"mmm")</f>
        <v>Nov</v>
      </c>
      <c r="S105" s="18"/>
    </row>
    <row r="106" spans="1:19" x14ac:dyDescent="0.2">
      <c r="A106" s="1">
        <v>105</v>
      </c>
      <c r="B106" s="1" t="s">
        <v>295</v>
      </c>
      <c r="C106" s="2">
        <v>43052</v>
      </c>
      <c r="D106" s="1" t="s">
        <v>36</v>
      </c>
      <c r="E106" s="1" t="s">
        <v>296</v>
      </c>
      <c r="F106" s="1" t="s">
        <v>297</v>
      </c>
      <c r="G106" s="1" t="s">
        <v>298</v>
      </c>
      <c r="H106" s="1" t="s">
        <v>31</v>
      </c>
      <c r="I106" s="1" t="s">
        <v>22</v>
      </c>
      <c r="J106" s="1" t="s">
        <v>46</v>
      </c>
      <c r="K106" s="1" t="s">
        <v>300</v>
      </c>
      <c r="L106" s="17">
        <v>102.35999999999999</v>
      </c>
      <c r="M106" s="1">
        <v>3</v>
      </c>
      <c r="N106" s="1">
        <v>0.2</v>
      </c>
      <c r="O106" s="17">
        <v>-3.8385000000000105</v>
      </c>
      <c r="P106" s="17">
        <f>('Work File (2)'!$L106*'Work File (2)'!$M106)*(1-'Work File (2)'!$N106)</f>
        <v>245.66399999999996</v>
      </c>
      <c r="Q106" s="1">
        <f>YEAR(Table2[[#This Row],[Order Date]])</f>
        <v>2017</v>
      </c>
      <c r="R106" s="18" t="str">
        <f>TEXT(Table2[[#This Row],[Order Date]],"mmm")</f>
        <v>Nov</v>
      </c>
      <c r="S106" s="18"/>
    </row>
    <row r="107" spans="1:19" x14ac:dyDescent="0.2">
      <c r="A107" s="1">
        <v>106</v>
      </c>
      <c r="B107" s="1" t="s">
        <v>295</v>
      </c>
      <c r="C107" s="2">
        <v>43052</v>
      </c>
      <c r="D107" s="1" t="s">
        <v>36</v>
      </c>
      <c r="E107" s="1" t="s">
        <v>296</v>
      </c>
      <c r="F107" s="1" t="s">
        <v>297</v>
      </c>
      <c r="G107" s="1" t="s">
        <v>298</v>
      </c>
      <c r="H107" s="1" t="s">
        <v>31</v>
      </c>
      <c r="I107" s="1" t="s">
        <v>32</v>
      </c>
      <c r="J107" s="1" t="s">
        <v>53</v>
      </c>
      <c r="K107" s="1" t="s">
        <v>301</v>
      </c>
      <c r="L107" s="17">
        <v>36.882000000000005</v>
      </c>
      <c r="M107" s="1">
        <v>3</v>
      </c>
      <c r="N107" s="1">
        <v>0.7</v>
      </c>
      <c r="O107" s="17">
        <v>-25.817399999999999</v>
      </c>
      <c r="P107" s="17">
        <f>('Work File (2)'!$L107*'Work File (2)'!$M107)*(1-'Work File (2)'!$N107)</f>
        <v>33.19380000000001</v>
      </c>
      <c r="Q107" s="1">
        <f>YEAR(Table2[[#This Row],[Order Date]])</f>
        <v>2017</v>
      </c>
      <c r="R107" s="18" t="str">
        <f>TEXT(Table2[[#This Row],[Order Date]],"mmm")</f>
        <v>Nov</v>
      </c>
      <c r="S107" s="18"/>
    </row>
    <row r="108" spans="1:19" x14ac:dyDescent="0.2">
      <c r="A108" s="1">
        <v>107</v>
      </c>
      <c r="B108" s="1" t="s">
        <v>302</v>
      </c>
      <c r="C108" s="2">
        <v>43792</v>
      </c>
      <c r="D108" s="1" t="s">
        <v>36</v>
      </c>
      <c r="E108" s="1" t="s">
        <v>303</v>
      </c>
      <c r="F108" s="1" t="s">
        <v>304</v>
      </c>
      <c r="G108" s="1" t="s">
        <v>62</v>
      </c>
      <c r="H108" s="1" t="s">
        <v>21</v>
      </c>
      <c r="I108" s="1" t="s">
        <v>50</v>
      </c>
      <c r="J108" s="1" t="s">
        <v>111</v>
      </c>
      <c r="K108" s="1" t="s">
        <v>305</v>
      </c>
      <c r="L108" s="17">
        <v>74.112000000000009</v>
      </c>
      <c r="M108" s="1">
        <v>8</v>
      </c>
      <c r="N108" s="1">
        <v>0.2</v>
      </c>
      <c r="O108" s="17">
        <v>17.601600000000001</v>
      </c>
      <c r="P108" s="17">
        <f>('Work File (2)'!$L108*'Work File (2)'!$M108)*(1-'Work File (2)'!$N108)</f>
        <v>474.31680000000006</v>
      </c>
      <c r="Q108" s="1">
        <f>YEAR(Table2[[#This Row],[Order Date]])</f>
        <v>2019</v>
      </c>
      <c r="R108" s="18" t="str">
        <f>TEXT(Table2[[#This Row],[Order Date]],"mmm")</f>
        <v>Nov</v>
      </c>
      <c r="S108" s="18"/>
    </row>
    <row r="109" spans="1:19" x14ac:dyDescent="0.2">
      <c r="A109" s="1">
        <v>108</v>
      </c>
      <c r="B109" s="1" t="s">
        <v>302</v>
      </c>
      <c r="C109" s="2">
        <v>43792</v>
      </c>
      <c r="D109" s="1" t="s">
        <v>36</v>
      </c>
      <c r="E109" s="1" t="s">
        <v>303</v>
      </c>
      <c r="F109" s="1" t="s">
        <v>304</v>
      </c>
      <c r="G109" s="1" t="s">
        <v>62</v>
      </c>
      <c r="H109" s="1" t="s">
        <v>21</v>
      </c>
      <c r="I109" s="1" t="s">
        <v>50</v>
      </c>
      <c r="J109" s="1" t="s">
        <v>51</v>
      </c>
      <c r="K109" s="1" t="s">
        <v>306</v>
      </c>
      <c r="L109" s="17">
        <v>27.992000000000004</v>
      </c>
      <c r="M109" s="1">
        <v>1</v>
      </c>
      <c r="N109" s="1">
        <v>0.2</v>
      </c>
      <c r="O109" s="17">
        <v>2.0993999999999993</v>
      </c>
      <c r="P109" s="17">
        <f>('Work File (2)'!$L109*'Work File (2)'!$M109)*(1-'Work File (2)'!$N109)</f>
        <v>22.393600000000006</v>
      </c>
      <c r="Q109" s="1">
        <f>YEAR(Table2[[#This Row],[Order Date]])</f>
        <v>2019</v>
      </c>
      <c r="R109" s="18" t="str">
        <f>TEXT(Table2[[#This Row],[Order Date]],"mmm")</f>
        <v>Nov</v>
      </c>
      <c r="S109" s="18"/>
    </row>
    <row r="110" spans="1:19" x14ac:dyDescent="0.2">
      <c r="A110" s="1">
        <v>109</v>
      </c>
      <c r="B110" s="1" t="s">
        <v>302</v>
      </c>
      <c r="C110" s="2">
        <v>43792</v>
      </c>
      <c r="D110" s="1" t="s">
        <v>36</v>
      </c>
      <c r="E110" s="1" t="s">
        <v>303</v>
      </c>
      <c r="F110" s="1" t="s">
        <v>304</v>
      </c>
      <c r="G110" s="1" t="s">
        <v>62</v>
      </c>
      <c r="H110" s="1" t="s">
        <v>21</v>
      </c>
      <c r="I110" s="1" t="s">
        <v>32</v>
      </c>
      <c r="J110" s="1" t="s">
        <v>48</v>
      </c>
      <c r="K110" s="1" t="s">
        <v>307</v>
      </c>
      <c r="L110" s="17">
        <v>3.3040000000000003</v>
      </c>
      <c r="M110" s="1">
        <v>1</v>
      </c>
      <c r="N110" s="1">
        <v>0.2</v>
      </c>
      <c r="O110" s="17">
        <v>1.0737999999999999</v>
      </c>
      <c r="P110" s="17">
        <f>('Work File (2)'!$L110*'Work File (2)'!$M110)*(1-'Work File (2)'!$N110)</f>
        <v>2.6432000000000002</v>
      </c>
      <c r="Q110" s="1">
        <f>YEAR(Table2[[#This Row],[Order Date]])</f>
        <v>2019</v>
      </c>
      <c r="R110" s="18" t="str">
        <f>TEXT(Table2[[#This Row],[Order Date]],"mmm")</f>
        <v>Nov</v>
      </c>
      <c r="S110" s="18"/>
    </row>
    <row r="111" spans="1:19" x14ac:dyDescent="0.2">
      <c r="A111" s="1">
        <v>110</v>
      </c>
      <c r="B111" s="1" t="s">
        <v>308</v>
      </c>
      <c r="C111" s="2">
        <v>43023</v>
      </c>
      <c r="D111" s="1" t="s">
        <v>36</v>
      </c>
      <c r="E111" s="1" t="s">
        <v>309</v>
      </c>
      <c r="F111" s="1" t="s">
        <v>310</v>
      </c>
      <c r="G111" s="1" t="s">
        <v>142</v>
      </c>
      <c r="H111" s="1" t="s">
        <v>74</v>
      </c>
      <c r="I111" s="1" t="s">
        <v>50</v>
      </c>
      <c r="J111" s="1" t="s">
        <v>111</v>
      </c>
      <c r="K111" s="1" t="s">
        <v>311</v>
      </c>
      <c r="L111" s="17">
        <v>339.96000000000004</v>
      </c>
      <c r="M111" s="1">
        <v>5</v>
      </c>
      <c r="N111" s="1">
        <v>0.2</v>
      </c>
      <c r="O111" s="17">
        <v>67.991999999999962</v>
      </c>
      <c r="P111" s="17">
        <f>('Work File (2)'!$L111*'Work File (2)'!$M111)*(1-'Work File (2)'!$N111)</f>
        <v>1359.8400000000001</v>
      </c>
      <c r="Q111" s="1">
        <f>YEAR(Table2[[#This Row],[Order Date]])</f>
        <v>2017</v>
      </c>
      <c r="R111" s="18" t="str">
        <f>TEXT(Table2[[#This Row],[Order Date]],"mmm")</f>
        <v>Oct</v>
      </c>
      <c r="S111" s="18"/>
    </row>
    <row r="112" spans="1:19" x14ac:dyDescent="0.2">
      <c r="A112" s="1">
        <v>111</v>
      </c>
      <c r="B112" s="1" t="s">
        <v>312</v>
      </c>
      <c r="C112" s="2">
        <v>43824</v>
      </c>
      <c r="D112" s="1" t="s">
        <v>36</v>
      </c>
      <c r="E112" s="1" t="s">
        <v>313</v>
      </c>
      <c r="F112" s="1" t="s">
        <v>178</v>
      </c>
      <c r="G112" s="1" t="s">
        <v>179</v>
      </c>
      <c r="H112" s="1" t="s">
        <v>103</v>
      </c>
      <c r="I112" s="1" t="s">
        <v>22</v>
      </c>
      <c r="J112" s="1" t="s">
        <v>46</v>
      </c>
      <c r="K112" s="1" t="s">
        <v>314</v>
      </c>
      <c r="L112" s="17">
        <v>41.96</v>
      </c>
      <c r="M112" s="1">
        <v>2</v>
      </c>
      <c r="N112" s="1">
        <v>0</v>
      </c>
      <c r="O112" s="17">
        <v>10.909600000000001</v>
      </c>
      <c r="P112" s="17">
        <f>('Work File (2)'!$L112*'Work File (2)'!$M112)*(1-'Work File (2)'!$N112)</f>
        <v>83.92</v>
      </c>
      <c r="Q112" s="1">
        <f>YEAR(Table2[[#This Row],[Order Date]])</f>
        <v>2019</v>
      </c>
      <c r="R112" s="18" t="str">
        <f>TEXT(Table2[[#This Row],[Order Date]],"mmm")</f>
        <v>Dec</v>
      </c>
      <c r="S112" s="18"/>
    </row>
    <row r="113" spans="1:19" x14ac:dyDescent="0.2">
      <c r="A113" s="1">
        <v>112</v>
      </c>
      <c r="B113" s="1" t="s">
        <v>315</v>
      </c>
      <c r="C113" s="2">
        <v>43407</v>
      </c>
      <c r="D113" s="1" t="s">
        <v>36</v>
      </c>
      <c r="E113" s="1" t="s">
        <v>316</v>
      </c>
      <c r="F113" s="1" t="s">
        <v>317</v>
      </c>
      <c r="G113" s="1" t="s">
        <v>318</v>
      </c>
      <c r="H113" s="1" t="s">
        <v>74</v>
      </c>
      <c r="I113" s="1" t="s">
        <v>32</v>
      </c>
      <c r="J113" s="1" t="s">
        <v>48</v>
      </c>
      <c r="K113" s="1" t="s">
        <v>319</v>
      </c>
      <c r="L113" s="17">
        <v>75.959999999999994</v>
      </c>
      <c r="M113" s="1">
        <v>2</v>
      </c>
      <c r="N113" s="1">
        <v>0</v>
      </c>
      <c r="O113" s="17">
        <v>22.78799999999999</v>
      </c>
      <c r="P113" s="17">
        <f>('Work File (2)'!$L113*'Work File (2)'!$M113)*(1-'Work File (2)'!$N113)</f>
        <v>151.91999999999999</v>
      </c>
      <c r="Q113" s="1">
        <f>YEAR(Table2[[#This Row],[Order Date]])</f>
        <v>2018</v>
      </c>
      <c r="R113" s="18" t="str">
        <f>TEXT(Table2[[#This Row],[Order Date]],"mmm")</f>
        <v>Nov</v>
      </c>
      <c r="S113" s="18"/>
    </row>
    <row r="114" spans="1:19" x14ac:dyDescent="0.2">
      <c r="A114" s="1">
        <v>113</v>
      </c>
      <c r="B114" s="1" t="s">
        <v>315</v>
      </c>
      <c r="C114" s="2">
        <v>43407</v>
      </c>
      <c r="D114" s="1" t="s">
        <v>36</v>
      </c>
      <c r="E114" s="1" t="s">
        <v>316</v>
      </c>
      <c r="F114" s="1" t="s">
        <v>317</v>
      </c>
      <c r="G114" s="1" t="s">
        <v>318</v>
      </c>
      <c r="H114" s="1" t="s">
        <v>74</v>
      </c>
      <c r="I114" s="1" t="s">
        <v>32</v>
      </c>
      <c r="J114" s="1" t="s">
        <v>53</v>
      </c>
      <c r="K114" s="1" t="s">
        <v>320</v>
      </c>
      <c r="L114" s="17">
        <v>27.240000000000002</v>
      </c>
      <c r="M114" s="1">
        <v>6</v>
      </c>
      <c r="N114" s="1">
        <v>0</v>
      </c>
      <c r="O114" s="17">
        <v>13.3476</v>
      </c>
      <c r="P114" s="17">
        <f>('Work File (2)'!$L114*'Work File (2)'!$M114)*(1-'Work File (2)'!$N114)</f>
        <v>163.44</v>
      </c>
      <c r="Q114" s="1">
        <f>YEAR(Table2[[#This Row],[Order Date]])</f>
        <v>2018</v>
      </c>
      <c r="R114" s="18" t="str">
        <f>TEXT(Table2[[#This Row],[Order Date]],"mmm")</f>
        <v>Nov</v>
      </c>
      <c r="S114" s="18"/>
    </row>
    <row r="115" spans="1:19" x14ac:dyDescent="0.2">
      <c r="A115" s="1">
        <v>114</v>
      </c>
      <c r="B115" s="1" t="s">
        <v>321</v>
      </c>
      <c r="C115" s="2">
        <v>42607</v>
      </c>
      <c r="D115" s="1" t="s">
        <v>17</v>
      </c>
      <c r="E115" s="1" t="s">
        <v>322</v>
      </c>
      <c r="F115" s="1" t="s">
        <v>323</v>
      </c>
      <c r="G115" s="1" t="s">
        <v>324</v>
      </c>
      <c r="H115" s="1" t="s">
        <v>103</v>
      </c>
      <c r="I115" s="1" t="s">
        <v>32</v>
      </c>
      <c r="J115" s="1" t="s">
        <v>180</v>
      </c>
      <c r="K115" s="1" t="s">
        <v>325</v>
      </c>
      <c r="L115" s="17">
        <v>40.096000000000004</v>
      </c>
      <c r="M115" s="1">
        <v>14</v>
      </c>
      <c r="N115" s="1">
        <v>0.2</v>
      </c>
      <c r="O115" s="17">
        <v>14.534799999999997</v>
      </c>
      <c r="P115" s="17">
        <f>('Work File (2)'!$L115*'Work File (2)'!$M115)*(1-'Work File (2)'!$N115)</f>
        <v>449.07520000000005</v>
      </c>
      <c r="Q115" s="1">
        <f>YEAR(Table2[[#This Row],[Order Date]])</f>
        <v>2016</v>
      </c>
      <c r="R115" s="18" t="str">
        <f>TEXT(Table2[[#This Row],[Order Date]],"mmm")</f>
        <v>Aug</v>
      </c>
      <c r="S115" s="18"/>
    </row>
    <row r="116" spans="1:19" x14ac:dyDescent="0.2">
      <c r="A116" s="1">
        <v>115</v>
      </c>
      <c r="B116" s="1" t="s">
        <v>321</v>
      </c>
      <c r="C116" s="2">
        <v>42607</v>
      </c>
      <c r="D116" s="1" t="s">
        <v>17</v>
      </c>
      <c r="E116" s="1" t="s">
        <v>322</v>
      </c>
      <c r="F116" s="1" t="s">
        <v>323</v>
      </c>
      <c r="G116" s="1" t="s">
        <v>324</v>
      </c>
      <c r="H116" s="1" t="s">
        <v>103</v>
      </c>
      <c r="I116" s="1" t="s">
        <v>32</v>
      </c>
      <c r="J116" s="1" t="s">
        <v>118</v>
      </c>
      <c r="K116" s="1" t="s">
        <v>326</v>
      </c>
      <c r="L116" s="17">
        <v>4.7200000000000006</v>
      </c>
      <c r="M116" s="1">
        <v>2</v>
      </c>
      <c r="N116" s="1">
        <v>0.2</v>
      </c>
      <c r="O116" s="17">
        <v>1.6519999999999997</v>
      </c>
      <c r="P116" s="17">
        <f>('Work File (2)'!$L116*'Work File (2)'!$M116)*(1-'Work File (2)'!$N116)</f>
        <v>7.5520000000000014</v>
      </c>
      <c r="Q116" s="1">
        <f>YEAR(Table2[[#This Row],[Order Date]])</f>
        <v>2016</v>
      </c>
      <c r="R116" s="18" t="str">
        <f>TEXT(Table2[[#This Row],[Order Date]],"mmm")</f>
        <v>Aug</v>
      </c>
      <c r="S116" s="18"/>
    </row>
    <row r="117" spans="1:19" x14ac:dyDescent="0.2">
      <c r="A117" s="1">
        <v>116</v>
      </c>
      <c r="B117" s="1" t="s">
        <v>321</v>
      </c>
      <c r="C117" s="2">
        <v>42607</v>
      </c>
      <c r="D117" s="1" t="s">
        <v>17</v>
      </c>
      <c r="E117" s="1" t="s">
        <v>322</v>
      </c>
      <c r="F117" s="1" t="s">
        <v>323</v>
      </c>
      <c r="G117" s="1" t="s">
        <v>324</v>
      </c>
      <c r="H117" s="1" t="s">
        <v>103</v>
      </c>
      <c r="I117" s="1" t="s">
        <v>32</v>
      </c>
      <c r="J117" s="1" t="s">
        <v>63</v>
      </c>
      <c r="K117" s="1" t="s">
        <v>327</v>
      </c>
      <c r="L117" s="17">
        <v>23.976000000000003</v>
      </c>
      <c r="M117" s="1">
        <v>3</v>
      </c>
      <c r="N117" s="1">
        <v>0.2</v>
      </c>
      <c r="O117" s="17">
        <v>7.4924999999999988</v>
      </c>
      <c r="P117" s="17">
        <f>('Work File (2)'!$L117*'Work File (2)'!$M117)*(1-'Work File (2)'!$N117)</f>
        <v>57.542400000000015</v>
      </c>
      <c r="Q117" s="1">
        <f>YEAR(Table2[[#This Row],[Order Date]])</f>
        <v>2016</v>
      </c>
      <c r="R117" s="18" t="str">
        <f>TEXT(Table2[[#This Row],[Order Date]],"mmm")</f>
        <v>Aug</v>
      </c>
      <c r="S117" s="18"/>
    </row>
    <row r="118" spans="1:19" x14ac:dyDescent="0.2">
      <c r="A118" s="1">
        <v>117</v>
      </c>
      <c r="B118" s="1" t="s">
        <v>321</v>
      </c>
      <c r="C118" s="2">
        <v>42607</v>
      </c>
      <c r="D118" s="1" t="s">
        <v>17</v>
      </c>
      <c r="E118" s="1" t="s">
        <v>322</v>
      </c>
      <c r="F118" s="1" t="s">
        <v>323</v>
      </c>
      <c r="G118" s="1" t="s">
        <v>324</v>
      </c>
      <c r="H118" s="1" t="s">
        <v>103</v>
      </c>
      <c r="I118" s="1" t="s">
        <v>32</v>
      </c>
      <c r="J118" s="1" t="s">
        <v>118</v>
      </c>
      <c r="K118" s="1" t="s">
        <v>328</v>
      </c>
      <c r="L118" s="17">
        <v>130.464</v>
      </c>
      <c r="M118" s="1">
        <v>6</v>
      </c>
      <c r="N118" s="1">
        <v>0.2</v>
      </c>
      <c r="O118" s="17">
        <v>44.031599999999997</v>
      </c>
      <c r="P118" s="17">
        <f>('Work File (2)'!$L118*'Work File (2)'!$M118)*(1-'Work File (2)'!$N118)</f>
        <v>626.22720000000004</v>
      </c>
      <c r="Q118" s="1">
        <f>YEAR(Table2[[#This Row],[Order Date]])</f>
        <v>2016</v>
      </c>
      <c r="R118" s="18" t="str">
        <f>TEXT(Table2[[#This Row],[Order Date]],"mmm")</f>
        <v>Aug</v>
      </c>
      <c r="S118" s="18"/>
    </row>
    <row r="119" spans="1:19" x14ac:dyDescent="0.2">
      <c r="A119" s="1">
        <v>118</v>
      </c>
      <c r="B119" s="1" t="s">
        <v>329</v>
      </c>
      <c r="C119" s="2">
        <v>42796</v>
      </c>
      <c r="D119" s="1" t="s">
        <v>36</v>
      </c>
      <c r="E119" s="1" t="s">
        <v>330</v>
      </c>
      <c r="F119" s="1" t="s">
        <v>67</v>
      </c>
      <c r="G119" s="1" t="s">
        <v>68</v>
      </c>
      <c r="H119" s="1" t="s">
        <v>31</v>
      </c>
      <c r="I119" s="1" t="s">
        <v>22</v>
      </c>
      <c r="J119" s="1" t="s">
        <v>40</v>
      </c>
      <c r="K119" s="1" t="s">
        <v>331</v>
      </c>
      <c r="L119" s="17">
        <v>787.53</v>
      </c>
      <c r="M119" s="1">
        <v>3</v>
      </c>
      <c r="N119" s="1">
        <v>0</v>
      </c>
      <c r="O119" s="17">
        <v>165.38129999999995</v>
      </c>
      <c r="P119" s="17">
        <f>('Work File (2)'!$L119*'Work File (2)'!$M119)*(1-'Work File (2)'!$N119)</f>
        <v>2362.59</v>
      </c>
      <c r="Q119" s="1">
        <f>YEAR(Table2[[#This Row],[Order Date]])</f>
        <v>2017</v>
      </c>
      <c r="R119" s="18" t="str">
        <f>TEXT(Table2[[#This Row],[Order Date]],"mmm")</f>
        <v>Mar</v>
      </c>
      <c r="S119" s="18"/>
    </row>
    <row r="120" spans="1:19" x14ac:dyDescent="0.2">
      <c r="A120" s="1">
        <v>119</v>
      </c>
      <c r="B120" s="1" t="s">
        <v>332</v>
      </c>
      <c r="C120" s="2">
        <v>42830</v>
      </c>
      <c r="D120" s="1" t="s">
        <v>36</v>
      </c>
      <c r="E120" s="1" t="s">
        <v>333</v>
      </c>
      <c r="F120" s="1" t="s">
        <v>334</v>
      </c>
      <c r="G120" s="1" t="s">
        <v>222</v>
      </c>
      <c r="H120" s="1" t="s">
        <v>21</v>
      </c>
      <c r="I120" s="1" t="s">
        <v>32</v>
      </c>
      <c r="J120" s="1" t="s">
        <v>53</v>
      </c>
      <c r="K120" s="1" t="s">
        <v>335</v>
      </c>
      <c r="L120" s="17">
        <v>157.79400000000004</v>
      </c>
      <c r="M120" s="1">
        <v>1</v>
      </c>
      <c r="N120" s="1">
        <v>0.7</v>
      </c>
      <c r="O120" s="17">
        <v>-115.71559999999999</v>
      </c>
      <c r="P120" s="17">
        <f>('Work File (2)'!$L120*'Work File (2)'!$M120)*(1-'Work File (2)'!$N120)</f>
        <v>47.338200000000022</v>
      </c>
      <c r="Q120" s="1">
        <f>YEAR(Table2[[#This Row],[Order Date]])</f>
        <v>2017</v>
      </c>
      <c r="R120" s="18" t="str">
        <f>TEXT(Table2[[#This Row],[Order Date]],"mmm")</f>
        <v>Apr</v>
      </c>
      <c r="S120" s="18"/>
    </row>
    <row r="121" spans="1:19" x14ac:dyDescent="0.2">
      <c r="A121" s="1">
        <v>120</v>
      </c>
      <c r="B121" s="1" t="s">
        <v>336</v>
      </c>
      <c r="C121" s="2">
        <v>43263</v>
      </c>
      <c r="D121" s="1" t="s">
        <v>128</v>
      </c>
      <c r="E121" s="1" t="s">
        <v>337</v>
      </c>
      <c r="F121" s="1" t="s">
        <v>338</v>
      </c>
      <c r="G121" s="1" t="s">
        <v>165</v>
      </c>
      <c r="H121" s="1" t="s">
        <v>103</v>
      </c>
      <c r="I121" s="1" t="s">
        <v>22</v>
      </c>
      <c r="J121" s="1" t="s">
        <v>46</v>
      </c>
      <c r="K121" s="1" t="s">
        <v>339</v>
      </c>
      <c r="L121" s="17">
        <v>47.04</v>
      </c>
      <c r="M121" s="1">
        <v>3</v>
      </c>
      <c r="N121" s="1">
        <v>0</v>
      </c>
      <c r="O121" s="17">
        <v>18.345599999999997</v>
      </c>
      <c r="P121" s="17">
        <f>('Work File (2)'!$L121*'Work File (2)'!$M121)*(1-'Work File (2)'!$N121)</f>
        <v>141.12</v>
      </c>
      <c r="Q121" s="1">
        <f>YEAR(Table2[[#This Row],[Order Date]])</f>
        <v>2018</v>
      </c>
      <c r="R121" s="18" t="str">
        <f>TEXT(Table2[[#This Row],[Order Date]],"mmm")</f>
        <v>Jun</v>
      </c>
      <c r="S121" s="18"/>
    </row>
    <row r="122" spans="1:19" x14ac:dyDescent="0.2">
      <c r="A122" s="1">
        <v>121</v>
      </c>
      <c r="B122" s="1" t="s">
        <v>336</v>
      </c>
      <c r="C122" s="2">
        <v>43263</v>
      </c>
      <c r="D122" s="1" t="s">
        <v>128</v>
      </c>
      <c r="E122" s="1" t="s">
        <v>337</v>
      </c>
      <c r="F122" s="1" t="s">
        <v>338</v>
      </c>
      <c r="G122" s="1" t="s">
        <v>165</v>
      </c>
      <c r="H122" s="1" t="s">
        <v>103</v>
      </c>
      <c r="I122" s="1" t="s">
        <v>32</v>
      </c>
      <c r="J122" s="1" t="s">
        <v>53</v>
      </c>
      <c r="K122" s="1" t="s">
        <v>54</v>
      </c>
      <c r="L122" s="17">
        <v>30.84</v>
      </c>
      <c r="M122" s="1">
        <v>4</v>
      </c>
      <c r="N122" s="1">
        <v>0</v>
      </c>
      <c r="O122" s="17">
        <v>13.878</v>
      </c>
      <c r="P122" s="17">
        <f>('Work File (2)'!$L122*'Work File (2)'!$M122)*(1-'Work File (2)'!$N122)</f>
        <v>123.36</v>
      </c>
      <c r="Q122" s="1">
        <f>YEAR(Table2[[#This Row],[Order Date]])</f>
        <v>2018</v>
      </c>
      <c r="R122" s="18" t="str">
        <f>TEXT(Table2[[#This Row],[Order Date]],"mmm")</f>
        <v>Jun</v>
      </c>
      <c r="S122" s="18"/>
    </row>
    <row r="123" spans="1:19" x14ac:dyDescent="0.2">
      <c r="A123" s="1">
        <v>122</v>
      </c>
      <c r="B123" s="1" t="s">
        <v>336</v>
      </c>
      <c r="C123" s="2">
        <v>43263</v>
      </c>
      <c r="D123" s="1" t="s">
        <v>128</v>
      </c>
      <c r="E123" s="1" t="s">
        <v>337</v>
      </c>
      <c r="F123" s="1" t="s">
        <v>338</v>
      </c>
      <c r="G123" s="1" t="s">
        <v>165</v>
      </c>
      <c r="H123" s="1" t="s">
        <v>103</v>
      </c>
      <c r="I123" s="1" t="s">
        <v>32</v>
      </c>
      <c r="J123" s="1" t="s">
        <v>42</v>
      </c>
      <c r="K123" s="1" t="s">
        <v>340</v>
      </c>
      <c r="L123" s="17">
        <v>226.56</v>
      </c>
      <c r="M123" s="1">
        <v>6</v>
      </c>
      <c r="N123" s="1">
        <v>0</v>
      </c>
      <c r="O123" s="17">
        <v>63.436800000000005</v>
      </c>
      <c r="P123" s="17">
        <f>('Work File (2)'!$L123*'Work File (2)'!$M123)*(1-'Work File (2)'!$N123)</f>
        <v>1359.3600000000001</v>
      </c>
      <c r="Q123" s="1">
        <f>YEAR(Table2[[#This Row],[Order Date]])</f>
        <v>2018</v>
      </c>
      <c r="R123" s="18" t="str">
        <f>TEXT(Table2[[#This Row],[Order Date]],"mmm")</f>
        <v>Jun</v>
      </c>
      <c r="S123" s="18"/>
    </row>
    <row r="124" spans="1:19" x14ac:dyDescent="0.2">
      <c r="A124" s="1">
        <v>123</v>
      </c>
      <c r="B124" s="1" t="s">
        <v>336</v>
      </c>
      <c r="C124" s="2">
        <v>43263</v>
      </c>
      <c r="D124" s="1" t="s">
        <v>128</v>
      </c>
      <c r="E124" s="1" t="s">
        <v>337</v>
      </c>
      <c r="F124" s="1" t="s">
        <v>338</v>
      </c>
      <c r="G124" s="1" t="s">
        <v>165</v>
      </c>
      <c r="H124" s="1" t="s">
        <v>103</v>
      </c>
      <c r="I124" s="1" t="s">
        <v>32</v>
      </c>
      <c r="J124" s="1" t="s">
        <v>118</v>
      </c>
      <c r="K124" s="1" t="s">
        <v>341</v>
      </c>
      <c r="L124" s="17">
        <v>115.02</v>
      </c>
      <c r="M124" s="1">
        <v>9</v>
      </c>
      <c r="N124" s="1">
        <v>0</v>
      </c>
      <c r="O124" s="17">
        <v>51.758999999999993</v>
      </c>
      <c r="P124" s="17">
        <f>('Work File (2)'!$L124*'Work File (2)'!$M124)*(1-'Work File (2)'!$N124)</f>
        <v>1035.18</v>
      </c>
      <c r="Q124" s="1">
        <f>YEAR(Table2[[#This Row],[Order Date]])</f>
        <v>2018</v>
      </c>
      <c r="R124" s="18" t="str">
        <f>TEXT(Table2[[#This Row],[Order Date]],"mmm")</f>
        <v>Jun</v>
      </c>
      <c r="S124" s="18"/>
    </row>
    <row r="125" spans="1:19" x14ac:dyDescent="0.2">
      <c r="A125" s="1">
        <v>124</v>
      </c>
      <c r="B125" s="1" t="s">
        <v>336</v>
      </c>
      <c r="C125" s="2">
        <v>43263</v>
      </c>
      <c r="D125" s="1" t="s">
        <v>128</v>
      </c>
      <c r="E125" s="1" t="s">
        <v>337</v>
      </c>
      <c r="F125" s="1" t="s">
        <v>338</v>
      </c>
      <c r="G125" s="1" t="s">
        <v>165</v>
      </c>
      <c r="H125" s="1" t="s">
        <v>103</v>
      </c>
      <c r="I125" s="1" t="s">
        <v>50</v>
      </c>
      <c r="J125" s="1" t="s">
        <v>51</v>
      </c>
      <c r="K125" s="1" t="s">
        <v>342</v>
      </c>
      <c r="L125" s="17">
        <v>68.040000000000006</v>
      </c>
      <c r="M125" s="1">
        <v>7</v>
      </c>
      <c r="N125" s="1">
        <v>0</v>
      </c>
      <c r="O125" s="17">
        <v>19.731599999999997</v>
      </c>
      <c r="P125" s="17">
        <f>('Work File (2)'!$L125*'Work File (2)'!$M125)*(1-'Work File (2)'!$N125)</f>
        <v>476.28000000000003</v>
      </c>
      <c r="Q125" s="1">
        <f>YEAR(Table2[[#This Row],[Order Date]])</f>
        <v>2018</v>
      </c>
      <c r="R125" s="18" t="str">
        <f>TEXT(Table2[[#This Row],[Order Date]],"mmm")</f>
        <v>Jun</v>
      </c>
      <c r="S125" s="18"/>
    </row>
    <row r="126" spans="1:19" x14ac:dyDescent="0.2">
      <c r="A126" s="1">
        <v>125</v>
      </c>
      <c r="B126" s="1" t="s">
        <v>343</v>
      </c>
      <c r="C126" s="2">
        <v>42730</v>
      </c>
      <c r="D126" s="1" t="s">
        <v>17</v>
      </c>
      <c r="E126" s="1" t="s">
        <v>344</v>
      </c>
      <c r="F126" s="1" t="s">
        <v>125</v>
      </c>
      <c r="G126" s="1" t="s">
        <v>73</v>
      </c>
      <c r="H126" s="1" t="s">
        <v>74</v>
      </c>
      <c r="I126" s="1" t="s">
        <v>22</v>
      </c>
      <c r="J126" s="1" t="s">
        <v>25</v>
      </c>
      <c r="K126" s="1" t="s">
        <v>345</v>
      </c>
      <c r="L126" s="17">
        <v>600.55799999999999</v>
      </c>
      <c r="M126" s="1">
        <v>3</v>
      </c>
      <c r="N126" s="1">
        <v>0.3</v>
      </c>
      <c r="O126" s="17">
        <v>-8.5794000000000779</v>
      </c>
      <c r="P126" s="17">
        <f>('Work File (2)'!$L126*'Work File (2)'!$M126)*(1-'Work File (2)'!$N126)</f>
        <v>1261.1717999999998</v>
      </c>
      <c r="Q126" s="1">
        <f>YEAR(Table2[[#This Row],[Order Date]])</f>
        <v>2016</v>
      </c>
      <c r="R126" s="18" t="str">
        <f>TEXT(Table2[[#This Row],[Order Date]],"mmm")</f>
        <v>Dec</v>
      </c>
      <c r="S126" s="18"/>
    </row>
    <row r="127" spans="1:19" x14ac:dyDescent="0.2">
      <c r="A127" s="1">
        <v>126</v>
      </c>
      <c r="B127" s="1" t="s">
        <v>346</v>
      </c>
      <c r="C127" s="2">
        <v>42633</v>
      </c>
      <c r="D127" s="1" t="s">
        <v>36</v>
      </c>
      <c r="E127" s="1" t="s">
        <v>347</v>
      </c>
      <c r="F127" s="1" t="s">
        <v>348</v>
      </c>
      <c r="G127" s="1" t="s">
        <v>142</v>
      </c>
      <c r="H127" s="1" t="s">
        <v>74</v>
      </c>
      <c r="I127" s="1" t="s">
        <v>22</v>
      </c>
      <c r="J127" s="1" t="s">
        <v>40</v>
      </c>
      <c r="K127" s="1" t="s">
        <v>349</v>
      </c>
      <c r="L127" s="17">
        <v>617.70000000000005</v>
      </c>
      <c r="M127" s="1">
        <v>6</v>
      </c>
      <c r="N127" s="1">
        <v>0.5</v>
      </c>
      <c r="O127" s="17">
        <v>-407.68200000000013</v>
      </c>
      <c r="P127" s="17">
        <f>('Work File (2)'!$L127*'Work File (2)'!$M127)*(1-'Work File (2)'!$N127)</f>
        <v>1853.1000000000001</v>
      </c>
      <c r="Q127" s="1">
        <f>YEAR(Table2[[#This Row],[Order Date]])</f>
        <v>2016</v>
      </c>
      <c r="R127" s="18" t="str">
        <f>TEXT(Table2[[#This Row],[Order Date]],"mmm")</f>
        <v>Sep</v>
      </c>
      <c r="S127" s="18"/>
    </row>
    <row r="128" spans="1:19" x14ac:dyDescent="0.2">
      <c r="A128" s="1">
        <v>127</v>
      </c>
      <c r="B128" s="1" t="s">
        <v>350</v>
      </c>
      <c r="C128" s="2">
        <v>43774</v>
      </c>
      <c r="D128" s="1" t="s">
        <v>36</v>
      </c>
      <c r="E128" s="1" t="s">
        <v>351</v>
      </c>
      <c r="F128" s="1" t="s">
        <v>352</v>
      </c>
      <c r="G128" s="1" t="s">
        <v>205</v>
      </c>
      <c r="H128" s="1" t="s">
        <v>31</v>
      </c>
      <c r="I128" s="1" t="s">
        <v>32</v>
      </c>
      <c r="J128" s="1" t="s">
        <v>53</v>
      </c>
      <c r="K128" s="1" t="s">
        <v>353</v>
      </c>
      <c r="L128" s="17">
        <v>2.3880000000000003</v>
      </c>
      <c r="M128" s="1">
        <v>2</v>
      </c>
      <c r="N128" s="1">
        <v>0.7</v>
      </c>
      <c r="O128" s="17">
        <v>-1.8308</v>
      </c>
      <c r="P128" s="17">
        <f>('Work File (2)'!$L128*'Work File (2)'!$M128)*(1-'Work File (2)'!$N128)</f>
        <v>1.4328000000000005</v>
      </c>
      <c r="Q128" s="1">
        <f>YEAR(Table2[[#This Row],[Order Date]])</f>
        <v>2019</v>
      </c>
      <c r="R128" s="18" t="str">
        <f>TEXT(Table2[[#This Row],[Order Date]],"mmm")</f>
        <v>Nov</v>
      </c>
      <c r="S128" s="18"/>
    </row>
    <row r="129" spans="1:19" x14ac:dyDescent="0.2">
      <c r="A129" s="1">
        <v>128</v>
      </c>
      <c r="B129" s="1" t="s">
        <v>350</v>
      </c>
      <c r="C129" s="2">
        <v>43774</v>
      </c>
      <c r="D129" s="1" t="s">
        <v>36</v>
      </c>
      <c r="E129" s="1" t="s">
        <v>351</v>
      </c>
      <c r="F129" s="1" t="s">
        <v>352</v>
      </c>
      <c r="G129" s="1" t="s">
        <v>205</v>
      </c>
      <c r="H129" s="1" t="s">
        <v>31</v>
      </c>
      <c r="I129" s="1" t="s">
        <v>32</v>
      </c>
      <c r="J129" s="1" t="s">
        <v>42</v>
      </c>
      <c r="K129" s="1" t="s">
        <v>354</v>
      </c>
      <c r="L129" s="17">
        <v>243.99200000000002</v>
      </c>
      <c r="M129" s="1">
        <v>7</v>
      </c>
      <c r="N129" s="1">
        <v>0.2</v>
      </c>
      <c r="O129" s="17">
        <v>30.498999999999981</v>
      </c>
      <c r="P129" s="17">
        <f>('Work File (2)'!$L129*'Work File (2)'!$M129)*(1-'Work File (2)'!$N129)</f>
        <v>1366.3552000000002</v>
      </c>
      <c r="Q129" s="1">
        <f>YEAR(Table2[[#This Row],[Order Date]])</f>
        <v>2019</v>
      </c>
      <c r="R129" s="18" t="str">
        <f>TEXT(Table2[[#This Row],[Order Date]],"mmm")</f>
        <v>Nov</v>
      </c>
      <c r="S129" s="18"/>
    </row>
    <row r="130" spans="1:19" x14ac:dyDescent="0.2">
      <c r="A130" s="1">
        <v>129</v>
      </c>
      <c r="B130" s="1" t="s">
        <v>355</v>
      </c>
      <c r="C130" s="2">
        <v>43410</v>
      </c>
      <c r="D130" s="1" t="s">
        <v>17</v>
      </c>
      <c r="E130" s="1" t="s">
        <v>356</v>
      </c>
      <c r="F130" s="1" t="s">
        <v>29</v>
      </c>
      <c r="G130" s="1" t="s">
        <v>30</v>
      </c>
      <c r="H130" s="1" t="s">
        <v>31</v>
      </c>
      <c r="I130" s="1" t="s">
        <v>22</v>
      </c>
      <c r="J130" s="1" t="s">
        <v>25</v>
      </c>
      <c r="K130" s="1" t="s">
        <v>357</v>
      </c>
      <c r="L130" s="17">
        <v>81.424000000000007</v>
      </c>
      <c r="M130" s="1">
        <v>2</v>
      </c>
      <c r="N130" s="1">
        <v>0.2</v>
      </c>
      <c r="O130" s="17">
        <v>-9.1601999999999961</v>
      </c>
      <c r="P130" s="17">
        <f>('Work File (2)'!$L130*'Work File (2)'!$M130)*(1-'Work File (2)'!$N130)</f>
        <v>130.2784</v>
      </c>
      <c r="Q130" s="1">
        <f>YEAR(Table2[[#This Row],[Order Date]])</f>
        <v>2018</v>
      </c>
      <c r="R130" s="18" t="str">
        <f>TEXT(Table2[[#This Row],[Order Date]],"mmm")</f>
        <v>Nov</v>
      </c>
      <c r="S130" s="18"/>
    </row>
    <row r="131" spans="1:19" x14ac:dyDescent="0.2">
      <c r="A131" s="1">
        <v>130</v>
      </c>
      <c r="B131" s="1" t="s">
        <v>355</v>
      </c>
      <c r="C131" s="2">
        <v>43410</v>
      </c>
      <c r="D131" s="1" t="s">
        <v>17</v>
      </c>
      <c r="E131" s="1" t="s">
        <v>356</v>
      </c>
      <c r="F131" s="1" t="s">
        <v>29</v>
      </c>
      <c r="G131" s="1" t="s">
        <v>30</v>
      </c>
      <c r="H131" s="1" t="s">
        <v>31</v>
      </c>
      <c r="I131" s="1" t="s">
        <v>22</v>
      </c>
      <c r="J131" s="1" t="s">
        <v>46</v>
      </c>
      <c r="K131" s="1" t="s">
        <v>358</v>
      </c>
      <c r="L131" s="17">
        <v>238.56</v>
      </c>
      <c r="M131" s="1">
        <v>3</v>
      </c>
      <c r="N131" s="1">
        <v>0</v>
      </c>
      <c r="O131" s="17">
        <v>26.241599999999977</v>
      </c>
      <c r="P131" s="17">
        <f>('Work File (2)'!$L131*'Work File (2)'!$M131)*(1-'Work File (2)'!$N131)</f>
        <v>715.68000000000006</v>
      </c>
      <c r="Q131" s="1">
        <f>YEAR(Table2[[#This Row],[Order Date]])</f>
        <v>2018</v>
      </c>
      <c r="R131" s="18" t="str">
        <f>TEXT(Table2[[#This Row],[Order Date]],"mmm")</f>
        <v>Nov</v>
      </c>
      <c r="S131" s="18"/>
    </row>
    <row r="132" spans="1:19" x14ac:dyDescent="0.2">
      <c r="A132" s="1">
        <v>131</v>
      </c>
      <c r="B132" s="1" t="s">
        <v>359</v>
      </c>
      <c r="C132" s="2">
        <v>43498</v>
      </c>
      <c r="D132" s="1" t="s">
        <v>128</v>
      </c>
      <c r="E132" s="1" t="s">
        <v>360</v>
      </c>
      <c r="F132" s="1" t="s">
        <v>323</v>
      </c>
      <c r="G132" s="1" t="s">
        <v>324</v>
      </c>
      <c r="H132" s="1" t="s">
        <v>103</v>
      </c>
      <c r="I132" s="1" t="s">
        <v>50</v>
      </c>
      <c r="J132" s="1" t="s">
        <v>51</v>
      </c>
      <c r="K132" s="1" t="s">
        <v>361</v>
      </c>
      <c r="L132" s="17">
        <v>59.969999999999992</v>
      </c>
      <c r="M132" s="1">
        <v>5</v>
      </c>
      <c r="N132" s="1">
        <v>0.4</v>
      </c>
      <c r="O132" s="17">
        <v>-11.993999999999993</v>
      </c>
      <c r="P132" s="17">
        <f>('Work File (2)'!$L132*'Work File (2)'!$M132)*(1-'Work File (2)'!$N132)</f>
        <v>179.90999999999997</v>
      </c>
      <c r="Q132" s="1">
        <f>YEAR(Table2[[#This Row],[Order Date]])</f>
        <v>2019</v>
      </c>
      <c r="R132" s="18" t="str">
        <f>TEXT(Table2[[#This Row],[Order Date]],"mmm")</f>
        <v>Feb</v>
      </c>
      <c r="S132" s="18"/>
    </row>
    <row r="133" spans="1:19" x14ac:dyDescent="0.2">
      <c r="A133" s="1">
        <v>132</v>
      </c>
      <c r="B133" s="1" t="s">
        <v>359</v>
      </c>
      <c r="C133" s="2">
        <v>43498</v>
      </c>
      <c r="D133" s="1" t="s">
        <v>128</v>
      </c>
      <c r="E133" s="1" t="s">
        <v>360</v>
      </c>
      <c r="F133" s="1" t="s">
        <v>323</v>
      </c>
      <c r="G133" s="1" t="s">
        <v>324</v>
      </c>
      <c r="H133" s="1" t="s">
        <v>103</v>
      </c>
      <c r="I133" s="1" t="s">
        <v>32</v>
      </c>
      <c r="J133" s="1" t="s">
        <v>63</v>
      </c>
      <c r="K133" s="1" t="s">
        <v>362</v>
      </c>
      <c r="L133" s="17">
        <v>78.304000000000002</v>
      </c>
      <c r="M133" s="1">
        <v>2</v>
      </c>
      <c r="N133" s="1">
        <v>0.2</v>
      </c>
      <c r="O133" s="17">
        <v>29.363999999999997</v>
      </c>
      <c r="P133" s="17">
        <f>('Work File (2)'!$L133*'Work File (2)'!$M133)*(1-'Work File (2)'!$N133)</f>
        <v>125.28640000000001</v>
      </c>
      <c r="Q133" s="1">
        <f>YEAR(Table2[[#This Row],[Order Date]])</f>
        <v>2019</v>
      </c>
      <c r="R133" s="18" t="str">
        <f>TEXT(Table2[[#This Row],[Order Date]],"mmm")</f>
        <v>Feb</v>
      </c>
      <c r="S133" s="18"/>
    </row>
    <row r="134" spans="1:19" x14ac:dyDescent="0.2">
      <c r="A134" s="1">
        <v>133</v>
      </c>
      <c r="B134" s="1" t="s">
        <v>359</v>
      </c>
      <c r="C134" s="2">
        <v>43498</v>
      </c>
      <c r="D134" s="1" t="s">
        <v>128</v>
      </c>
      <c r="E134" s="1" t="s">
        <v>360</v>
      </c>
      <c r="F134" s="1" t="s">
        <v>323</v>
      </c>
      <c r="G134" s="1" t="s">
        <v>324</v>
      </c>
      <c r="H134" s="1" t="s">
        <v>103</v>
      </c>
      <c r="I134" s="1" t="s">
        <v>32</v>
      </c>
      <c r="J134" s="1" t="s">
        <v>180</v>
      </c>
      <c r="K134" s="1" t="s">
        <v>363</v>
      </c>
      <c r="L134" s="17">
        <v>21.456</v>
      </c>
      <c r="M134" s="1">
        <v>9</v>
      </c>
      <c r="N134" s="1">
        <v>0.2</v>
      </c>
      <c r="O134" s="17">
        <v>6.9731999999999976</v>
      </c>
      <c r="P134" s="17">
        <f>('Work File (2)'!$L134*'Work File (2)'!$M134)*(1-'Work File (2)'!$N134)</f>
        <v>154.48320000000001</v>
      </c>
      <c r="Q134" s="1">
        <f>YEAR(Table2[[#This Row],[Order Date]])</f>
        <v>2019</v>
      </c>
      <c r="R134" s="18" t="str">
        <f>TEXT(Table2[[#This Row],[Order Date]],"mmm")</f>
        <v>Feb</v>
      </c>
      <c r="S134" s="18"/>
    </row>
    <row r="135" spans="1:19" x14ac:dyDescent="0.2">
      <c r="A135" s="1">
        <v>134</v>
      </c>
      <c r="B135" s="1" t="s">
        <v>364</v>
      </c>
      <c r="C135" s="2">
        <v>43386</v>
      </c>
      <c r="D135" s="1" t="s">
        <v>36</v>
      </c>
      <c r="E135" s="1" t="s">
        <v>365</v>
      </c>
      <c r="F135" s="1" t="s">
        <v>366</v>
      </c>
      <c r="G135" s="1" t="s">
        <v>30</v>
      </c>
      <c r="H135" s="1" t="s">
        <v>31</v>
      </c>
      <c r="I135" s="1" t="s">
        <v>32</v>
      </c>
      <c r="J135" s="1" t="s">
        <v>63</v>
      </c>
      <c r="K135" s="1" t="s">
        <v>367</v>
      </c>
      <c r="L135" s="17">
        <v>20.04</v>
      </c>
      <c r="M135" s="1">
        <v>3</v>
      </c>
      <c r="N135" s="1">
        <v>0</v>
      </c>
      <c r="O135" s="17">
        <v>9.6191999999999993</v>
      </c>
      <c r="P135" s="17">
        <f>('Work File (2)'!$L135*'Work File (2)'!$M135)*(1-'Work File (2)'!$N135)</f>
        <v>60.12</v>
      </c>
      <c r="Q135" s="1">
        <f>YEAR(Table2[[#This Row],[Order Date]])</f>
        <v>2018</v>
      </c>
      <c r="R135" s="18" t="str">
        <f>TEXT(Table2[[#This Row],[Order Date]],"mmm")</f>
        <v>Oct</v>
      </c>
      <c r="S135" s="18"/>
    </row>
    <row r="136" spans="1:19" x14ac:dyDescent="0.2">
      <c r="A136" s="1">
        <v>135</v>
      </c>
      <c r="B136" s="1" t="s">
        <v>364</v>
      </c>
      <c r="C136" s="2">
        <v>43386</v>
      </c>
      <c r="D136" s="1" t="s">
        <v>36</v>
      </c>
      <c r="E136" s="1" t="s">
        <v>365</v>
      </c>
      <c r="F136" s="1" t="s">
        <v>366</v>
      </c>
      <c r="G136" s="1" t="s">
        <v>30</v>
      </c>
      <c r="H136" s="1" t="s">
        <v>31</v>
      </c>
      <c r="I136" s="1" t="s">
        <v>32</v>
      </c>
      <c r="J136" s="1" t="s">
        <v>63</v>
      </c>
      <c r="K136" s="1" t="s">
        <v>368</v>
      </c>
      <c r="L136" s="17">
        <v>35.44</v>
      </c>
      <c r="M136" s="1">
        <v>1</v>
      </c>
      <c r="N136" s="1">
        <v>0</v>
      </c>
      <c r="O136" s="17">
        <v>16.656799999999997</v>
      </c>
      <c r="P136" s="17">
        <f>('Work File (2)'!$L136*'Work File (2)'!$M136)*(1-'Work File (2)'!$N136)</f>
        <v>35.44</v>
      </c>
      <c r="Q136" s="1">
        <f>YEAR(Table2[[#This Row],[Order Date]])</f>
        <v>2018</v>
      </c>
      <c r="R136" s="18" t="str">
        <f>TEXT(Table2[[#This Row],[Order Date]],"mmm")</f>
        <v>Oct</v>
      </c>
      <c r="S136" s="18"/>
    </row>
    <row r="137" spans="1:19" x14ac:dyDescent="0.2">
      <c r="A137" s="1">
        <v>136</v>
      </c>
      <c r="B137" s="1" t="s">
        <v>364</v>
      </c>
      <c r="C137" s="2">
        <v>43386</v>
      </c>
      <c r="D137" s="1" t="s">
        <v>36</v>
      </c>
      <c r="E137" s="1" t="s">
        <v>365</v>
      </c>
      <c r="F137" s="1" t="s">
        <v>366</v>
      </c>
      <c r="G137" s="1" t="s">
        <v>30</v>
      </c>
      <c r="H137" s="1" t="s">
        <v>31</v>
      </c>
      <c r="I137" s="1" t="s">
        <v>32</v>
      </c>
      <c r="J137" s="1" t="s">
        <v>48</v>
      </c>
      <c r="K137" s="1" t="s">
        <v>369</v>
      </c>
      <c r="L137" s="17">
        <v>11.52</v>
      </c>
      <c r="M137" s="1">
        <v>4</v>
      </c>
      <c r="N137" s="1">
        <v>0</v>
      </c>
      <c r="O137" s="17">
        <v>3.4559999999999995</v>
      </c>
      <c r="P137" s="17">
        <f>('Work File (2)'!$L137*'Work File (2)'!$M137)*(1-'Work File (2)'!$N137)</f>
        <v>46.08</v>
      </c>
      <c r="Q137" s="1">
        <f>YEAR(Table2[[#This Row],[Order Date]])</f>
        <v>2018</v>
      </c>
      <c r="R137" s="18" t="str">
        <f>TEXT(Table2[[#This Row],[Order Date]],"mmm")</f>
        <v>Oct</v>
      </c>
      <c r="S137" s="18"/>
    </row>
    <row r="138" spans="1:19" x14ac:dyDescent="0.2">
      <c r="A138" s="1">
        <v>137</v>
      </c>
      <c r="B138" s="1" t="s">
        <v>364</v>
      </c>
      <c r="C138" s="2">
        <v>43386</v>
      </c>
      <c r="D138" s="1" t="s">
        <v>36</v>
      </c>
      <c r="E138" s="1" t="s">
        <v>365</v>
      </c>
      <c r="F138" s="1" t="s">
        <v>366</v>
      </c>
      <c r="G138" s="1" t="s">
        <v>30</v>
      </c>
      <c r="H138" s="1" t="s">
        <v>31</v>
      </c>
      <c r="I138" s="1" t="s">
        <v>32</v>
      </c>
      <c r="J138" s="1" t="s">
        <v>180</v>
      </c>
      <c r="K138" s="1" t="s">
        <v>370</v>
      </c>
      <c r="L138" s="17">
        <v>4.0199999999999996</v>
      </c>
      <c r="M138" s="1">
        <v>2</v>
      </c>
      <c r="N138" s="1">
        <v>0</v>
      </c>
      <c r="O138" s="17">
        <v>1.9697999999999998</v>
      </c>
      <c r="P138" s="17">
        <f>('Work File (2)'!$L138*'Work File (2)'!$M138)*(1-'Work File (2)'!$N138)</f>
        <v>8.0399999999999991</v>
      </c>
      <c r="Q138" s="1">
        <f>YEAR(Table2[[#This Row],[Order Date]])</f>
        <v>2018</v>
      </c>
      <c r="R138" s="18" t="str">
        <f>TEXT(Table2[[#This Row],[Order Date]],"mmm")</f>
        <v>Oct</v>
      </c>
      <c r="S138" s="18"/>
    </row>
    <row r="139" spans="1:19" x14ac:dyDescent="0.2">
      <c r="A139" s="1">
        <v>138</v>
      </c>
      <c r="B139" s="1" t="s">
        <v>364</v>
      </c>
      <c r="C139" s="2">
        <v>43386</v>
      </c>
      <c r="D139" s="1" t="s">
        <v>36</v>
      </c>
      <c r="E139" s="1" t="s">
        <v>365</v>
      </c>
      <c r="F139" s="1" t="s">
        <v>366</v>
      </c>
      <c r="G139" s="1" t="s">
        <v>30</v>
      </c>
      <c r="H139" s="1" t="s">
        <v>31</v>
      </c>
      <c r="I139" s="1" t="s">
        <v>32</v>
      </c>
      <c r="J139" s="1" t="s">
        <v>53</v>
      </c>
      <c r="K139" s="1" t="s">
        <v>371</v>
      </c>
      <c r="L139" s="17">
        <v>76.176000000000002</v>
      </c>
      <c r="M139" s="1">
        <v>3</v>
      </c>
      <c r="N139" s="1">
        <v>0.2</v>
      </c>
      <c r="O139" s="17">
        <v>26.661599999999996</v>
      </c>
      <c r="P139" s="17">
        <f>('Work File (2)'!$L139*'Work File (2)'!$M139)*(1-'Work File (2)'!$N139)</f>
        <v>182.82240000000002</v>
      </c>
      <c r="Q139" s="1">
        <f>YEAR(Table2[[#This Row],[Order Date]])</f>
        <v>2018</v>
      </c>
      <c r="R139" s="18" t="str">
        <f>TEXT(Table2[[#This Row],[Order Date]],"mmm")</f>
        <v>Oct</v>
      </c>
      <c r="S139" s="18"/>
    </row>
    <row r="140" spans="1:19" x14ac:dyDescent="0.2">
      <c r="A140" s="1">
        <v>139</v>
      </c>
      <c r="B140" s="1" t="s">
        <v>364</v>
      </c>
      <c r="C140" s="2">
        <v>43386</v>
      </c>
      <c r="D140" s="1" t="s">
        <v>36</v>
      </c>
      <c r="E140" s="1" t="s">
        <v>365</v>
      </c>
      <c r="F140" s="1" t="s">
        <v>366</v>
      </c>
      <c r="G140" s="1" t="s">
        <v>30</v>
      </c>
      <c r="H140" s="1" t="s">
        <v>31</v>
      </c>
      <c r="I140" s="1" t="s">
        <v>32</v>
      </c>
      <c r="J140" s="1" t="s">
        <v>372</v>
      </c>
      <c r="K140" s="1" t="s">
        <v>373</v>
      </c>
      <c r="L140" s="17">
        <v>65.88</v>
      </c>
      <c r="M140" s="1">
        <v>6</v>
      </c>
      <c r="N140" s="1">
        <v>0</v>
      </c>
      <c r="O140" s="17">
        <v>18.446400000000004</v>
      </c>
      <c r="P140" s="17">
        <f>('Work File (2)'!$L140*'Work File (2)'!$M140)*(1-'Work File (2)'!$N140)</f>
        <v>395.28</v>
      </c>
      <c r="Q140" s="1">
        <f>YEAR(Table2[[#This Row],[Order Date]])</f>
        <v>2018</v>
      </c>
      <c r="R140" s="18" t="str">
        <f>TEXT(Table2[[#This Row],[Order Date]],"mmm")</f>
        <v>Oct</v>
      </c>
      <c r="S140" s="18"/>
    </row>
    <row r="141" spans="1:19" x14ac:dyDescent="0.2">
      <c r="A141" s="1">
        <v>140</v>
      </c>
      <c r="B141" s="1" t="s">
        <v>364</v>
      </c>
      <c r="C141" s="2">
        <v>43386</v>
      </c>
      <c r="D141" s="1" t="s">
        <v>36</v>
      </c>
      <c r="E141" s="1" t="s">
        <v>365</v>
      </c>
      <c r="F141" s="1" t="s">
        <v>366</v>
      </c>
      <c r="G141" s="1" t="s">
        <v>30</v>
      </c>
      <c r="H141" s="1" t="s">
        <v>31</v>
      </c>
      <c r="I141" s="1" t="s">
        <v>22</v>
      </c>
      <c r="J141" s="1" t="s">
        <v>46</v>
      </c>
      <c r="K141" s="1" t="s">
        <v>174</v>
      </c>
      <c r="L141" s="17">
        <v>43.120000000000005</v>
      </c>
      <c r="M141" s="1">
        <v>14</v>
      </c>
      <c r="N141" s="1">
        <v>0</v>
      </c>
      <c r="O141" s="17">
        <v>20.697599999999998</v>
      </c>
      <c r="P141" s="17">
        <f>('Work File (2)'!$L141*'Work File (2)'!$M141)*(1-'Work File (2)'!$N141)</f>
        <v>603.68000000000006</v>
      </c>
      <c r="Q141" s="1">
        <f>YEAR(Table2[[#This Row],[Order Date]])</f>
        <v>2018</v>
      </c>
      <c r="R141" s="18" t="str">
        <f>TEXT(Table2[[#This Row],[Order Date]],"mmm")</f>
        <v>Oct</v>
      </c>
      <c r="S141" s="18"/>
    </row>
    <row r="142" spans="1:19" x14ac:dyDescent="0.2">
      <c r="A142" s="1">
        <v>141</v>
      </c>
      <c r="B142" s="1" t="s">
        <v>374</v>
      </c>
      <c r="C142" s="2">
        <v>43348</v>
      </c>
      <c r="D142" s="1" t="s">
        <v>17</v>
      </c>
      <c r="E142" s="1" t="s">
        <v>375</v>
      </c>
      <c r="F142" s="1" t="s">
        <v>101</v>
      </c>
      <c r="G142" s="1" t="s">
        <v>102</v>
      </c>
      <c r="H142" s="1" t="s">
        <v>103</v>
      </c>
      <c r="I142" s="1" t="s">
        <v>22</v>
      </c>
      <c r="J142" s="1" t="s">
        <v>46</v>
      </c>
      <c r="K142" s="1" t="s">
        <v>117</v>
      </c>
      <c r="L142" s="17">
        <v>82.800000000000011</v>
      </c>
      <c r="M142" s="1">
        <v>2</v>
      </c>
      <c r="N142" s="1">
        <v>0.2</v>
      </c>
      <c r="O142" s="17">
        <v>10.349999999999994</v>
      </c>
      <c r="P142" s="17">
        <f>('Work File (2)'!$L142*'Work File (2)'!$M142)*(1-'Work File (2)'!$N142)</f>
        <v>132.48000000000002</v>
      </c>
      <c r="Q142" s="1">
        <f>YEAR(Table2[[#This Row],[Order Date]])</f>
        <v>2018</v>
      </c>
      <c r="R142" s="18" t="str">
        <f>TEXT(Table2[[#This Row],[Order Date]],"mmm")</f>
        <v>Sep</v>
      </c>
      <c r="S142" s="18"/>
    </row>
    <row r="143" spans="1:19" x14ac:dyDescent="0.2">
      <c r="A143" s="1">
        <v>142</v>
      </c>
      <c r="B143" s="1" t="s">
        <v>376</v>
      </c>
      <c r="C143" s="2">
        <v>43726</v>
      </c>
      <c r="D143" s="1" t="s">
        <v>36</v>
      </c>
      <c r="E143" s="1" t="s">
        <v>377</v>
      </c>
      <c r="F143" s="1" t="s">
        <v>89</v>
      </c>
      <c r="G143" s="1" t="s">
        <v>30</v>
      </c>
      <c r="H143" s="1" t="s">
        <v>31</v>
      </c>
      <c r="I143" s="1" t="s">
        <v>32</v>
      </c>
      <c r="J143" s="1" t="s">
        <v>48</v>
      </c>
      <c r="K143" s="1" t="s">
        <v>378</v>
      </c>
      <c r="L143" s="17">
        <v>8.82</v>
      </c>
      <c r="M143" s="1">
        <v>3</v>
      </c>
      <c r="N143" s="1">
        <v>0</v>
      </c>
      <c r="O143" s="17">
        <v>2.3814000000000002</v>
      </c>
      <c r="P143" s="17">
        <f>('Work File (2)'!$L143*'Work File (2)'!$M143)*(1-'Work File (2)'!$N143)</f>
        <v>26.46</v>
      </c>
      <c r="Q143" s="1">
        <f>YEAR(Table2[[#This Row],[Order Date]])</f>
        <v>2019</v>
      </c>
      <c r="R143" s="18" t="str">
        <f>TEXT(Table2[[#This Row],[Order Date]],"mmm")</f>
        <v>Sep</v>
      </c>
      <c r="S143" s="18"/>
    </row>
    <row r="144" spans="1:19" x14ac:dyDescent="0.2">
      <c r="A144" s="1">
        <v>143</v>
      </c>
      <c r="B144" s="1" t="s">
        <v>376</v>
      </c>
      <c r="C144" s="2">
        <v>43726</v>
      </c>
      <c r="D144" s="1" t="s">
        <v>36</v>
      </c>
      <c r="E144" s="1" t="s">
        <v>377</v>
      </c>
      <c r="F144" s="1" t="s">
        <v>89</v>
      </c>
      <c r="G144" s="1" t="s">
        <v>30</v>
      </c>
      <c r="H144" s="1" t="s">
        <v>31</v>
      </c>
      <c r="I144" s="1" t="s">
        <v>32</v>
      </c>
      <c r="J144" s="1" t="s">
        <v>118</v>
      </c>
      <c r="K144" s="1" t="s">
        <v>379</v>
      </c>
      <c r="L144" s="17">
        <v>10.86</v>
      </c>
      <c r="M144" s="1">
        <v>3</v>
      </c>
      <c r="N144" s="1">
        <v>0</v>
      </c>
      <c r="O144" s="17">
        <v>5.1042000000000005</v>
      </c>
      <c r="P144" s="17">
        <f>('Work File (2)'!$L144*'Work File (2)'!$M144)*(1-'Work File (2)'!$N144)</f>
        <v>32.58</v>
      </c>
      <c r="Q144" s="1">
        <f>YEAR(Table2[[#This Row],[Order Date]])</f>
        <v>2019</v>
      </c>
      <c r="R144" s="18" t="str">
        <f>TEXT(Table2[[#This Row],[Order Date]],"mmm")</f>
        <v>Sep</v>
      </c>
      <c r="S144" s="18"/>
    </row>
    <row r="145" spans="1:19" x14ac:dyDescent="0.2">
      <c r="A145" s="1">
        <v>144</v>
      </c>
      <c r="B145" s="1" t="s">
        <v>376</v>
      </c>
      <c r="C145" s="2">
        <v>43726</v>
      </c>
      <c r="D145" s="1" t="s">
        <v>36</v>
      </c>
      <c r="E145" s="1" t="s">
        <v>377</v>
      </c>
      <c r="F145" s="1" t="s">
        <v>89</v>
      </c>
      <c r="G145" s="1" t="s">
        <v>30</v>
      </c>
      <c r="H145" s="1" t="s">
        <v>31</v>
      </c>
      <c r="I145" s="1" t="s">
        <v>32</v>
      </c>
      <c r="J145" s="1" t="s">
        <v>63</v>
      </c>
      <c r="K145" s="1" t="s">
        <v>380</v>
      </c>
      <c r="L145" s="17">
        <v>143.69999999999999</v>
      </c>
      <c r="M145" s="1">
        <v>3</v>
      </c>
      <c r="N145" s="1">
        <v>0</v>
      </c>
      <c r="O145" s="17">
        <v>68.975999999999999</v>
      </c>
      <c r="P145" s="17">
        <f>('Work File (2)'!$L145*'Work File (2)'!$M145)*(1-'Work File (2)'!$N145)</f>
        <v>431.09999999999997</v>
      </c>
      <c r="Q145" s="1">
        <f>YEAR(Table2[[#This Row],[Order Date]])</f>
        <v>2019</v>
      </c>
      <c r="R145" s="18" t="str">
        <f>TEXT(Table2[[#This Row],[Order Date]],"mmm")</f>
        <v>Sep</v>
      </c>
      <c r="S145" s="18"/>
    </row>
    <row r="146" spans="1:19" x14ac:dyDescent="0.2">
      <c r="A146" s="1">
        <v>145</v>
      </c>
      <c r="B146" s="1" t="s">
        <v>381</v>
      </c>
      <c r="C146" s="2">
        <v>43821</v>
      </c>
      <c r="D146" s="1" t="s">
        <v>36</v>
      </c>
      <c r="E146" s="1" t="s">
        <v>382</v>
      </c>
      <c r="F146" s="1" t="s">
        <v>383</v>
      </c>
      <c r="G146" s="1" t="s">
        <v>384</v>
      </c>
      <c r="H146" s="1" t="s">
        <v>74</v>
      </c>
      <c r="I146" s="1" t="s">
        <v>32</v>
      </c>
      <c r="J146" s="1" t="s">
        <v>55</v>
      </c>
      <c r="K146" s="1" t="s">
        <v>385</v>
      </c>
      <c r="L146" s="17">
        <v>839.43000000000006</v>
      </c>
      <c r="M146" s="1">
        <v>3</v>
      </c>
      <c r="N146" s="1">
        <v>0</v>
      </c>
      <c r="O146" s="17">
        <v>218.25179999999997</v>
      </c>
      <c r="P146" s="17">
        <f>('Work File (2)'!$L146*'Work File (2)'!$M146)*(1-'Work File (2)'!$N146)</f>
        <v>2518.29</v>
      </c>
      <c r="Q146" s="1">
        <f>YEAR(Table2[[#This Row],[Order Date]])</f>
        <v>2019</v>
      </c>
      <c r="R146" s="18" t="str">
        <f>TEXT(Table2[[#This Row],[Order Date]],"mmm")</f>
        <v>Dec</v>
      </c>
      <c r="S146" s="18"/>
    </row>
    <row r="147" spans="1:19" x14ac:dyDescent="0.2">
      <c r="A147" s="1">
        <v>146</v>
      </c>
      <c r="B147" s="1" t="s">
        <v>386</v>
      </c>
      <c r="C147" s="2">
        <v>42985</v>
      </c>
      <c r="D147" s="1" t="s">
        <v>36</v>
      </c>
      <c r="E147" s="1" t="s">
        <v>387</v>
      </c>
      <c r="F147" s="1" t="s">
        <v>388</v>
      </c>
      <c r="G147" s="1" t="s">
        <v>30</v>
      </c>
      <c r="H147" s="1" t="s">
        <v>31</v>
      </c>
      <c r="I147" s="1" t="s">
        <v>32</v>
      </c>
      <c r="J147" s="1" t="s">
        <v>42</v>
      </c>
      <c r="K147" s="1" t="s">
        <v>249</v>
      </c>
      <c r="L147" s="17">
        <v>671.93</v>
      </c>
      <c r="M147" s="1">
        <v>7</v>
      </c>
      <c r="N147" s="1">
        <v>0</v>
      </c>
      <c r="O147" s="17">
        <v>20.157899999999998</v>
      </c>
      <c r="P147" s="17">
        <f>('Work File (2)'!$L147*'Work File (2)'!$M147)*(1-'Work File (2)'!$N147)</f>
        <v>4703.5099999999993</v>
      </c>
      <c r="Q147" s="1">
        <f>YEAR(Table2[[#This Row],[Order Date]])</f>
        <v>2017</v>
      </c>
      <c r="R147" s="18" t="str">
        <f>TEXT(Table2[[#This Row],[Order Date]],"mmm")</f>
        <v>Sep</v>
      </c>
      <c r="S147" s="18"/>
    </row>
    <row r="148" spans="1:19" x14ac:dyDescent="0.2">
      <c r="A148" s="1">
        <v>147</v>
      </c>
      <c r="B148" s="1" t="s">
        <v>389</v>
      </c>
      <c r="C148" s="2">
        <v>42665</v>
      </c>
      <c r="D148" s="1" t="s">
        <v>36</v>
      </c>
      <c r="E148" s="1" t="s">
        <v>390</v>
      </c>
      <c r="F148" s="1" t="s">
        <v>391</v>
      </c>
      <c r="G148" s="1" t="s">
        <v>324</v>
      </c>
      <c r="H148" s="1" t="s">
        <v>103</v>
      </c>
      <c r="I148" s="1" t="s">
        <v>22</v>
      </c>
      <c r="J148" s="1" t="s">
        <v>46</v>
      </c>
      <c r="K148" s="1" t="s">
        <v>392</v>
      </c>
      <c r="L148" s="17">
        <v>93.888000000000005</v>
      </c>
      <c r="M148" s="1">
        <v>4</v>
      </c>
      <c r="N148" s="1">
        <v>0.2</v>
      </c>
      <c r="O148" s="17">
        <v>12.90959999999999</v>
      </c>
      <c r="P148" s="17">
        <f>('Work File (2)'!$L148*'Work File (2)'!$M148)*(1-'Work File (2)'!$N148)</f>
        <v>300.44160000000005</v>
      </c>
      <c r="Q148" s="1">
        <f>YEAR(Table2[[#This Row],[Order Date]])</f>
        <v>2016</v>
      </c>
      <c r="R148" s="18" t="str">
        <f>TEXT(Table2[[#This Row],[Order Date]],"mmm")</f>
        <v>Oct</v>
      </c>
      <c r="S148" s="18"/>
    </row>
    <row r="149" spans="1:19" x14ac:dyDescent="0.2">
      <c r="A149" s="1">
        <v>148</v>
      </c>
      <c r="B149" s="1" t="s">
        <v>393</v>
      </c>
      <c r="C149" s="2">
        <v>43439</v>
      </c>
      <c r="D149" s="1" t="s">
        <v>36</v>
      </c>
      <c r="E149" s="1" t="s">
        <v>394</v>
      </c>
      <c r="F149" s="1" t="s">
        <v>395</v>
      </c>
      <c r="G149" s="1" t="s">
        <v>80</v>
      </c>
      <c r="H149" s="1" t="s">
        <v>74</v>
      </c>
      <c r="I149" s="1" t="s">
        <v>50</v>
      </c>
      <c r="J149" s="1" t="s">
        <v>51</v>
      </c>
      <c r="K149" s="1" t="s">
        <v>396</v>
      </c>
      <c r="L149" s="17">
        <v>384.45000000000005</v>
      </c>
      <c r="M149" s="1">
        <v>11</v>
      </c>
      <c r="N149" s="1">
        <v>0</v>
      </c>
      <c r="O149" s="17">
        <v>103.80150000000003</v>
      </c>
      <c r="P149" s="17">
        <f>('Work File (2)'!$L149*'Work File (2)'!$M149)*(1-'Work File (2)'!$N149)</f>
        <v>4228.9500000000007</v>
      </c>
      <c r="Q149" s="1">
        <f>YEAR(Table2[[#This Row],[Order Date]])</f>
        <v>2018</v>
      </c>
      <c r="R149" s="18" t="str">
        <f>TEXT(Table2[[#This Row],[Order Date]],"mmm")</f>
        <v>Dec</v>
      </c>
      <c r="S149" s="18"/>
    </row>
    <row r="150" spans="1:19" x14ac:dyDescent="0.2">
      <c r="A150" s="1">
        <v>149</v>
      </c>
      <c r="B150" s="1" t="s">
        <v>393</v>
      </c>
      <c r="C150" s="2">
        <v>43439</v>
      </c>
      <c r="D150" s="1" t="s">
        <v>36</v>
      </c>
      <c r="E150" s="1" t="s">
        <v>394</v>
      </c>
      <c r="F150" s="1" t="s">
        <v>395</v>
      </c>
      <c r="G150" s="1" t="s">
        <v>80</v>
      </c>
      <c r="H150" s="1" t="s">
        <v>74</v>
      </c>
      <c r="I150" s="1" t="s">
        <v>50</v>
      </c>
      <c r="J150" s="1" t="s">
        <v>51</v>
      </c>
      <c r="K150" s="1" t="s">
        <v>397</v>
      </c>
      <c r="L150" s="17">
        <v>149.97</v>
      </c>
      <c r="M150" s="1">
        <v>3</v>
      </c>
      <c r="N150" s="1">
        <v>0</v>
      </c>
      <c r="O150" s="17">
        <v>5.9987999999999815</v>
      </c>
      <c r="P150" s="17">
        <f>('Work File (2)'!$L150*'Work File (2)'!$M150)*(1-'Work File (2)'!$N150)</f>
        <v>449.90999999999997</v>
      </c>
      <c r="Q150" s="1">
        <f>YEAR(Table2[[#This Row],[Order Date]])</f>
        <v>2018</v>
      </c>
      <c r="R150" s="18" t="str">
        <f>TEXT(Table2[[#This Row],[Order Date]],"mmm")</f>
        <v>Dec</v>
      </c>
      <c r="S150" s="18"/>
    </row>
    <row r="151" spans="1:19" x14ac:dyDescent="0.2">
      <c r="A151" s="1">
        <v>150</v>
      </c>
      <c r="B151" s="1" t="s">
        <v>393</v>
      </c>
      <c r="C151" s="2">
        <v>43439</v>
      </c>
      <c r="D151" s="1" t="s">
        <v>36</v>
      </c>
      <c r="E151" s="1" t="s">
        <v>394</v>
      </c>
      <c r="F151" s="1" t="s">
        <v>395</v>
      </c>
      <c r="G151" s="1" t="s">
        <v>80</v>
      </c>
      <c r="H151" s="1" t="s">
        <v>74</v>
      </c>
      <c r="I151" s="1" t="s">
        <v>22</v>
      </c>
      <c r="J151" s="1" t="s">
        <v>25</v>
      </c>
      <c r="K151" s="1" t="s">
        <v>26</v>
      </c>
      <c r="L151" s="17">
        <v>1951.84</v>
      </c>
      <c r="M151" s="1">
        <v>8</v>
      </c>
      <c r="N151" s="1">
        <v>0</v>
      </c>
      <c r="O151" s="17">
        <v>585.55199999999991</v>
      </c>
      <c r="P151" s="17">
        <f>('Work File (2)'!$L151*'Work File (2)'!$M151)*(1-'Work File (2)'!$N151)</f>
        <v>15614.72</v>
      </c>
      <c r="Q151" s="1">
        <f>YEAR(Table2[[#This Row],[Order Date]])</f>
        <v>2018</v>
      </c>
      <c r="R151" s="18" t="str">
        <f>TEXT(Table2[[#This Row],[Order Date]],"mmm")</f>
        <v>Dec</v>
      </c>
      <c r="S151" s="18"/>
    </row>
    <row r="152" spans="1:19" x14ac:dyDescent="0.2">
      <c r="A152" s="1">
        <v>151</v>
      </c>
      <c r="B152" s="1" t="s">
        <v>393</v>
      </c>
      <c r="C152" s="2">
        <v>43439</v>
      </c>
      <c r="D152" s="1" t="s">
        <v>36</v>
      </c>
      <c r="E152" s="1" t="s">
        <v>394</v>
      </c>
      <c r="F152" s="1" t="s">
        <v>395</v>
      </c>
      <c r="G152" s="1" t="s">
        <v>80</v>
      </c>
      <c r="H152" s="1" t="s">
        <v>74</v>
      </c>
      <c r="I152" s="1" t="s">
        <v>32</v>
      </c>
      <c r="J152" s="1" t="s">
        <v>53</v>
      </c>
      <c r="K152" s="1" t="s">
        <v>398</v>
      </c>
      <c r="L152" s="17">
        <v>171.55</v>
      </c>
      <c r="M152" s="1">
        <v>5</v>
      </c>
      <c r="N152" s="1">
        <v>0</v>
      </c>
      <c r="O152" s="17">
        <v>80.628500000000003</v>
      </c>
      <c r="P152" s="17">
        <f>('Work File (2)'!$L152*'Work File (2)'!$M152)*(1-'Work File (2)'!$N152)</f>
        <v>857.75</v>
      </c>
      <c r="Q152" s="1">
        <f>YEAR(Table2[[#This Row],[Order Date]])</f>
        <v>2018</v>
      </c>
      <c r="R152" s="18" t="str">
        <f>TEXT(Table2[[#This Row],[Order Date]],"mmm")</f>
        <v>Dec</v>
      </c>
      <c r="S152" s="18"/>
    </row>
    <row r="153" spans="1:19" x14ac:dyDescent="0.2">
      <c r="A153" s="1">
        <v>152</v>
      </c>
      <c r="B153" s="1" t="s">
        <v>399</v>
      </c>
      <c r="C153" s="2">
        <v>43172</v>
      </c>
      <c r="D153" s="1" t="s">
        <v>128</v>
      </c>
      <c r="E153" s="1" t="s">
        <v>400</v>
      </c>
      <c r="F153" s="1" t="s">
        <v>401</v>
      </c>
      <c r="G153" s="1" t="s">
        <v>205</v>
      </c>
      <c r="H153" s="1" t="s">
        <v>31</v>
      </c>
      <c r="I153" s="1" t="s">
        <v>32</v>
      </c>
      <c r="J153" s="1" t="s">
        <v>55</v>
      </c>
      <c r="K153" s="1" t="s">
        <v>402</v>
      </c>
      <c r="L153" s="17">
        <v>157.91999999999999</v>
      </c>
      <c r="M153" s="1">
        <v>5</v>
      </c>
      <c r="N153" s="1">
        <v>0.2</v>
      </c>
      <c r="O153" s="17">
        <v>17.765999999999991</v>
      </c>
      <c r="P153" s="17">
        <f>('Work File (2)'!$L153*'Work File (2)'!$M153)*(1-'Work File (2)'!$N153)</f>
        <v>631.67999999999995</v>
      </c>
      <c r="Q153" s="1">
        <f>YEAR(Table2[[#This Row],[Order Date]])</f>
        <v>2018</v>
      </c>
      <c r="R153" s="18" t="str">
        <f>TEXT(Table2[[#This Row],[Order Date]],"mmm")</f>
        <v>Mar</v>
      </c>
      <c r="S153" s="18"/>
    </row>
    <row r="154" spans="1:19" x14ac:dyDescent="0.2">
      <c r="A154" s="1">
        <v>153</v>
      </c>
      <c r="B154" s="1" t="s">
        <v>399</v>
      </c>
      <c r="C154" s="2">
        <v>43172</v>
      </c>
      <c r="D154" s="1" t="s">
        <v>128</v>
      </c>
      <c r="E154" s="1" t="s">
        <v>400</v>
      </c>
      <c r="F154" s="1" t="s">
        <v>401</v>
      </c>
      <c r="G154" s="1" t="s">
        <v>205</v>
      </c>
      <c r="H154" s="1" t="s">
        <v>31</v>
      </c>
      <c r="I154" s="1" t="s">
        <v>50</v>
      </c>
      <c r="J154" s="1" t="s">
        <v>51</v>
      </c>
      <c r="K154" s="1" t="s">
        <v>403</v>
      </c>
      <c r="L154" s="17">
        <v>203.184</v>
      </c>
      <c r="M154" s="1">
        <v>2</v>
      </c>
      <c r="N154" s="1">
        <v>0.2</v>
      </c>
      <c r="O154" s="17">
        <v>15.238799999999991</v>
      </c>
      <c r="P154" s="17">
        <f>('Work File (2)'!$L154*'Work File (2)'!$M154)*(1-'Work File (2)'!$N154)</f>
        <v>325.09440000000001</v>
      </c>
      <c r="Q154" s="1">
        <f>YEAR(Table2[[#This Row],[Order Date]])</f>
        <v>2018</v>
      </c>
      <c r="R154" s="18" t="str">
        <f>TEXT(Table2[[#This Row],[Order Date]],"mmm")</f>
        <v>Mar</v>
      </c>
      <c r="S154" s="18"/>
    </row>
    <row r="155" spans="1:19" x14ac:dyDescent="0.2">
      <c r="A155" s="1">
        <v>154</v>
      </c>
      <c r="B155" s="1" t="s">
        <v>404</v>
      </c>
      <c r="C155" s="2">
        <v>42886</v>
      </c>
      <c r="D155" s="1" t="s">
        <v>128</v>
      </c>
      <c r="E155" s="1" t="s">
        <v>405</v>
      </c>
      <c r="F155" s="1" t="s">
        <v>406</v>
      </c>
      <c r="G155" s="1" t="s">
        <v>30</v>
      </c>
      <c r="H155" s="1" t="s">
        <v>31</v>
      </c>
      <c r="I155" s="1" t="s">
        <v>32</v>
      </c>
      <c r="J155" s="1" t="s">
        <v>63</v>
      </c>
      <c r="K155" s="1" t="s">
        <v>407</v>
      </c>
      <c r="L155" s="17">
        <v>58.379999999999995</v>
      </c>
      <c r="M155" s="1">
        <v>7</v>
      </c>
      <c r="N155" s="1">
        <v>0</v>
      </c>
      <c r="O155" s="17">
        <v>26.270999999999994</v>
      </c>
      <c r="P155" s="17">
        <f>('Work File (2)'!$L155*'Work File (2)'!$M155)*(1-'Work File (2)'!$N155)</f>
        <v>408.65999999999997</v>
      </c>
      <c r="Q155" s="1">
        <f>YEAR(Table2[[#This Row],[Order Date]])</f>
        <v>2017</v>
      </c>
      <c r="R155" s="18" t="str">
        <f>TEXT(Table2[[#This Row],[Order Date]],"mmm")</f>
        <v>May</v>
      </c>
      <c r="S155" s="18"/>
    </row>
    <row r="156" spans="1:19" x14ac:dyDescent="0.2">
      <c r="A156" s="1">
        <v>155</v>
      </c>
      <c r="B156" s="1" t="s">
        <v>404</v>
      </c>
      <c r="C156" s="2">
        <v>42886</v>
      </c>
      <c r="D156" s="1" t="s">
        <v>128</v>
      </c>
      <c r="E156" s="1" t="s">
        <v>405</v>
      </c>
      <c r="F156" s="1" t="s">
        <v>406</v>
      </c>
      <c r="G156" s="1" t="s">
        <v>30</v>
      </c>
      <c r="H156" s="1" t="s">
        <v>31</v>
      </c>
      <c r="I156" s="1" t="s">
        <v>32</v>
      </c>
      <c r="J156" s="1" t="s">
        <v>63</v>
      </c>
      <c r="K156" s="1" t="s">
        <v>408</v>
      </c>
      <c r="L156" s="17">
        <v>105.52</v>
      </c>
      <c r="M156" s="1">
        <v>4</v>
      </c>
      <c r="N156" s="1">
        <v>0</v>
      </c>
      <c r="O156" s="17">
        <v>48.539199999999994</v>
      </c>
      <c r="P156" s="17">
        <f>('Work File (2)'!$L156*'Work File (2)'!$M156)*(1-'Work File (2)'!$N156)</f>
        <v>422.08</v>
      </c>
      <c r="Q156" s="1">
        <f>YEAR(Table2[[#This Row],[Order Date]])</f>
        <v>2017</v>
      </c>
      <c r="R156" s="18" t="str">
        <f>TEXT(Table2[[#This Row],[Order Date]],"mmm")</f>
        <v>May</v>
      </c>
      <c r="S156" s="18"/>
    </row>
    <row r="157" spans="1:19" x14ac:dyDescent="0.2">
      <c r="A157" s="1">
        <v>156</v>
      </c>
      <c r="B157" s="1" t="s">
        <v>404</v>
      </c>
      <c r="C157" s="2">
        <v>42886</v>
      </c>
      <c r="D157" s="1" t="s">
        <v>128</v>
      </c>
      <c r="E157" s="1" t="s">
        <v>405</v>
      </c>
      <c r="F157" s="1" t="s">
        <v>406</v>
      </c>
      <c r="G157" s="1" t="s">
        <v>30</v>
      </c>
      <c r="H157" s="1" t="s">
        <v>31</v>
      </c>
      <c r="I157" s="1" t="s">
        <v>32</v>
      </c>
      <c r="J157" s="1" t="s">
        <v>42</v>
      </c>
      <c r="K157" s="1" t="s">
        <v>409</v>
      </c>
      <c r="L157" s="17">
        <v>80.88</v>
      </c>
      <c r="M157" s="1">
        <v>6</v>
      </c>
      <c r="N157" s="1">
        <v>0</v>
      </c>
      <c r="O157" s="17">
        <v>21.028799999999997</v>
      </c>
      <c r="P157" s="17">
        <f>('Work File (2)'!$L157*'Work File (2)'!$M157)*(1-'Work File (2)'!$N157)</f>
        <v>485.28</v>
      </c>
      <c r="Q157" s="1">
        <f>YEAR(Table2[[#This Row],[Order Date]])</f>
        <v>2017</v>
      </c>
      <c r="R157" s="18" t="str">
        <f>TEXT(Table2[[#This Row],[Order Date]],"mmm")</f>
        <v>May</v>
      </c>
      <c r="S157" s="18"/>
    </row>
    <row r="158" spans="1:19" x14ac:dyDescent="0.2">
      <c r="A158" s="1">
        <v>157</v>
      </c>
      <c r="B158" s="1" t="s">
        <v>410</v>
      </c>
      <c r="C158" s="2">
        <v>42883</v>
      </c>
      <c r="D158" s="1" t="s">
        <v>36</v>
      </c>
      <c r="E158" s="1" t="s">
        <v>411</v>
      </c>
      <c r="F158" s="1" t="s">
        <v>67</v>
      </c>
      <c r="G158" s="1" t="s">
        <v>68</v>
      </c>
      <c r="H158" s="1" t="s">
        <v>31</v>
      </c>
      <c r="I158" s="1" t="s">
        <v>32</v>
      </c>
      <c r="J158" s="1" t="s">
        <v>48</v>
      </c>
      <c r="K158" s="1" t="s">
        <v>412</v>
      </c>
      <c r="L158" s="17">
        <v>6.63</v>
      </c>
      <c r="M158" s="1">
        <v>3</v>
      </c>
      <c r="N158" s="1">
        <v>0</v>
      </c>
      <c r="O158" s="17">
        <v>1.7901</v>
      </c>
      <c r="P158" s="17">
        <f>('Work File (2)'!$L158*'Work File (2)'!$M158)*(1-'Work File (2)'!$N158)</f>
        <v>19.89</v>
      </c>
      <c r="Q158" s="1">
        <f>YEAR(Table2[[#This Row],[Order Date]])</f>
        <v>2017</v>
      </c>
      <c r="R158" s="18" t="str">
        <f>TEXT(Table2[[#This Row],[Order Date]],"mmm")</f>
        <v>May</v>
      </c>
      <c r="S158" s="18"/>
    </row>
    <row r="159" spans="1:19" x14ac:dyDescent="0.2">
      <c r="A159" s="1">
        <v>158</v>
      </c>
      <c r="B159" s="1" t="s">
        <v>413</v>
      </c>
      <c r="C159" s="2">
        <v>42430</v>
      </c>
      <c r="D159" s="1" t="s">
        <v>17</v>
      </c>
      <c r="E159" s="1" t="s">
        <v>414</v>
      </c>
      <c r="F159" s="1" t="s">
        <v>67</v>
      </c>
      <c r="G159" s="1" t="s">
        <v>68</v>
      </c>
      <c r="H159" s="1" t="s">
        <v>31</v>
      </c>
      <c r="I159" s="1" t="s">
        <v>22</v>
      </c>
      <c r="J159" s="1" t="s">
        <v>25</v>
      </c>
      <c r="K159" s="1" t="s">
        <v>345</v>
      </c>
      <c r="L159" s="17">
        <v>457.56800000000004</v>
      </c>
      <c r="M159" s="1">
        <v>2</v>
      </c>
      <c r="N159" s="1">
        <v>0.2</v>
      </c>
      <c r="O159" s="17">
        <v>51.476399999999941</v>
      </c>
      <c r="P159" s="17">
        <f>('Work File (2)'!$L159*'Work File (2)'!$M159)*(1-'Work File (2)'!$N159)</f>
        <v>732.10880000000009</v>
      </c>
      <c r="Q159" s="1">
        <f>YEAR(Table2[[#This Row],[Order Date]])</f>
        <v>2016</v>
      </c>
      <c r="R159" s="18" t="str">
        <f>TEXT(Table2[[#This Row],[Order Date]],"mmm")</f>
        <v>Mar</v>
      </c>
      <c r="S159" s="18"/>
    </row>
    <row r="160" spans="1:19" x14ac:dyDescent="0.2">
      <c r="A160" s="1">
        <v>159</v>
      </c>
      <c r="B160" s="1" t="s">
        <v>415</v>
      </c>
      <c r="C160" s="2">
        <v>43424</v>
      </c>
      <c r="D160" s="1" t="s">
        <v>36</v>
      </c>
      <c r="E160" s="1" t="s">
        <v>416</v>
      </c>
      <c r="F160" s="1" t="s">
        <v>417</v>
      </c>
      <c r="G160" s="1" t="s">
        <v>418</v>
      </c>
      <c r="H160" s="1" t="s">
        <v>74</v>
      </c>
      <c r="I160" s="1" t="s">
        <v>32</v>
      </c>
      <c r="J160" s="1" t="s">
        <v>33</v>
      </c>
      <c r="K160" s="1" t="s">
        <v>419</v>
      </c>
      <c r="L160" s="17">
        <v>14.62</v>
      </c>
      <c r="M160" s="1">
        <v>2</v>
      </c>
      <c r="N160" s="1">
        <v>0</v>
      </c>
      <c r="O160" s="17">
        <v>6.8713999999999995</v>
      </c>
      <c r="P160" s="17">
        <f>('Work File (2)'!$L160*'Work File (2)'!$M160)*(1-'Work File (2)'!$N160)</f>
        <v>29.24</v>
      </c>
      <c r="Q160" s="1">
        <f>YEAR(Table2[[#This Row],[Order Date]])</f>
        <v>2018</v>
      </c>
      <c r="R160" s="18" t="str">
        <f>TEXT(Table2[[#This Row],[Order Date]],"mmm")</f>
        <v>Nov</v>
      </c>
      <c r="S160" s="18"/>
    </row>
    <row r="161" spans="1:19" x14ac:dyDescent="0.2">
      <c r="A161" s="1">
        <v>160</v>
      </c>
      <c r="B161" s="1" t="s">
        <v>415</v>
      </c>
      <c r="C161" s="2">
        <v>43424</v>
      </c>
      <c r="D161" s="1" t="s">
        <v>36</v>
      </c>
      <c r="E161" s="1" t="s">
        <v>416</v>
      </c>
      <c r="F161" s="1" t="s">
        <v>417</v>
      </c>
      <c r="G161" s="1" t="s">
        <v>418</v>
      </c>
      <c r="H161" s="1" t="s">
        <v>74</v>
      </c>
      <c r="I161" s="1" t="s">
        <v>50</v>
      </c>
      <c r="J161" s="1" t="s">
        <v>51</v>
      </c>
      <c r="K161" s="1" t="s">
        <v>420</v>
      </c>
      <c r="L161" s="17">
        <v>944.93000000000006</v>
      </c>
      <c r="M161" s="1">
        <v>7</v>
      </c>
      <c r="N161" s="1">
        <v>0</v>
      </c>
      <c r="O161" s="17">
        <v>236.23250000000002</v>
      </c>
      <c r="P161" s="17">
        <f>('Work File (2)'!$L161*'Work File (2)'!$M161)*(1-'Work File (2)'!$N161)</f>
        <v>6614.51</v>
      </c>
      <c r="Q161" s="1">
        <f>YEAR(Table2[[#This Row],[Order Date]])</f>
        <v>2018</v>
      </c>
      <c r="R161" s="18" t="str">
        <f>TEXT(Table2[[#This Row],[Order Date]],"mmm")</f>
        <v>Nov</v>
      </c>
      <c r="S161" s="18"/>
    </row>
    <row r="162" spans="1:19" x14ac:dyDescent="0.2">
      <c r="A162" s="1">
        <v>161</v>
      </c>
      <c r="B162" s="1" t="s">
        <v>421</v>
      </c>
      <c r="C162" s="2">
        <v>43231</v>
      </c>
      <c r="D162" s="1" t="s">
        <v>128</v>
      </c>
      <c r="E162" s="1" t="s">
        <v>422</v>
      </c>
      <c r="F162" s="1" t="s">
        <v>29</v>
      </c>
      <c r="G162" s="1" t="s">
        <v>30</v>
      </c>
      <c r="H162" s="1" t="s">
        <v>31</v>
      </c>
      <c r="I162" s="1" t="s">
        <v>32</v>
      </c>
      <c r="J162" s="1" t="s">
        <v>63</v>
      </c>
      <c r="K162" s="1" t="s">
        <v>423</v>
      </c>
      <c r="L162" s="17">
        <v>5.98</v>
      </c>
      <c r="M162" s="1">
        <v>1</v>
      </c>
      <c r="N162" s="1">
        <v>0</v>
      </c>
      <c r="O162" s="17">
        <v>2.6909999999999998</v>
      </c>
      <c r="P162" s="17">
        <f>('Work File (2)'!$L162*'Work File (2)'!$M162)*(1-'Work File (2)'!$N162)</f>
        <v>5.98</v>
      </c>
      <c r="Q162" s="1">
        <f>YEAR(Table2[[#This Row],[Order Date]])</f>
        <v>2018</v>
      </c>
      <c r="R162" s="18" t="str">
        <f>TEXT(Table2[[#This Row],[Order Date]],"mmm")</f>
        <v>May</v>
      </c>
      <c r="S162" s="18"/>
    </row>
    <row r="163" spans="1:19" x14ac:dyDescent="0.2">
      <c r="A163" s="1">
        <v>162</v>
      </c>
      <c r="B163" s="1" t="s">
        <v>424</v>
      </c>
      <c r="C163" s="2">
        <v>43097</v>
      </c>
      <c r="D163" s="1" t="s">
        <v>17</v>
      </c>
      <c r="E163" s="1" t="s">
        <v>425</v>
      </c>
      <c r="F163" s="1" t="s">
        <v>101</v>
      </c>
      <c r="G163" s="1" t="s">
        <v>102</v>
      </c>
      <c r="H163" s="1" t="s">
        <v>103</v>
      </c>
      <c r="I163" s="1" t="s">
        <v>50</v>
      </c>
      <c r="J163" s="1" t="s">
        <v>111</v>
      </c>
      <c r="K163" s="1" t="s">
        <v>426</v>
      </c>
      <c r="L163" s="17">
        <v>54.384000000000007</v>
      </c>
      <c r="M163" s="1">
        <v>2</v>
      </c>
      <c r="N163" s="1">
        <v>0.2</v>
      </c>
      <c r="O163" s="17">
        <v>1.359599999999995</v>
      </c>
      <c r="P163" s="17">
        <f>('Work File (2)'!$L163*'Work File (2)'!$M163)*(1-'Work File (2)'!$N163)</f>
        <v>87.014400000000023</v>
      </c>
      <c r="Q163" s="1">
        <f>YEAR(Table2[[#This Row],[Order Date]])</f>
        <v>2017</v>
      </c>
      <c r="R163" s="18" t="str">
        <f>TEXT(Table2[[#This Row],[Order Date]],"mmm")</f>
        <v>Dec</v>
      </c>
      <c r="S163" s="18"/>
    </row>
    <row r="164" spans="1:19" x14ac:dyDescent="0.2">
      <c r="A164" s="1">
        <v>163</v>
      </c>
      <c r="B164" s="1" t="s">
        <v>427</v>
      </c>
      <c r="C164" s="2">
        <v>43420</v>
      </c>
      <c r="D164" s="1" t="s">
        <v>36</v>
      </c>
      <c r="E164" s="1" t="s">
        <v>428</v>
      </c>
      <c r="F164" s="1" t="s">
        <v>429</v>
      </c>
      <c r="G164" s="1" t="s">
        <v>430</v>
      </c>
      <c r="H164" s="1" t="s">
        <v>31</v>
      </c>
      <c r="I164" s="1" t="s">
        <v>32</v>
      </c>
      <c r="J164" s="1" t="s">
        <v>118</v>
      </c>
      <c r="K164" s="1" t="s">
        <v>431</v>
      </c>
      <c r="L164" s="17">
        <v>28.4</v>
      </c>
      <c r="M164" s="1">
        <v>5</v>
      </c>
      <c r="N164" s="1">
        <v>0</v>
      </c>
      <c r="O164" s="17">
        <v>13.347999999999997</v>
      </c>
      <c r="P164" s="17">
        <f>('Work File (2)'!$L164*'Work File (2)'!$M164)*(1-'Work File (2)'!$N164)</f>
        <v>142</v>
      </c>
      <c r="Q164" s="1">
        <f>YEAR(Table2[[#This Row],[Order Date]])</f>
        <v>2018</v>
      </c>
      <c r="R164" s="18" t="str">
        <f>TEXT(Table2[[#This Row],[Order Date]],"mmm")</f>
        <v>Nov</v>
      </c>
      <c r="S164" s="18"/>
    </row>
    <row r="165" spans="1:19" x14ac:dyDescent="0.2">
      <c r="A165" s="1">
        <v>164</v>
      </c>
      <c r="B165" s="1" t="s">
        <v>432</v>
      </c>
      <c r="C165" s="2">
        <v>43411</v>
      </c>
      <c r="D165" s="1" t="s">
        <v>36</v>
      </c>
      <c r="E165" s="1" t="s">
        <v>433</v>
      </c>
      <c r="F165" s="1" t="s">
        <v>67</v>
      </c>
      <c r="G165" s="1" t="s">
        <v>68</v>
      </c>
      <c r="H165" s="1" t="s">
        <v>31</v>
      </c>
      <c r="I165" s="1" t="s">
        <v>32</v>
      </c>
      <c r="J165" s="1" t="s">
        <v>53</v>
      </c>
      <c r="K165" s="1" t="s">
        <v>434</v>
      </c>
      <c r="L165" s="17">
        <v>27.680000000000003</v>
      </c>
      <c r="M165" s="1">
        <v>2</v>
      </c>
      <c r="N165" s="1">
        <v>0.2</v>
      </c>
      <c r="O165" s="17">
        <v>9.6879999999999988</v>
      </c>
      <c r="P165" s="17">
        <f>('Work File (2)'!$L165*'Work File (2)'!$M165)*(1-'Work File (2)'!$N165)</f>
        <v>44.288000000000011</v>
      </c>
      <c r="Q165" s="1">
        <f>YEAR(Table2[[#This Row],[Order Date]])</f>
        <v>2018</v>
      </c>
      <c r="R165" s="18" t="str">
        <f>TEXT(Table2[[#This Row],[Order Date]],"mmm")</f>
        <v>Nov</v>
      </c>
      <c r="S165" s="18"/>
    </row>
    <row r="166" spans="1:19" x14ac:dyDescent="0.2">
      <c r="A166" s="1">
        <v>165</v>
      </c>
      <c r="B166" s="1" t="s">
        <v>435</v>
      </c>
      <c r="C166" s="2">
        <v>42621</v>
      </c>
      <c r="D166" s="1" t="s">
        <v>36</v>
      </c>
      <c r="E166" s="1" t="s">
        <v>436</v>
      </c>
      <c r="F166" s="1" t="s">
        <v>437</v>
      </c>
      <c r="G166" s="1" t="s">
        <v>73</v>
      </c>
      <c r="H166" s="1" t="s">
        <v>74</v>
      </c>
      <c r="I166" s="1" t="s">
        <v>32</v>
      </c>
      <c r="J166" s="1" t="s">
        <v>48</v>
      </c>
      <c r="K166" s="1" t="s">
        <v>438</v>
      </c>
      <c r="L166" s="17">
        <v>9.9359999999999999</v>
      </c>
      <c r="M166" s="1">
        <v>3</v>
      </c>
      <c r="N166" s="1">
        <v>0.2</v>
      </c>
      <c r="O166" s="17">
        <v>2.7324000000000002</v>
      </c>
      <c r="P166" s="17">
        <f>('Work File (2)'!$L166*'Work File (2)'!$M166)*(1-'Work File (2)'!$N166)</f>
        <v>23.846400000000003</v>
      </c>
      <c r="Q166" s="1">
        <f>YEAR(Table2[[#This Row],[Order Date]])</f>
        <v>2016</v>
      </c>
      <c r="R166" s="18" t="str">
        <f>TEXT(Table2[[#This Row],[Order Date]],"mmm")</f>
        <v>Sep</v>
      </c>
      <c r="S166" s="18"/>
    </row>
    <row r="167" spans="1:19" x14ac:dyDescent="0.2">
      <c r="A167" s="1">
        <v>166</v>
      </c>
      <c r="B167" s="1" t="s">
        <v>435</v>
      </c>
      <c r="C167" s="2">
        <v>42621</v>
      </c>
      <c r="D167" s="1" t="s">
        <v>36</v>
      </c>
      <c r="E167" s="1" t="s">
        <v>436</v>
      </c>
      <c r="F167" s="1" t="s">
        <v>437</v>
      </c>
      <c r="G167" s="1" t="s">
        <v>73</v>
      </c>
      <c r="H167" s="1" t="s">
        <v>74</v>
      </c>
      <c r="I167" s="1" t="s">
        <v>50</v>
      </c>
      <c r="J167" s="1" t="s">
        <v>439</v>
      </c>
      <c r="K167" s="1" t="s">
        <v>440</v>
      </c>
      <c r="L167" s="17">
        <v>8159.9519999999993</v>
      </c>
      <c r="M167" s="1">
        <v>8</v>
      </c>
      <c r="N167" s="1">
        <v>0.4</v>
      </c>
      <c r="O167" s="17">
        <v>-1359.992000000002</v>
      </c>
      <c r="P167" s="17">
        <f>('Work File (2)'!$L167*'Work File (2)'!$M167)*(1-'Work File (2)'!$N167)</f>
        <v>39167.769599999992</v>
      </c>
      <c r="Q167" s="1">
        <f>YEAR(Table2[[#This Row],[Order Date]])</f>
        <v>2016</v>
      </c>
      <c r="R167" s="18" t="str">
        <f>TEXT(Table2[[#This Row],[Order Date]],"mmm")</f>
        <v>Sep</v>
      </c>
      <c r="S167" s="18"/>
    </row>
    <row r="168" spans="1:19" x14ac:dyDescent="0.2">
      <c r="A168" s="1">
        <v>167</v>
      </c>
      <c r="B168" s="1" t="s">
        <v>435</v>
      </c>
      <c r="C168" s="2">
        <v>42621</v>
      </c>
      <c r="D168" s="1" t="s">
        <v>36</v>
      </c>
      <c r="E168" s="1" t="s">
        <v>436</v>
      </c>
      <c r="F168" s="1" t="s">
        <v>437</v>
      </c>
      <c r="G168" s="1" t="s">
        <v>73</v>
      </c>
      <c r="H168" s="1" t="s">
        <v>74</v>
      </c>
      <c r="I168" s="1" t="s">
        <v>32</v>
      </c>
      <c r="J168" s="1" t="s">
        <v>42</v>
      </c>
      <c r="K168" s="1" t="s">
        <v>441</v>
      </c>
      <c r="L168" s="17">
        <v>275.928</v>
      </c>
      <c r="M168" s="1">
        <v>3</v>
      </c>
      <c r="N168" s="1">
        <v>0.2</v>
      </c>
      <c r="O168" s="17">
        <v>-58.634699999999995</v>
      </c>
      <c r="P168" s="17">
        <f>('Work File (2)'!$L168*'Work File (2)'!$M168)*(1-'Work File (2)'!$N168)</f>
        <v>662.22720000000004</v>
      </c>
      <c r="Q168" s="1">
        <f>YEAR(Table2[[#This Row],[Order Date]])</f>
        <v>2016</v>
      </c>
      <c r="R168" s="18" t="str">
        <f>TEXT(Table2[[#This Row],[Order Date]],"mmm")</f>
        <v>Sep</v>
      </c>
      <c r="S168" s="18"/>
    </row>
    <row r="169" spans="1:19" x14ac:dyDescent="0.2">
      <c r="A169" s="1">
        <v>168</v>
      </c>
      <c r="B169" s="1" t="s">
        <v>435</v>
      </c>
      <c r="C169" s="2">
        <v>42621</v>
      </c>
      <c r="D169" s="1" t="s">
        <v>36</v>
      </c>
      <c r="E169" s="1" t="s">
        <v>436</v>
      </c>
      <c r="F169" s="1" t="s">
        <v>437</v>
      </c>
      <c r="G169" s="1" t="s">
        <v>73</v>
      </c>
      <c r="H169" s="1" t="s">
        <v>74</v>
      </c>
      <c r="I169" s="1" t="s">
        <v>22</v>
      </c>
      <c r="J169" s="1" t="s">
        <v>25</v>
      </c>
      <c r="K169" s="1" t="s">
        <v>442</v>
      </c>
      <c r="L169" s="17">
        <v>1740.0599999999997</v>
      </c>
      <c r="M169" s="1">
        <v>9</v>
      </c>
      <c r="N169" s="1">
        <v>0.3</v>
      </c>
      <c r="O169" s="17">
        <v>-24.858000000000175</v>
      </c>
      <c r="P169" s="17">
        <f>('Work File (2)'!$L169*'Work File (2)'!$M169)*(1-'Work File (2)'!$N169)</f>
        <v>10962.377999999997</v>
      </c>
      <c r="Q169" s="1">
        <f>YEAR(Table2[[#This Row],[Order Date]])</f>
        <v>2016</v>
      </c>
      <c r="R169" s="18" t="str">
        <f>TEXT(Table2[[#This Row],[Order Date]],"mmm")</f>
        <v>Sep</v>
      </c>
      <c r="S169" s="18"/>
    </row>
    <row r="170" spans="1:19" x14ac:dyDescent="0.2">
      <c r="A170" s="1">
        <v>169</v>
      </c>
      <c r="B170" s="1" t="s">
        <v>435</v>
      </c>
      <c r="C170" s="2">
        <v>42621</v>
      </c>
      <c r="D170" s="1" t="s">
        <v>36</v>
      </c>
      <c r="E170" s="1" t="s">
        <v>436</v>
      </c>
      <c r="F170" s="1" t="s">
        <v>437</v>
      </c>
      <c r="G170" s="1" t="s">
        <v>73</v>
      </c>
      <c r="H170" s="1" t="s">
        <v>74</v>
      </c>
      <c r="I170" s="1" t="s">
        <v>32</v>
      </c>
      <c r="J170" s="1" t="s">
        <v>48</v>
      </c>
      <c r="K170" s="1" t="s">
        <v>443</v>
      </c>
      <c r="L170" s="17">
        <v>32.064</v>
      </c>
      <c r="M170" s="1">
        <v>6</v>
      </c>
      <c r="N170" s="1">
        <v>0.2</v>
      </c>
      <c r="O170" s="17">
        <v>6.8135999999999974</v>
      </c>
      <c r="P170" s="17">
        <f>('Work File (2)'!$L170*'Work File (2)'!$M170)*(1-'Work File (2)'!$N170)</f>
        <v>153.90720000000002</v>
      </c>
      <c r="Q170" s="1">
        <f>YEAR(Table2[[#This Row],[Order Date]])</f>
        <v>2016</v>
      </c>
      <c r="R170" s="18" t="str">
        <f>TEXT(Table2[[#This Row],[Order Date]],"mmm")</f>
        <v>Sep</v>
      </c>
      <c r="S170" s="18"/>
    </row>
    <row r="171" spans="1:19" x14ac:dyDescent="0.2">
      <c r="A171" s="1">
        <v>170</v>
      </c>
      <c r="B171" s="1" t="s">
        <v>435</v>
      </c>
      <c r="C171" s="2">
        <v>42621</v>
      </c>
      <c r="D171" s="1" t="s">
        <v>36</v>
      </c>
      <c r="E171" s="1" t="s">
        <v>436</v>
      </c>
      <c r="F171" s="1" t="s">
        <v>437</v>
      </c>
      <c r="G171" s="1" t="s">
        <v>73</v>
      </c>
      <c r="H171" s="1" t="s">
        <v>74</v>
      </c>
      <c r="I171" s="1" t="s">
        <v>32</v>
      </c>
      <c r="J171" s="1" t="s">
        <v>55</v>
      </c>
      <c r="K171" s="1" t="s">
        <v>444</v>
      </c>
      <c r="L171" s="17">
        <v>177.97999999999996</v>
      </c>
      <c r="M171" s="1">
        <v>5</v>
      </c>
      <c r="N171" s="1">
        <v>0.8</v>
      </c>
      <c r="O171" s="17">
        <v>-453.84900000000005</v>
      </c>
      <c r="P171" s="17">
        <f>('Work File (2)'!$L171*'Work File (2)'!$M171)*(1-'Work File (2)'!$N171)</f>
        <v>177.97999999999993</v>
      </c>
      <c r="Q171" s="1">
        <f>YEAR(Table2[[#This Row],[Order Date]])</f>
        <v>2016</v>
      </c>
      <c r="R171" s="18" t="str">
        <f>TEXT(Table2[[#This Row],[Order Date]],"mmm")</f>
        <v>Sep</v>
      </c>
      <c r="S171" s="18"/>
    </row>
    <row r="172" spans="1:19" x14ac:dyDescent="0.2">
      <c r="A172" s="1">
        <v>171</v>
      </c>
      <c r="B172" s="1" t="s">
        <v>435</v>
      </c>
      <c r="C172" s="2">
        <v>42621</v>
      </c>
      <c r="D172" s="1" t="s">
        <v>36</v>
      </c>
      <c r="E172" s="1" t="s">
        <v>436</v>
      </c>
      <c r="F172" s="1" t="s">
        <v>437</v>
      </c>
      <c r="G172" s="1" t="s">
        <v>73</v>
      </c>
      <c r="H172" s="1" t="s">
        <v>74</v>
      </c>
      <c r="I172" s="1" t="s">
        <v>50</v>
      </c>
      <c r="J172" s="1" t="s">
        <v>51</v>
      </c>
      <c r="K172" s="1" t="s">
        <v>445</v>
      </c>
      <c r="L172" s="17">
        <v>143.976</v>
      </c>
      <c r="M172" s="1">
        <v>3</v>
      </c>
      <c r="N172" s="1">
        <v>0.2</v>
      </c>
      <c r="O172" s="17">
        <v>8.998500000000007</v>
      </c>
      <c r="P172" s="17">
        <f>('Work File (2)'!$L172*'Work File (2)'!$M172)*(1-'Work File (2)'!$N172)</f>
        <v>345.54240000000004</v>
      </c>
      <c r="Q172" s="1">
        <f>YEAR(Table2[[#This Row],[Order Date]])</f>
        <v>2016</v>
      </c>
      <c r="R172" s="18" t="str">
        <f>TEXT(Table2[[#This Row],[Order Date]],"mmm")</f>
        <v>Sep</v>
      </c>
      <c r="S172" s="18"/>
    </row>
    <row r="173" spans="1:19" x14ac:dyDescent="0.2">
      <c r="A173" s="1">
        <v>172</v>
      </c>
      <c r="B173" s="1" t="s">
        <v>446</v>
      </c>
      <c r="C173" s="2">
        <v>42587</v>
      </c>
      <c r="D173" s="1" t="s">
        <v>36</v>
      </c>
      <c r="E173" s="1" t="s">
        <v>447</v>
      </c>
      <c r="F173" s="1" t="s">
        <v>29</v>
      </c>
      <c r="G173" s="1" t="s">
        <v>30</v>
      </c>
      <c r="H173" s="1" t="s">
        <v>31</v>
      </c>
      <c r="I173" s="1" t="s">
        <v>32</v>
      </c>
      <c r="J173" s="1" t="s">
        <v>63</v>
      </c>
      <c r="K173" s="1" t="s">
        <v>448</v>
      </c>
      <c r="L173" s="17">
        <v>20.94</v>
      </c>
      <c r="M173" s="1">
        <v>3</v>
      </c>
      <c r="N173" s="1">
        <v>0</v>
      </c>
      <c r="O173" s="17">
        <v>9.841800000000001</v>
      </c>
      <c r="P173" s="17">
        <f>('Work File (2)'!$L173*'Work File (2)'!$M173)*(1-'Work File (2)'!$N173)</f>
        <v>62.820000000000007</v>
      </c>
      <c r="Q173" s="1">
        <f>YEAR(Table2[[#This Row],[Order Date]])</f>
        <v>2016</v>
      </c>
      <c r="R173" s="18" t="str">
        <f>TEXT(Table2[[#This Row],[Order Date]],"mmm")</f>
        <v>Aug</v>
      </c>
      <c r="S173" s="18"/>
    </row>
    <row r="174" spans="1:19" x14ac:dyDescent="0.2">
      <c r="A174" s="1">
        <v>173</v>
      </c>
      <c r="B174" s="1" t="s">
        <v>446</v>
      </c>
      <c r="C174" s="2">
        <v>42587</v>
      </c>
      <c r="D174" s="1" t="s">
        <v>36</v>
      </c>
      <c r="E174" s="1" t="s">
        <v>447</v>
      </c>
      <c r="F174" s="1" t="s">
        <v>29</v>
      </c>
      <c r="G174" s="1" t="s">
        <v>30</v>
      </c>
      <c r="H174" s="1" t="s">
        <v>31</v>
      </c>
      <c r="I174" s="1" t="s">
        <v>32</v>
      </c>
      <c r="J174" s="1" t="s">
        <v>63</v>
      </c>
      <c r="K174" s="1" t="s">
        <v>449</v>
      </c>
      <c r="L174" s="17">
        <v>110.96</v>
      </c>
      <c r="M174" s="1">
        <v>2</v>
      </c>
      <c r="N174" s="1">
        <v>0</v>
      </c>
      <c r="O174" s="17">
        <v>53.260799999999996</v>
      </c>
      <c r="P174" s="17">
        <f>('Work File (2)'!$L174*'Work File (2)'!$M174)*(1-'Work File (2)'!$N174)</f>
        <v>221.92</v>
      </c>
      <c r="Q174" s="1">
        <f>YEAR(Table2[[#This Row],[Order Date]])</f>
        <v>2016</v>
      </c>
      <c r="R174" s="18" t="str">
        <f>TEXT(Table2[[#This Row],[Order Date]],"mmm")</f>
        <v>Aug</v>
      </c>
      <c r="S174" s="18"/>
    </row>
    <row r="175" spans="1:19" x14ac:dyDescent="0.2">
      <c r="A175" s="1">
        <v>174</v>
      </c>
      <c r="B175" s="1" t="s">
        <v>446</v>
      </c>
      <c r="C175" s="2">
        <v>42587</v>
      </c>
      <c r="D175" s="1" t="s">
        <v>36</v>
      </c>
      <c r="E175" s="1" t="s">
        <v>447</v>
      </c>
      <c r="F175" s="1" t="s">
        <v>29</v>
      </c>
      <c r="G175" s="1" t="s">
        <v>30</v>
      </c>
      <c r="H175" s="1" t="s">
        <v>31</v>
      </c>
      <c r="I175" s="1" t="s">
        <v>22</v>
      </c>
      <c r="J175" s="1" t="s">
        <v>25</v>
      </c>
      <c r="K175" s="1" t="s">
        <v>450</v>
      </c>
      <c r="L175" s="17">
        <v>340.14400000000006</v>
      </c>
      <c r="M175" s="1">
        <v>7</v>
      </c>
      <c r="N175" s="1">
        <v>0.2</v>
      </c>
      <c r="O175" s="17">
        <v>21.259</v>
      </c>
      <c r="P175" s="17">
        <f>('Work File (2)'!$L175*'Work File (2)'!$M175)*(1-'Work File (2)'!$N175)</f>
        <v>1904.8064000000004</v>
      </c>
      <c r="Q175" s="1">
        <f>YEAR(Table2[[#This Row],[Order Date]])</f>
        <v>2016</v>
      </c>
      <c r="R175" s="18" t="str">
        <f>TEXT(Table2[[#This Row],[Order Date]],"mmm")</f>
        <v>Aug</v>
      </c>
      <c r="S175" s="18"/>
    </row>
    <row r="176" spans="1:19" x14ac:dyDescent="0.2">
      <c r="A176" s="1">
        <v>175</v>
      </c>
      <c r="B176" s="1" t="s">
        <v>451</v>
      </c>
      <c r="C176" s="2">
        <v>42627</v>
      </c>
      <c r="D176" s="1" t="s">
        <v>36</v>
      </c>
      <c r="E176" s="1" t="s">
        <v>452</v>
      </c>
      <c r="F176" s="1" t="s">
        <v>200</v>
      </c>
      <c r="G176" s="1" t="s">
        <v>142</v>
      </c>
      <c r="H176" s="1" t="s">
        <v>74</v>
      </c>
      <c r="I176" s="1" t="s">
        <v>32</v>
      </c>
      <c r="J176" s="1" t="s">
        <v>55</v>
      </c>
      <c r="K176" s="1" t="s">
        <v>453</v>
      </c>
      <c r="L176" s="17">
        <v>52.447999999999993</v>
      </c>
      <c r="M176" s="1">
        <v>2</v>
      </c>
      <c r="N176" s="1">
        <v>0.8</v>
      </c>
      <c r="O176" s="17">
        <v>-131.12000000000003</v>
      </c>
      <c r="P176" s="17">
        <f>('Work File (2)'!$L176*'Work File (2)'!$M176)*(1-'Work File (2)'!$N176)</f>
        <v>20.979199999999992</v>
      </c>
      <c r="Q176" s="1">
        <f>YEAR(Table2[[#This Row],[Order Date]])</f>
        <v>2016</v>
      </c>
      <c r="R176" s="18" t="str">
        <f>TEXT(Table2[[#This Row],[Order Date]],"mmm")</f>
        <v>Sep</v>
      </c>
      <c r="S176" s="18"/>
    </row>
    <row r="177" spans="1:19" x14ac:dyDescent="0.2">
      <c r="A177" s="1">
        <v>176</v>
      </c>
      <c r="B177" s="1" t="s">
        <v>451</v>
      </c>
      <c r="C177" s="2">
        <v>42627</v>
      </c>
      <c r="D177" s="1" t="s">
        <v>36</v>
      </c>
      <c r="E177" s="1" t="s">
        <v>452</v>
      </c>
      <c r="F177" s="1" t="s">
        <v>200</v>
      </c>
      <c r="G177" s="1" t="s">
        <v>142</v>
      </c>
      <c r="H177" s="1" t="s">
        <v>74</v>
      </c>
      <c r="I177" s="1" t="s">
        <v>32</v>
      </c>
      <c r="J177" s="1" t="s">
        <v>33</v>
      </c>
      <c r="K177" s="1" t="s">
        <v>454</v>
      </c>
      <c r="L177" s="17">
        <v>20.16</v>
      </c>
      <c r="M177" s="1">
        <v>4</v>
      </c>
      <c r="N177" s="1">
        <v>0.2</v>
      </c>
      <c r="O177" s="17">
        <v>6.5519999999999987</v>
      </c>
      <c r="P177" s="17">
        <f>('Work File (2)'!$L177*'Work File (2)'!$M177)*(1-'Work File (2)'!$N177)</f>
        <v>64.512</v>
      </c>
      <c r="Q177" s="1">
        <f>YEAR(Table2[[#This Row],[Order Date]])</f>
        <v>2016</v>
      </c>
      <c r="R177" s="18" t="str">
        <f>TEXT(Table2[[#This Row],[Order Date]],"mmm")</f>
        <v>Sep</v>
      </c>
      <c r="S177" s="18"/>
    </row>
    <row r="178" spans="1:19" x14ac:dyDescent="0.2">
      <c r="A178" s="1">
        <v>177</v>
      </c>
      <c r="B178" s="1" t="s">
        <v>455</v>
      </c>
      <c r="C178" s="2">
        <v>43576</v>
      </c>
      <c r="D178" s="1" t="s">
        <v>17</v>
      </c>
      <c r="E178" s="1" t="s">
        <v>456</v>
      </c>
      <c r="F178" s="1" t="s">
        <v>125</v>
      </c>
      <c r="G178" s="1" t="s">
        <v>73</v>
      </c>
      <c r="H178" s="1" t="s">
        <v>74</v>
      </c>
      <c r="I178" s="1" t="s">
        <v>32</v>
      </c>
      <c r="J178" s="1" t="s">
        <v>55</v>
      </c>
      <c r="K178" s="1" t="s">
        <v>457</v>
      </c>
      <c r="L178" s="17">
        <v>97.263999999999982</v>
      </c>
      <c r="M178" s="1">
        <v>4</v>
      </c>
      <c r="N178" s="1">
        <v>0.8</v>
      </c>
      <c r="O178" s="17">
        <v>-243.16000000000008</v>
      </c>
      <c r="P178" s="17">
        <f>('Work File (2)'!$L178*'Work File (2)'!$M178)*(1-'Work File (2)'!$N178)</f>
        <v>77.811199999999971</v>
      </c>
      <c r="Q178" s="1">
        <f>YEAR(Table2[[#This Row],[Order Date]])</f>
        <v>2019</v>
      </c>
      <c r="R178" s="18" t="str">
        <f>TEXT(Table2[[#This Row],[Order Date]],"mmm")</f>
        <v>Apr</v>
      </c>
      <c r="S178" s="18"/>
    </row>
    <row r="179" spans="1:19" x14ac:dyDescent="0.2">
      <c r="A179" s="1">
        <v>178</v>
      </c>
      <c r="B179" s="1" t="s">
        <v>458</v>
      </c>
      <c r="C179" s="2">
        <v>43060</v>
      </c>
      <c r="D179" s="1" t="s">
        <v>17</v>
      </c>
      <c r="E179" s="1" t="s">
        <v>220</v>
      </c>
      <c r="F179" s="1" t="s">
        <v>391</v>
      </c>
      <c r="G179" s="1" t="s">
        <v>324</v>
      </c>
      <c r="H179" s="1" t="s">
        <v>103</v>
      </c>
      <c r="I179" s="1" t="s">
        <v>22</v>
      </c>
      <c r="J179" s="1" t="s">
        <v>25</v>
      </c>
      <c r="K179" s="1" t="s">
        <v>459</v>
      </c>
      <c r="L179" s="17">
        <v>396.80200000000002</v>
      </c>
      <c r="M179" s="1">
        <v>7</v>
      </c>
      <c r="N179" s="1">
        <v>0.3</v>
      </c>
      <c r="O179" s="17">
        <v>-11.337199999999939</v>
      </c>
      <c r="P179" s="17">
        <f>('Work File (2)'!$L179*'Work File (2)'!$M179)*(1-'Work File (2)'!$N179)</f>
        <v>1944.3298</v>
      </c>
      <c r="Q179" s="1">
        <f>YEAR(Table2[[#This Row],[Order Date]])</f>
        <v>2017</v>
      </c>
      <c r="R179" s="18" t="str">
        <f>TEXT(Table2[[#This Row],[Order Date]],"mmm")</f>
        <v>Nov</v>
      </c>
      <c r="S179" s="18"/>
    </row>
    <row r="180" spans="1:19" x14ac:dyDescent="0.2">
      <c r="A180" s="1">
        <v>179</v>
      </c>
      <c r="B180" s="1" t="s">
        <v>458</v>
      </c>
      <c r="C180" s="2">
        <v>43060</v>
      </c>
      <c r="D180" s="1" t="s">
        <v>17</v>
      </c>
      <c r="E180" s="1" t="s">
        <v>220</v>
      </c>
      <c r="F180" s="1" t="s">
        <v>391</v>
      </c>
      <c r="G180" s="1" t="s">
        <v>324</v>
      </c>
      <c r="H180" s="1" t="s">
        <v>103</v>
      </c>
      <c r="I180" s="1" t="s">
        <v>32</v>
      </c>
      <c r="J180" s="1" t="s">
        <v>372</v>
      </c>
      <c r="K180" s="1" t="s">
        <v>460</v>
      </c>
      <c r="L180" s="17">
        <v>15.88</v>
      </c>
      <c r="M180" s="1">
        <v>5</v>
      </c>
      <c r="N180" s="1">
        <v>0.2</v>
      </c>
      <c r="O180" s="17">
        <v>-3.771500000000001</v>
      </c>
      <c r="P180" s="17">
        <f>('Work File (2)'!$L180*'Work File (2)'!$M180)*(1-'Work File (2)'!$N180)</f>
        <v>63.52000000000001</v>
      </c>
      <c r="Q180" s="1">
        <f>YEAR(Table2[[#This Row],[Order Date]])</f>
        <v>2017</v>
      </c>
      <c r="R180" s="18" t="str">
        <f>TEXT(Table2[[#This Row],[Order Date]],"mmm")</f>
        <v>Nov</v>
      </c>
      <c r="S180" s="18"/>
    </row>
    <row r="181" spans="1:19" x14ac:dyDescent="0.2">
      <c r="A181" s="1">
        <v>180</v>
      </c>
      <c r="B181" s="1" t="s">
        <v>461</v>
      </c>
      <c r="C181" s="2">
        <v>43084</v>
      </c>
      <c r="D181" s="1" t="s">
        <v>36</v>
      </c>
      <c r="E181" s="1" t="s">
        <v>462</v>
      </c>
      <c r="F181" s="1" t="s">
        <v>178</v>
      </c>
      <c r="G181" s="1" t="s">
        <v>179</v>
      </c>
      <c r="H181" s="1" t="s">
        <v>103</v>
      </c>
      <c r="I181" s="1" t="s">
        <v>32</v>
      </c>
      <c r="J181" s="1" t="s">
        <v>48</v>
      </c>
      <c r="K181" s="1" t="s">
        <v>463</v>
      </c>
      <c r="L181" s="17">
        <v>3.28</v>
      </c>
      <c r="M181" s="1">
        <v>1</v>
      </c>
      <c r="N181" s="1">
        <v>0</v>
      </c>
      <c r="O181" s="17">
        <v>1.4104000000000001</v>
      </c>
      <c r="P181" s="17">
        <f>('Work File (2)'!$L181*'Work File (2)'!$M181)*(1-'Work File (2)'!$N181)</f>
        <v>3.28</v>
      </c>
      <c r="Q181" s="1">
        <f>YEAR(Table2[[#This Row],[Order Date]])</f>
        <v>2017</v>
      </c>
      <c r="R181" s="18" t="str">
        <f>TEXT(Table2[[#This Row],[Order Date]],"mmm")</f>
        <v>Dec</v>
      </c>
      <c r="S181" s="18"/>
    </row>
    <row r="182" spans="1:19" x14ac:dyDescent="0.2">
      <c r="A182" s="1">
        <v>181</v>
      </c>
      <c r="B182" s="1" t="s">
        <v>464</v>
      </c>
      <c r="C182" s="2">
        <v>42709</v>
      </c>
      <c r="D182" s="1" t="s">
        <v>17</v>
      </c>
      <c r="E182" s="1" t="s">
        <v>465</v>
      </c>
      <c r="F182" s="1" t="s">
        <v>235</v>
      </c>
      <c r="G182" s="1" t="s">
        <v>142</v>
      </c>
      <c r="H182" s="1" t="s">
        <v>74</v>
      </c>
      <c r="I182" s="1" t="s">
        <v>32</v>
      </c>
      <c r="J182" s="1" t="s">
        <v>42</v>
      </c>
      <c r="K182" s="1" t="s">
        <v>466</v>
      </c>
      <c r="L182" s="17">
        <v>24.816000000000003</v>
      </c>
      <c r="M182" s="1">
        <v>2</v>
      </c>
      <c r="N182" s="1">
        <v>0.2</v>
      </c>
      <c r="O182" s="17">
        <v>1.8612000000000002</v>
      </c>
      <c r="P182" s="17">
        <f>('Work File (2)'!$L182*'Work File (2)'!$M182)*(1-'Work File (2)'!$N182)</f>
        <v>39.705600000000004</v>
      </c>
      <c r="Q182" s="1">
        <f>YEAR(Table2[[#This Row],[Order Date]])</f>
        <v>2016</v>
      </c>
      <c r="R182" s="18" t="str">
        <f>TEXT(Table2[[#This Row],[Order Date]],"mmm")</f>
        <v>Dec</v>
      </c>
      <c r="S182" s="18"/>
    </row>
    <row r="183" spans="1:19" x14ac:dyDescent="0.2">
      <c r="A183" s="1">
        <v>182</v>
      </c>
      <c r="B183" s="1" t="s">
        <v>464</v>
      </c>
      <c r="C183" s="2">
        <v>42709</v>
      </c>
      <c r="D183" s="1" t="s">
        <v>17</v>
      </c>
      <c r="E183" s="1" t="s">
        <v>465</v>
      </c>
      <c r="F183" s="1" t="s">
        <v>235</v>
      </c>
      <c r="G183" s="1" t="s">
        <v>142</v>
      </c>
      <c r="H183" s="1" t="s">
        <v>74</v>
      </c>
      <c r="I183" s="1" t="s">
        <v>50</v>
      </c>
      <c r="J183" s="1" t="s">
        <v>111</v>
      </c>
      <c r="K183" s="1" t="s">
        <v>467</v>
      </c>
      <c r="L183" s="17">
        <v>408.74399999999997</v>
      </c>
      <c r="M183" s="1">
        <v>7</v>
      </c>
      <c r="N183" s="1">
        <v>0.2</v>
      </c>
      <c r="O183" s="17">
        <v>76.639499999999984</v>
      </c>
      <c r="P183" s="17">
        <f>('Work File (2)'!$L183*'Work File (2)'!$M183)*(1-'Work File (2)'!$N183)</f>
        <v>2288.9663999999998</v>
      </c>
      <c r="Q183" s="1">
        <f>YEAR(Table2[[#This Row],[Order Date]])</f>
        <v>2016</v>
      </c>
      <c r="R183" s="18" t="str">
        <f>TEXT(Table2[[#This Row],[Order Date]],"mmm")</f>
        <v>Dec</v>
      </c>
      <c r="S183" s="18"/>
    </row>
    <row r="184" spans="1:19" x14ac:dyDescent="0.2">
      <c r="A184" s="1">
        <v>183</v>
      </c>
      <c r="B184" s="1" t="s">
        <v>468</v>
      </c>
      <c r="C184" s="2">
        <v>42693</v>
      </c>
      <c r="D184" s="1" t="s">
        <v>17</v>
      </c>
      <c r="E184" s="1" t="s">
        <v>469</v>
      </c>
      <c r="F184" s="1" t="s">
        <v>470</v>
      </c>
      <c r="G184" s="1" t="s">
        <v>471</v>
      </c>
      <c r="H184" s="1" t="s">
        <v>21</v>
      </c>
      <c r="I184" s="1" t="s">
        <v>50</v>
      </c>
      <c r="J184" s="1" t="s">
        <v>51</v>
      </c>
      <c r="K184" s="1" t="s">
        <v>472</v>
      </c>
      <c r="L184" s="17">
        <v>503.96</v>
      </c>
      <c r="M184" s="1">
        <v>4</v>
      </c>
      <c r="N184" s="1">
        <v>0</v>
      </c>
      <c r="O184" s="17">
        <v>131.02960000000002</v>
      </c>
      <c r="P184" s="17">
        <f>('Work File (2)'!$L184*'Work File (2)'!$M184)*(1-'Work File (2)'!$N184)</f>
        <v>2015.84</v>
      </c>
      <c r="Q184" s="1">
        <f>YEAR(Table2[[#This Row],[Order Date]])</f>
        <v>2016</v>
      </c>
      <c r="R184" s="18" t="str">
        <f>TEXT(Table2[[#This Row],[Order Date]],"mmm")</f>
        <v>Nov</v>
      </c>
      <c r="S184" s="18"/>
    </row>
    <row r="185" spans="1:19" x14ac:dyDescent="0.2">
      <c r="A185" s="1">
        <v>184</v>
      </c>
      <c r="B185" s="1" t="s">
        <v>468</v>
      </c>
      <c r="C185" s="2">
        <v>42693</v>
      </c>
      <c r="D185" s="1" t="s">
        <v>17</v>
      </c>
      <c r="E185" s="1" t="s">
        <v>469</v>
      </c>
      <c r="F185" s="1" t="s">
        <v>470</v>
      </c>
      <c r="G185" s="1" t="s">
        <v>471</v>
      </c>
      <c r="H185" s="1" t="s">
        <v>21</v>
      </c>
      <c r="I185" s="1" t="s">
        <v>50</v>
      </c>
      <c r="J185" s="1" t="s">
        <v>51</v>
      </c>
      <c r="K185" s="1" t="s">
        <v>473</v>
      </c>
      <c r="L185" s="17">
        <v>149.94999999999999</v>
      </c>
      <c r="M185" s="1">
        <v>5</v>
      </c>
      <c r="N185" s="1">
        <v>0</v>
      </c>
      <c r="O185" s="17">
        <v>41.986000000000004</v>
      </c>
      <c r="P185" s="17">
        <f>('Work File (2)'!$L185*'Work File (2)'!$M185)*(1-'Work File (2)'!$N185)</f>
        <v>749.75</v>
      </c>
      <c r="Q185" s="1">
        <f>YEAR(Table2[[#This Row],[Order Date]])</f>
        <v>2016</v>
      </c>
      <c r="R185" s="18" t="str">
        <f>TEXT(Table2[[#This Row],[Order Date]],"mmm")</f>
        <v>Nov</v>
      </c>
      <c r="S185" s="18"/>
    </row>
    <row r="186" spans="1:19" x14ac:dyDescent="0.2">
      <c r="A186" s="1">
        <v>185</v>
      </c>
      <c r="B186" s="1" t="s">
        <v>468</v>
      </c>
      <c r="C186" s="2">
        <v>42693</v>
      </c>
      <c r="D186" s="1" t="s">
        <v>17</v>
      </c>
      <c r="E186" s="1" t="s">
        <v>469</v>
      </c>
      <c r="F186" s="1" t="s">
        <v>470</v>
      </c>
      <c r="G186" s="1" t="s">
        <v>471</v>
      </c>
      <c r="H186" s="1" t="s">
        <v>21</v>
      </c>
      <c r="I186" s="1" t="s">
        <v>50</v>
      </c>
      <c r="J186" s="1" t="s">
        <v>111</v>
      </c>
      <c r="K186" s="1" t="s">
        <v>474</v>
      </c>
      <c r="L186" s="17">
        <v>29</v>
      </c>
      <c r="M186" s="1">
        <v>2</v>
      </c>
      <c r="N186" s="1">
        <v>0</v>
      </c>
      <c r="O186" s="17">
        <v>7.25</v>
      </c>
      <c r="P186" s="17">
        <f>('Work File (2)'!$L186*'Work File (2)'!$M186)*(1-'Work File (2)'!$N186)</f>
        <v>58</v>
      </c>
      <c r="Q186" s="1">
        <f>YEAR(Table2[[#This Row],[Order Date]])</f>
        <v>2016</v>
      </c>
      <c r="R186" s="18" t="str">
        <f>TEXT(Table2[[#This Row],[Order Date]],"mmm")</f>
        <v>Nov</v>
      </c>
      <c r="S186" s="18"/>
    </row>
    <row r="187" spans="1:19" x14ac:dyDescent="0.2">
      <c r="A187" s="1">
        <v>186</v>
      </c>
      <c r="B187" s="1" t="s">
        <v>475</v>
      </c>
      <c r="C187" s="2">
        <v>43432</v>
      </c>
      <c r="D187" s="1" t="s">
        <v>36</v>
      </c>
      <c r="E187" s="1" t="s">
        <v>476</v>
      </c>
      <c r="F187" s="1" t="s">
        <v>477</v>
      </c>
      <c r="G187" s="1" t="s">
        <v>478</v>
      </c>
      <c r="H187" s="1" t="s">
        <v>103</v>
      </c>
      <c r="I187" s="1" t="s">
        <v>32</v>
      </c>
      <c r="J187" s="1" t="s">
        <v>53</v>
      </c>
      <c r="K187" s="1" t="s">
        <v>479</v>
      </c>
      <c r="L187" s="17">
        <v>7.16</v>
      </c>
      <c r="M187" s="1">
        <v>2</v>
      </c>
      <c r="N187" s="1">
        <v>0</v>
      </c>
      <c r="O187" s="17">
        <v>3.4367999999999999</v>
      </c>
      <c r="P187" s="17">
        <f>('Work File (2)'!$L187*'Work File (2)'!$M187)*(1-'Work File (2)'!$N187)</f>
        <v>14.32</v>
      </c>
      <c r="Q187" s="1">
        <f>YEAR(Table2[[#This Row],[Order Date]])</f>
        <v>2018</v>
      </c>
      <c r="R187" s="18" t="str">
        <f>TEXT(Table2[[#This Row],[Order Date]],"mmm")</f>
        <v>Nov</v>
      </c>
      <c r="S187" s="18"/>
    </row>
    <row r="188" spans="1:19" x14ac:dyDescent="0.2">
      <c r="A188" s="1">
        <v>187</v>
      </c>
      <c r="B188" s="1" t="s">
        <v>480</v>
      </c>
      <c r="C188" s="2">
        <v>42608</v>
      </c>
      <c r="D188" s="1" t="s">
        <v>36</v>
      </c>
      <c r="E188" s="1" t="s">
        <v>481</v>
      </c>
      <c r="F188" s="1" t="s">
        <v>29</v>
      </c>
      <c r="G188" s="1" t="s">
        <v>30</v>
      </c>
      <c r="H188" s="1" t="s">
        <v>31</v>
      </c>
      <c r="I188" s="1" t="s">
        <v>50</v>
      </c>
      <c r="J188" s="1" t="s">
        <v>111</v>
      </c>
      <c r="K188" s="1" t="s">
        <v>482</v>
      </c>
      <c r="L188" s="17">
        <v>176.8</v>
      </c>
      <c r="M188" s="1">
        <v>8</v>
      </c>
      <c r="N188" s="1">
        <v>0</v>
      </c>
      <c r="O188" s="17">
        <v>22.984000000000009</v>
      </c>
      <c r="P188" s="17">
        <f>('Work File (2)'!$L188*'Work File (2)'!$M188)*(1-'Work File (2)'!$N188)</f>
        <v>1414.4</v>
      </c>
      <c r="Q188" s="1">
        <f>YEAR(Table2[[#This Row],[Order Date]])</f>
        <v>2016</v>
      </c>
      <c r="R188" s="18" t="str">
        <f>TEXT(Table2[[#This Row],[Order Date]],"mmm")</f>
        <v>Aug</v>
      </c>
      <c r="S188" s="18"/>
    </row>
    <row r="189" spans="1:19" x14ac:dyDescent="0.2">
      <c r="A189" s="1">
        <v>188</v>
      </c>
      <c r="B189" s="1" t="s">
        <v>483</v>
      </c>
      <c r="C189" s="2">
        <v>43297</v>
      </c>
      <c r="D189" s="1" t="s">
        <v>36</v>
      </c>
      <c r="E189" s="1" t="s">
        <v>484</v>
      </c>
      <c r="F189" s="1" t="s">
        <v>485</v>
      </c>
      <c r="G189" s="1" t="s">
        <v>73</v>
      </c>
      <c r="H189" s="1" t="s">
        <v>74</v>
      </c>
      <c r="I189" s="1" t="s">
        <v>32</v>
      </c>
      <c r="J189" s="1" t="s">
        <v>42</v>
      </c>
      <c r="K189" s="1" t="s">
        <v>486</v>
      </c>
      <c r="L189" s="17">
        <v>37.224000000000004</v>
      </c>
      <c r="M189" s="1">
        <v>3</v>
      </c>
      <c r="N189" s="1">
        <v>0.2</v>
      </c>
      <c r="O189" s="17">
        <v>3.7224000000000004</v>
      </c>
      <c r="P189" s="17">
        <f>('Work File (2)'!$L189*'Work File (2)'!$M189)*(1-'Work File (2)'!$N189)</f>
        <v>89.337600000000009</v>
      </c>
      <c r="Q189" s="1">
        <f>YEAR(Table2[[#This Row],[Order Date]])</f>
        <v>2018</v>
      </c>
      <c r="R189" s="18" t="str">
        <f>TEXT(Table2[[#This Row],[Order Date]],"mmm")</f>
        <v>Jul</v>
      </c>
      <c r="S189" s="18"/>
    </row>
    <row r="190" spans="1:19" x14ac:dyDescent="0.2">
      <c r="A190" s="1">
        <v>189</v>
      </c>
      <c r="B190" s="1" t="s">
        <v>483</v>
      </c>
      <c r="C190" s="2">
        <v>43297</v>
      </c>
      <c r="D190" s="1" t="s">
        <v>36</v>
      </c>
      <c r="E190" s="1" t="s">
        <v>484</v>
      </c>
      <c r="F190" s="1" t="s">
        <v>485</v>
      </c>
      <c r="G190" s="1" t="s">
        <v>73</v>
      </c>
      <c r="H190" s="1" t="s">
        <v>74</v>
      </c>
      <c r="I190" s="1" t="s">
        <v>32</v>
      </c>
      <c r="J190" s="1" t="s">
        <v>63</v>
      </c>
      <c r="K190" s="1" t="s">
        <v>407</v>
      </c>
      <c r="L190" s="17">
        <v>20.016000000000002</v>
      </c>
      <c r="M190" s="1">
        <v>3</v>
      </c>
      <c r="N190" s="1">
        <v>0.2</v>
      </c>
      <c r="O190" s="17">
        <v>6.2549999999999963</v>
      </c>
      <c r="P190" s="17">
        <f>('Work File (2)'!$L190*'Work File (2)'!$M190)*(1-'Work File (2)'!$N190)</f>
        <v>48.038400000000003</v>
      </c>
      <c r="Q190" s="1">
        <f>YEAR(Table2[[#This Row],[Order Date]])</f>
        <v>2018</v>
      </c>
      <c r="R190" s="18" t="str">
        <f>TEXT(Table2[[#This Row],[Order Date]],"mmm")</f>
        <v>Jul</v>
      </c>
      <c r="S190" s="18"/>
    </row>
    <row r="191" spans="1:19" x14ac:dyDescent="0.2">
      <c r="A191" s="1">
        <v>190</v>
      </c>
      <c r="B191" s="1" t="s">
        <v>487</v>
      </c>
      <c r="C191" s="2">
        <v>43020</v>
      </c>
      <c r="D191" s="1" t="s">
        <v>128</v>
      </c>
      <c r="E191" s="1" t="s">
        <v>488</v>
      </c>
      <c r="F191" s="1" t="s">
        <v>178</v>
      </c>
      <c r="G191" s="1" t="s">
        <v>179</v>
      </c>
      <c r="H191" s="1" t="s">
        <v>103</v>
      </c>
      <c r="I191" s="1" t="s">
        <v>22</v>
      </c>
      <c r="J191" s="1" t="s">
        <v>23</v>
      </c>
      <c r="K191" s="1" t="s">
        <v>489</v>
      </c>
      <c r="L191" s="17">
        <v>899.13600000000008</v>
      </c>
      <c r="M191" s="1">
        <v>4</v>
      </c>
      <c r="N191" s="1">
        <v>0.2</v>
      </c>
      <c r="O191" s="17">
        <v>112.39199999999991</v>
      </c>
      <c r="P191" s="17">
        <f>('Work File (2)'!$L191*'Work File (2)'!$M191)*(1-'Work File (2)'!$N191)</f>
        <v>2877.2352000000005</v>
      </c>
      <c r="Q191" s="1">
        <f>YEAR(Table2[[#This Row],[Order Date]])</f>
        <v>2017</v>
      </c>
      <c r="R191" s="18" t="str">
        <f>TEXT(Table2[[#This Row],[Order Date]],"mmm")</f>
        <v>Oct</v>
      </c>
      <c r="S191" s="18"/>
    </row>
    <row r="192" spans="1:19" x14ac:dyDescent="0.2">
      <c r="A192" s="1">
        <v>191</v>
      </c>
      <c r="B192" s="1" t="s">
        <v>487</v>
      </c>
      <c r="C192" s="2">
        <v>43020</v>
      </c>
      <c r="D192" s="1" t="s">
        <v>128</v>
      </c>
      <c r="E192" s="1" t="s">
        <v>488</v>
      </c>
      <c r="F192" s="1" t="s">
        <v>178</v>
      </c>
      <c r="G192" s="1" t="s">
        <v>179</v>
      </c>
      <c r="H192" s="1" t="s">
        <v>103</v>
      </c>
      <c r="I192" s="1" t="s">
        <v>50</v>
      </c>
      <c r="J192" s="1" t="s">
        <v>51</v>
      </c>
      <c r="K192" s="1" t="s">
        <v>490</v>
      </c>
      <c r="L192" s="17">
        <v>71.760000000000005</v>
      </c>
      <c r="M192" s="1">
        <v>6</v>
      </c>
      <c r="N192" s="1">
        <v>0</v>
      </c>
      <c r="O192" s="17">
        <v>20.092800000000004</v>
      </c>
      <c r="P192" s="17">
        <f>('Work File (2)'!$L192*'Work File (2)'!$M192)*(1-'Work File (2)'!$N192)</f>
        <v>430.56000000000006</v>
      </c>
      <c r="Q192" s="1">
        <f>YEAR(Table2[[#This Row],[Order Date]])</f>
        <v>2017</v>
      </c>
      <c r="R192" s="18" t="str">
        <f>TEXT(Table2[[#This Row],[Order Date]],"mmm")</f>
        <v>Oct</v>
      </c>
      <c r="S192" s="18"/>
    </row>
    <row r="193" spans="1:19" x14ac:dyDescent="0.2">
      <c r="A193" s="1">
        <v>192</v>
      </c>
      <c r="B193" s="1" t="s">
        <v>487</v>
      </c>
      <c r="C193" s="2">
        <v>43020</v>
      </c>
      <c r="D193" s="1" t="s">
        <v>128</v>
      </c>
      <c r="E193" s="1" t="s">
        <v>488</v>
      </c>
      <c r="F193" s="1" t="s">
        <v>178</v>
      </c>
      <c r="G193" s="1" t="s">
        <v>179</v>
      </c>
      <c r="H193" s="1" t="s">
        <v>103</v>
      </c>
      <c r="I193" s="1" t="s">
        <v>32</v>
      </c>
      <c r="J193" s="1" t="s">
        <v>63</v>
      </c>
      <c r="K193" s="1" t="s">
        <v>491</v>
      </c>
      <c r="L193" s="17">
        <v>51.84</v>
      </c>
      <c r="M193" s="1">
        <v>8</v>
      </c>
      <c r="N193" s="1">
        <v>0</v>
      </c>
      <c r="O193" s="17">
        <v>24.883200000000002</v>
      </c>
      <c r="P193" s="17">
        <f>('Work File (2)'!$L193*'Work File (2)'!$M193)*(1-'Work File (2)'!$N193)</f>
        <v>414.72</v>
      </c>
      <c r="Q193" s="1">
        <f>YEAR(Table2[[#This Row],[Order Date]])</f>
        <v>2017</v>
      </c>
      <c r="R193" s="18" t="str">
        <f>TEXT(Table2[[#This Row],[Order Date]],"mmm")</f>
        <v>Oct</v>
      </c>
      <c r="S193" s="18"/>
    </row>
    <row r="194" spans="1:19" x14ac:dyDescent="0.2">
      <c r="A194" s="1">
        <v>193</v>
      </c>
      <c r="B194" s="1" t="s">
        <v>487</v>
      </c>
      <c r="C194" s="2">
        <v>43020</v>
      </c>
      <c r="D194" s="1" t="s">
        <v>128</v>
      </c>
      <c r="E194" s="1" t="s">
        <v>488</v>
      </c>
      <c r="F194" s="1" t="s">
        <v>178</v>
      </c>
      <c r="G194" s="1" t="s">
        <v>179</v>
      </c>
      <c r="H194" s="1" t="s">
        <v>103</v>
      </c>
      <c r="I194" s="1" t="s">
        <v>22</v>
      </c>
      <c r="J194" s="1" t="s">
        <v>23</v>
      </c>
      <c r="K194" s="1" t="s">
        <v>136</v>
      </c>
      <c r="L194" s="17">
        <v>626.35200000000009</v>
      </c>
      <c r="M194" s="1">
        <v>3</v>
      </c>
      <c r="N194" s="1">
        <v>0.2</v>
      </c>
      <c r="O194" s="17">
        <v>46.976400000000012</v>
      </c>
      <c r="P194" s="17">
        <f>('Work File (2)'!$L194*'Work File (2)'!$M194)*(1-'Work File (2)'!$N194)</f>
        <v>1503.2448000000004</v>
      </c>
      <c r="Q194" s="1">
        <f>YEAR(Table2[[#This Row],[Order Date]])</f>
        <v>2017</v>
      </c>
      <c r="R194" s="18" t="str">
        <f>TEXT(Table2[[#This Row],[Order Date]],"mmm")</f>
        <v>Oct</v>
      </c>
      <c r="S194" s="18"/>
    </row>
    <row r="195" spans="1:19" x14ac:dyDescent="0.2">
      <c r="A195" s="1">
        <v>194</v>
      </c>
      <c r="B195" s="1" t="s">
        <v>487</v>
      </c>
      <c r="C195" s="2">
        <v>43020</v>
      </c>
      <c r="D195" s="1" t="s">
        <v>128</v>
      </c>
      <c r="E195" s="1" t="s">
        <v>488</v>
      </c>
      <c r="F195" s="1" t="s">
        <v>178</v>
      </c>
      <c r="G195" s="1" t="s">
        <v>179</v>
      </c>
      <c r="H195" s="1" t="s">
        <v>103</v>
      </c>
      <c r="I195" s="1" t="s">
        <v>32</v>
      </c>
      <c r="J195" s="1" t="s">
        <v>48</v>
      </c>
      <c r="K195" s="1" t="s">
        <v>492</v>
      </c>
      <c r="L195" s="17">
        <v>19.899999999999999</v>
      </c>
      <c r="M195" s="1">
        <v>5</v>
      </c>
      <c r="N195" s="1">
        <v>0</v>
      </c>
      <c r="O195" s="17">
        <v>6.5669999999999984</v>
      </c>
      <c r="P195" s="17">
        <f>('Work File (2)'!$L195*'Work File (2)'!$M195)*(1-'Work File (2)'!$N195)</f>
        <v>99.5</v>
      </c>
      <c r="Q195" s="1">
        <f>YEAR(Table2[[#This Row],[Order Date]])</f>
        <v>2017</v>
      </c>
      <c r="R195" s="18" t="str">
        <f>TEXT(Table2[[#This Row],[Order Date]],"mmm")</f>
        <v>Oct</v>
      </c>
      <c r="S195" s="18"/>
    </row>
    <row r="196" spans="1:19" x14ac:dyDescent="0.2">
      <c r="A196" s="1">
        <v>195</v>
      </c>
      <c r="B196" s="1" t="s">
        <v>493</v>
      </c>
      <c r="C196" s="2">
        <v>43039</v>
      </c>
      <c r="D196" s="1" t="s">
        <v>36</v>
      </c>
      <c r="E196" s="1" t="s">
        <v>494</v>
      </c>
      <c r="F196" s="1" t="s">
        <v>495</v>
      </c>
      <c r="G196" s="1" t="s">
        <v>30</v>
      </c>
      <c r="H196" s="1" t="s">
        <v>31</v>
      </c>
      <c r="I196" s="1" t="s">
        <v>32</v>
      </c>
      <c r="J196" s="1" t="s">
        <v>118</v>
      </c>
      <c r="K196" s="1" t="s">
        <v>119</v>
      </c>
      <c r="L196" s="17">
        <v>14.280000000000001</v>
      </c>
      <c r="M196" s="1">
        <v>7</v>
      </c>
      <c r="N196" s="1">
        <v>0</v>
      </c>
      <c r="O196" s="17">
        <v>6.7115999999999989</v>
      </c>
      <c r="P196" s="17">
        <f>('Work File (2)'!$L196*'Work File (2)'!$M196)*(1-'Work File (2)'!$N196)</f>
        <v>99.960000000000008</v>
      </c>
      <c r="Q196" s="1">
        <f>YEAR(Table2[[#This Row],[Order Date]])</f>
        <v>2017</v>
      </c>
      <c r="R196" s="18" t="str">
        <f>TEXT(Table2[[#This Row],[Order Date]],"mmm")</f>
        <v>Oct</v>
      </c>
      <c r="S196" s="18"/>
    </row>
    <row r="197" spans="1:19" x14ac:dyDescent="0.2">
      <c r="A197" s="1">
        <v>196</v>
      </c>
      <c r="B197" s="1" t="s">
        <v>496</v>
      </c>
      <c r="C197" s="2">
        <v>42450</v>
      </c>
      <c r="D197" s="1" t="s">
        <v>36</v>
      </c>
      <c r="E197" s="1" t="s">
        <v>497</v>
      </c>
      <c r="F197" s="1" t="s">
        <v>498</v>
      </c>
      <c r="G197" s="1" t="s">
        <v>324</v>
      </c>
      <c r="H197" s="1" t="s">
        <v>103</v>
      </c>
      <c r="I197" s="1" t="s">
        <v>32</v>
      </c>
      <c r="J197" s="1" t="s">
        <v>48</v>
      </c>
      <c r="K197" s="1" t="s">
        <v>499</v>
      </c>
      <c r="L197" s="17">
        <v>7.4080000000000004</v>
      </c>
      <c r="M197" s="1">
        <v>2</v>
      </c>
      <c r="N197" s="1">
        <v>0.2</v>
      </c>
      <c r="O197" s="17">
        <v>1.2037999999999995</v>
      </c>
      <c r="P197" s="17">
        <f>('Work File (2)'!$L197*'Work File (2)'!$M197)*(1-'Work File (2)'!$N197)</f>
        <v>11.852800000000002</v>
      </c>
      <c r="Q197" s="1">
        <f>YEAR(Table2[[#This Row],[Order Date]])</f>
        <v>2016</v>
      </c>
      <c r="R197" s="18" t="str">
        <f>TEXT(Table2[[#This Row],[Order Date]],"mmm")</f>
        <v>Mar</v>
      </c>
      <c r="S197" s="18"/>
    </row>
    <row r="198" spans="1:19" x14ac:dyDescent="0.2">
      <c r="A198" s="1">
        <v>197</v>
      </c>
      <c r="B198" s="1" t="s">
        <v>496</v>
      </c>
      <c r="C198" s="2">
        <v>42450</v>
      </c>
      <c r="D198" s="1" t="s">
        <v>36</v>
      </c>
      <c r="E198" s="1" t="s">
        <v>497</v>
      </c>
      <c r="F198" s="1" t="s">
        <v>498</v>
      </c>
      <c r="G198" s="1" t="s">
        <v>324</v>
      </c>
      <c r="H198" s="1" t="s">
        <v>103</v>
      </c>
      <c r="I198" s="1" t="s">
        <v>32</v>
      </c>
      <c r="J198" s="1" t="s">
        <v>48</v>
      </c>
      <c r="K198" s="1" t="s">
        <v>500</v>
      </c>
      <c r="L198" s="17">
        <v>6.048</v>
      </c>
      <c r="M198" s="1">
        <v>3</v>
      </c>
      <c r="N198" s="1">
        <v>0.2</v>
      </c>
      <c r="O198" s="17">
        <v>1.5876000000000006</v>
      </c>
      <c r="P198" s="17">
        <f>('Work File (2)'!$L198*'Work File (2)'!$M198)*(1-'Work File (2)'!$N198)</f>
        <v>14.5152</v>
      </c>
      <c r="Q198" s="1">
        <f>YEAR(Table2[[#This Row],[Order Date]])</f>
        <v>2016</v>
      </c>
      <c r="R198" s="18" t="str">
        <f>TEXT(Table2[[#This Row],[Order Date]],"mmm")</f>
        <v>Mar</v>
      </c>
      <c r="S198" s="18"/>
    </row>
    <row r="199" spans="1:19" x14ac:dyDescent="0.2">
      <c r="A199" s="1">
        <v>198</v>
      </c>
      <c r="B199" s="1" t="s">
        <v>501</v>
      </c>
      <c r="C199" s="2">
        <v>43775</v>
      </c>
      <c r="D199" s="1" t="s">
        <v>36</v>
      </c>
      <c r="E199" s="1" t="s">
        <v>502</v>
      </c>
      <c r="F199" s="1" t="s">
        <v>503</v>
      </c>
      <c r="G199" s="1" t="s">
        <v>504</v>
      </c>
      <c r="H199" s="1" t="s">
        <v>103</v>
      </c>
      <c r="I199" s="1" t="s">
        <v>32</v>
      </c>
      <c r="J199" s="1" t="s">
        <v>42</v>
      </c>
      <c r="K199" s="1" t="s">
        <v>505</v>
      </c>
      <c r="L199" s="17">
        <v>46.26</v>
      </c>
      <c r="M199" s="1">
        <v>3</v>
      </c>
      <c r="N199" s="1">
        <v>0</v>
      </c>
      <c r="O199" s="17">
        <v>12.0276</v>
      </c>
      <c r="P199" s="17">
        <f>('Work File (2)'!$L199*'Work File (2)'!$M199)*(1-'Work File (2)'!$N199)</f>
        <v>138.78</v>
      </c>
      <c r="Q199" s="1">
        <f>YEAR(Table2[[#This Row],[Order Date]])</f>
        <v>2019</v>
      </c>
      <c r="R199" s="18" t="str">
        <f>TEXT(Table2[[#This Row],[Order Date]],"mmm")</f>
        <v>Nov</v>
      </c>
      <c r="S199" s="18"/>
    </row>
    <row r="200" spans="1:19" x14ac:dyDescent="0.2">
      <c r="A200" s="1">
        <v>199</v>
      </c>
      <c r="B200" s="1" t="s">
        <v>506</v>
      </c>
      <c r="C200" s="2">
        <v>43652</v>
      </c>
      <c r="D200" s="1" t="s">
        <v>36</v>
      </c>
      <c r="E200" s="1" t="s">
        <v>507</v>
      </c>
      <c r="F200" s="1" t="s">
        <v>101</v>
      </c>
      <c r="G200" s="1" t="s">
        <v>102</v>
      </c>
      <c r="H200" s="1" t="s">
        <v>103</v>
      </c>
      <c r="I200" s="1" t="s">
        <v>32</v>
      </c>
      <c r="J200" s="1" t="s">
        <v>53</v>
      </c>
      <c r="K200" s="1" t="s">
        <v>508</v>
      </c>
      <c r="L200" s="17">
        <v>2.9460000000000006</v>
      </c>
      <c r="M200" s="1">
        <v>2</v>
      </c>
      <c r="N200" s="1">
        <v>0.7</v>
      </c>
      <c r="O200" s="17">
        <v>-2.2585999999999995</v>
      </c>
      <c r="P200" s="17">
        <f>('Work File (2)'!$L200*'Work File (2)'!$M200)*(1-'Work File (2)'!$N200)</f>
        <v>1.7676000000000007</v>
      </c>
      <c r="Q200" s="1">
        <f>YEAR(Table2[[#This Row],[Order Date]])</f>
        <v>2019</v>
      </c>
      <c r="R200" s="18" t="str">
        <f>TEXT(Table2[[#This Row],[Order Date]],"mmm")</f>
        <v>Jul</v>
      </c>
      <c r="S200" s="18"/>
    </row>
    <row r="201" spans="1:19" x14ac:dyDescent="0.2">
      <c r="A201" s="1">
        <v>200</v>
      </c>
      <c r="B201" s="1" t="s">
        <v>506</v>
      </c>
      <c r="C201" s="2">
        <v>43652</v>
      </c>
      <c r="D201" s="1" t="s">
        <v>36</v>
      </c>
      <c r="E201" s="1" t="s">
        <v>507</v>
      </c>
      <c r="F201" s="1" t="s">
        <v>101</v>
      </c>
      <c r="G201" s="1" t="s">
        <v>102</v>
      </c>
      <c r="H201" s="1" t="s">
        <v>103</v>
      </c>
      <c r="I201" s="1" t="s">
        <v>32</v>
      </c>
      <c r="J201" s="1" t="s">
        <v>63</v>
      </c>
      <c r="K201" s="1" t="s">
        <v>509</v>
      </c>
      <c r="L201" s="17">
        <v>16.056000000000001</v>
      </c>
      <c r="M201" s="1">
        <v>3</v>
      </c>
      <c r="N201" s="1">
        <v>0.2</v>
      </c>
      <c r="O201" s="17">
        <v>5.8203000000000005</v>
      </c>
      <c r="P201" s="17">
        <f>('Work File (2)'!$L201*'Work File (2)'!$M201)*(1-'Work File (2)'!$N201)</f>
        <v>38.534400000000005</v>
      </c>
      <c r="Q201" s="1">
        <f>YEAR(Table2[[#This Row],[Order Date]])</f>
        <v>2019</v>
      </c>
      <c r="R201" s="18" t="str">
        <f>TEXT(Table2[[#This Row],[Order Date]],"mmm")</f>
        <v>Jul</v>
      </c>
      <c r="S201" s="18"/>
    </row>
    <row r="202" spans="1:19" x14ac:dyDescent="0.2">
      <c r="A202" s="1">
        <v>201</v>
      </c>
      <c r="B202" s="1" t="s">
        <v>510</v>
      </c>
      <c r="C202" s="2">
        <v>43640</v>
      </c>
      <c r="D202" s="1" t="s">
        <v>36</v>
      </c>
      <c r="E202" s="1" t="s">
        <v>511</v>
      </c>
      <c r="F202" s="1" t="s">
        <v>512</v>
      </c>
      <c r="G202" s="1" t="s">
        <v>324</v>
      </c>
      <c r="H202" s="1" t="s">
        <v>103</v>
      </c>
      <c r="I202" s="1" t="s">
        <v>32</v>
      </c>
      <c r="J202" s="1" t="s">
        <v>63</v>
      </c>
      <c r="K202" s="1" t="s">
        <v>513</v>
      </c>
      <c r="L202" s="17">
        <v>21.744000000000003</v>
      </c>
      <c r="M202" s="1">
        <v>3</v>
      </c>
      <c r="N202" s="1">
        <v>0.2</v>
      </c>
      <c r="O202" s="17">
        <v>6.794999999999999</v>
      </c>
      <c r="P202" s="17">
        <f>('Work File (2)'!$L202*'Work File (2)'!$M202)*(1-'Work File (2)'!$N202)</f>
        <v>52.185600000000015</v>
      </c>
      <c r="Q202" s="1">
        <f>YEAR(Table2[[#This Row],[Order Date]])</f>
        <v>2019</v>
      </c>
      <c r="R202" s="18" t="str">
        <f>TEXT(Table2[[#This Row],[Order Date]],"mmm")</f>
        <v>Jun</v>
      </c>
      <c r="S202" s="18"/>
    </row>
    <row r="203" spans="1:19" x14ac:dyDescent="0.2">
      <c r="A203" s="1">
        <v>202</v>
      </c>
      <c r="B203" s="1" t="s">
        <v>514</v>
      </c>
      <c r="C203" s="2">
        <v>42585</v>
      </c>
      <c r="D203" s="1" t="s">
        <v>128</v>
      </c>
      <c r="E203" s="1" t="s">
        <v>515</v>
      </c>
      <c r="F203" s="1" t="s">
        <v>516</v>
      </c>
      <c r="G203" s="1" t="s">
        <v>298</v>
      </c>
      <c r="H203" s="1" t="s">
        <v>31</v>
      </c>
      <c r="I203" s="1" t="s">
        <v>22</v>
      </c>
      <c r="J203" s="1" t="s">
        <v>40</v>
      </c>
      <c r="K203" s="1" t="s">
        <v>517</v>
      </c>
      <c r="L203" s="17">
        <v>218.75</v>
      </c>
      <c r="M203" s="1">
        <v>2</v>
      </c>
      <c r="N203" s="1">
        <v>0.5</v>
      </c>
      <c r="O203" s="17">
        <v>-161.875</v>
      </c>
      <c r="P203" s="17">
        <f>('Work File (2)'!$L203*'Work File (2)'!$M203)*(1-'Work File (2)'!$N203)</f>
        <v>218.75</v>
      </c>
      <c r="Q203" s="1">
        <f>YEAR(Table2[[#This Row],[Order Date]])</f>
        <v>2016</v>
      </c>
      <c r="R203" s="18" t="str">
        <f>TEXT(Table2[[#This Row],[Order Date]],"mmm")</f>
        <v>Aug</v>
      </c>
      <c r="S203" s="18"/>
    </row>
    <row r="204" spans="1:19" x14ac:dyDescent="0.2">
      <c r="A204" s="1">
        <v>203</v>
      </c>
      <c r="B204" s="1" t="s">
        <v>514</v>
      </c>
      <c r="C204" s="2">
        <v>42585</v>
      </c>
      <c r="D204" s="1" t="s">
        <v>128</v>
      </c>
      <c r="E204" s="1" t="s">
        <v>515</v>
      </c>
      <c r="F204" s="1" t="s">
        <v>516</v>
      </c>
      <c r="G204" s="1" t="s">
        <v>298</v>
      </c>
      <c r="H204" s="1" t="s">
        <v>31</v>
      </c>
      <c r="I204" s="1" t="s">
        <v>32</v>
      </c>
      <c r="J204" s="1" t="s">
        <v>55</v>
      </c>
      <c r="K204" s="1" t="s">
        <v>518</v>
      </c>
      <c r="L204" s="17">
        <v>2.6</v>
      </c>
      <c r="M204" s="1">
        <v>1</v>
      </c>
      <c r="N204" s="1">
        <v>0.2</v>
      </c>
      <c r="O204" s="17">
        <v>0.29249999999999987</v>
      </c>
      <c r="P204" s="17">
        <f>('Work File (2)'!$L204*'Work File (2)'!$M204)*(1-'Work File (2)'!$N204)</f>
        <v>2.08</v>
      </c>
      <c r="Q204" s="1">
        <f>YEAR(Table2[[#This Row],[Order Date]])</f>
        <v>2016</v>
      </c>
      <c r="R204" s="18" t="str">
        <f>TEXT(Table2[[#This Row],[Order Date]],"mmm")</f>
        <v>Aug</v>
      </c>
      <c r="S204" s="18"/>
    </row>
    <row r="205" spans="1:19" x14ac:dyDescent="0.2">
      <c r="A205" s="1">
        <v>204</v>
      </c>
      <c r="B205" s="1" t="s">
        <v>519</v>
      </c>
      <c r="C205" s="2">
        <v>43816</v>
      </c>
      <c r="D205" s="1" t="s">
        <v>17</v>
      </c>
      <c r="E205" s="1" t="s">
        <v>520</v>
      </c>
      <c r="F205" s="1" t="s">
        <v>521</v>
      </c>
      <c r="G205" s="1" t="s">
        <v>73</v>
      </c>
      <c r="H205" s="1" t="s">
        <v>74</v>
      </c>
      <c r="I205" s="1" t="s">
        <v>32</v>
      </c>
      <c r="J205" s="1" t="s">
        <v>55</v>
      </c>
      <c r="K205" s="1" t="s">
        <v>522</v>
      </c>
      <c r="L205" s="17">
        <v>66.283999999999992</v>
      </c>
      <c r="M205" s="1">
        <v>2</v>
      </c>
      <c r="N205" s="1">
        <v>0.8</v>
      </c>
      <c r="O205" s="17">
        <v>-178.96680000000001</v>
      </c>
      <c r="P205" s="17">
        <f>('Work File (2)'!$L205*'Work File (2)'!$M205)*(1-'Work File (2)'!$N205)</f>
        <v>26.51359999999999</v>
      </c>
      <c r="Q205" s="1">
        <f>YEAR(Table2[[#This Row],[Order Date]])</f>
        <v>2019</v>
      </c>
      <c r="R205" s="18" t="str">
        <f>TEXT(Table2[[#This Row],[Order Date]],"mmm")</f>
        <v>Dec</v>
      </c>
      <c r="S205" s="18"/>
    </row>
    <row r="206" spans="1:19" x14ac:dyDescent="0.2">
      <c r="A206" s="1">
        <v>205</v>
      </c>
      <c r="B206" s="1" t="s">
        <v>523</v>
      </c>
      <c r="C206" s="2">
        <v>43619</v>
      </c>
      <c r="D206" s="1" t="s">
        <v>36</v>
      </c>
      <c r="E206" s="1" t="s">
        <v>524</v>
      </c>
      <c r="F206" s="1" t="s">
        <v>395</v>
      </c>
      <c r="G206" s="1" t="s">
        <v>222</v>
      </c>
      <c r="H206" s="1" t="s">
        <v>21</v>
      </c>
      <c r="I206" s="1" t="s">
        <v>22</v>
      </c>
      <c r="J206" s="1" t="s">
        <v>46</v>
      </c>
      <c r="K206" s="1" t="s">
        <v>525</v>
      </c>
      <c r="L206" s="17">
        <v>35.168000000000006</v>
      </c>
      <c r="M206" s="1">
        <v>7</v>
      </c>
      <c r="N206" s="1">
        <v>0.2</v>
      </c>
      <c r="O206" s="17">
        <v>9.6712000000000025</v>
      </c>
      <c r="P206" s="17">
        <f>('Work File (2)'!$L206*'Work File (2)'!$M206)*(1-'Work File (2)'!$N206)</f>
        <v>196.94080000000005</v>
      </c>
      <c r="Q206" s="1">
        <f>YEAR(Table2[[#This Row],[Order Date]])</f>
        <v>2019</v>
      </c>
      <c r="R206" s="18" t="str">
        <f>TEXT(Table2[[#This Row],[Order Date]],"mmm")</f>
        <v>Jun</v>
      </c>
      <c r="S206" s="18"/>
    </row>
    <row r="207" spans="1:19" x14ac:dyDescent="0.2">
      <c r="A207" s="1">
        <v>206</v>
      </c>
      <c r="B207" s="1" t="s">
        <v>526</v>
      </c>
      <c r="C207" s="2">
        <v>43808</v>
      </c>
      <c r="D207" s="1" t="s">
        <v>36</v>
      </c>
      <c r="E207" s="1" t="s">
        <v>527</v>
      </c>
      <c r="F207" s="1" t="s">
        <v>528</v>
      </c>
      <c r="G207" s="1" t="s">
        <v>30</v>
      </c>
      <c r="H207" s="1" t="s">
        <v>31</v>
      </c>
      <c r="I207" s="1" t="s">
        <v>50</v>
      </c>
      <c r="J207" s="1" t="s">
        <v>51</v>
      </c>
      <c r="K207" s="1" t="s">
        <v>529</v>
      </c>
      <c r="L207" s="17">
        <v>444.76800000000003</v>
      </c>
      <c r="M207" s="1">
        <v>4</v>
      </c>
      <c r="N207" s="1">
        <v>0.2</v>
      </c>
      <c r="O207" s="17">
        <v>44.476800000000026</v>
      </c>
      <c r="P207" s="17">
        <f>('Work File (2)'!$L207*'Work File (2)'!$M207)*(1-'Work File (2)'!$N207)</f>
        <v>1423.2576000000001</v>
      </c>
      <c r="Q207" s="1">
        <f>YEAR(Table2[[#This Row],[Order Date]])</f>
        <v>2019</v>
      </c>
      <c r="R207" s="18" t="str">
        <f>TEXT(Table2[[#This Row],[Order Date]],"mmm")</f>
        <v>Dec</v>
      </c>
      <c r="S207" s="18"/>
    </row>
    <row r="208" spans="1:19" x14ac:dyDescent="0.2">
      <c r="A208" s="1">
        <v>207</v>
      </c>
      <c r="B208" s="1" t="s">
        <v>530</v>
      </c>
      <c r="C208" s="2">
        <v>43800</v>
      </c>
      <c r="D208" s="1" t="s">
        <v>36</v>
      </c>
      <c r="E208" s="1" t="s">
        <v>531</v>
      </c>
      <c r="F208" s="1" t="s">
        <v>532</v>
      </c>
      <c r="G208" s="1" t="s">
        <v>160</v>
      </c>
      <c r="H208" s="1" t="s">
        <v>74</v>
      </c>
      <c r="I208" s="1" t="s">
        <v>32</v>
      </c>
      <c r="J208" s="1" t="s">
        <v>42</v>
      </c>
      <c r="K208" s="1" t="s">
        <v>533</v>
      </c>
      <c r="L208" s="17">
        <v>83.92</v>
      </c>
      <c r="M208" s="1">
        <v>4</v>
      </c>
      <c r="N208" s="1">
        <v>0</v>
      </c>
      <c r="O208" s="17">
        <v>5.8743999999999943</v>
      </c>
      <c r="P208" s="17">
        <f>('Work File (2)'!$L208*'Work File (2)'!$M208)*(1-'Work File (2)'!$N208)</f>
        <v>335.68</v>
      </c>
      <c r="Q208" s="1">
        <f>YEAR(Table2[[#This Row],[Order Date]])</f>
        <v>2019</v>
      </c>
      <c r="R208" s="18" t="str">
        <f>TEXT(Table2[[#This Row],[Order Date]],"mmm")</f>
        <v>Dec</v>
      </c>
      <c r="S208" s="18"/>
    </row>
    <row r="209" spans="1:19" x14ac:dyDescent="0.2">
      <c r="A209" s="1">
        <v>208</v>
      </c>
      <c r="B209" s="1" t="s">
        <v>530</v>
      </c>
      <c r="C209" s="2">
        <v>43800</v>
      </c>
      <c r="D209" s="1" t="s">
        <v>36</v>
      </c>
      <c r="E209" s="1" t="s">
        <v>531</v>
      </c>
      <c r="F209" s="1" t="s">
        <v>532</v>
      </c>
      <c r="G209" s="1" t="s">
        <v>160</v>
      </c>
      <c r="H209" s="1" t="s">
        <v>74</v>
      </c>
      <c r="I209" s="1" t="s">
        <v>50</v>
      </c>
      <c r="J209" s="1" t="s">
        <v>51</v>
      </c>
      <c r="K209" s="1" t="s">
        <v>534</v>
      </c>
      <c r="L209" s="17">
        <v>131.97999999999999</v>
      </c>
      <c r="M209" s="1">
        <v>2</v>
      </c>
      <c r="N209" s="1">
        <v>0</v>
      </c>
      <c r="O209" s="17">
        <v>35.634600000000006</v>
      </c>
      <c r="P209" s="17">
        <f>('Work File (2)'!$L209*'Work File (2)'!$M209)*(1-'Work File (2)'!$N209)</f>
        <v>263.95999999999998</v>
      </c>
      <c r="Q209" s="1">
        <f>YEAR(Table2[[#This Row],[Order Date]])</f>
        <v>2019</v>
      </c>
      <c r="R209" s="18" t="str">
        <f>TEXT(Table2[[#This Row],[Order Date]],"mmm")</f>
        <v>Dec</v>
      </c>
      <c r="S209" s="18"/>
    </row>
    <row r="210" spans="1:19" x14ac:dyDescent="0.2">
      <c r="A210" s="1">
        <v>209</v>
      </c>
      <c r="B210" s="1" t="s">
        <v>530</v>
      </c>
      <c r="C210" s="2">
        <v>43800</v>
      </c>
      <c r="D210" s="1" t="s">
        <v>36</v>
      </c>
      <c r="E210" s="1" t="s">
        <v>531</v>
      </c>
      <c r="F210" s="1" t="s">
        <v>532</v>
      </c>
      <c r="G210" s="1" t="s">
        <v>160</v>
      </c>
      <c r="H210" s="1" t="s">
        <v>74</v>
      </c>
      <c r="I210" s="1" t="s">
        <v>32</v>
      </c>
      <c r="J210" s="1" t="s">
        <v>53</v>
      </c>
      <c r="K210" s="1" t="s">
        <v>353</v>
      </c>
      <c r="L210" s="17">
        <v>15.92</v>
      </c>
      <c r="M210" s="1">
        <v>4</v>
      </c>
      <c r="N210" s="1">
        <v>0</v>
      </c>
      <c r="O210" s="17">
        <v>7.4824000000000002</v>
      </c>
      <c r="P210" s="17">
        <f>('Work File (2)'!$L210*'Work File (2)'!$M210)*(1-'Work File (2)'!$N210)</f>
        <v>63.68</v>
      </c>
      <c r="Q210" s="1">
        <f>YEAR(Table2[[#This Row],[Order Date]])</f>
        <v>2019</v>
      </c>
      <c r="R210" s="18" t="str">
        <f>TEXT(Table2[[#This Row],[Order Date]],"mmm")</f>
        <v>Dec</v>
      </c>
      <c r="S210" s="18"/>
    </row>
    <row r="211" spans="1:19" x14ac:dyDescent="0.2">
      <c r="A211" s="1">
        <v>210</v>
      </c>
      <c r="B211" s="1" t="s">
        <v>530</v>
      </c>
      <c r="C211" s="2">
        <v>43800</v>
      </c>
      <c r="D211" s="1" t="s">
        <v>36</v>
      </c>
      <c r="E211" s="1" t="s">
        <v>531</v>
      </c>
      <c r="F211" s="1" t="s">
        <v>532</v>
      </c>
      <c r="G211" s="1" t="s">
        <v>160</v>
      </c>
      <c r="H211" s="1" t="s">
        <v>74</v>
      </c>
      <c r="I211" s="1" t="s">
        <v>32</v>
      </c>
      <c r="J211" s="1" t="s">
        <v>180</v>
      </c>
      <c r="K211" s="1" t="s">
        <v>535</v>
      </c>
      <c r="L211" s="17">
        <v>52.29</v>
      </c>
      <c r="M211" s="1">
        <v>9</v>
      </c>
      <c r="N211" s="1">
        <v>0</v>
      </c>
      <c r="O211" s="17">
        <v>16.209899999999998</v>
      </c>
      <c r="P211" s="17">
        <f>('Work File (2)'!$L211*'Work File (2)'!$M211)*(1-'Work File (2)'!$N211)</f>
        <v>470.61</v>
      </c>
      <c r="Q211" s="1">
        <f>YEAR(Table2[[#This Row],[Order Date]])</f>
        <v>2019</v>
      </c>
      <c r="R211" s="18" t="str">
        <f>TEXT(Table2[[#This Row],[Order Date]],"mmm")</f>
        <v>Dec</v>
      </c>
      <c r="S211" s="18"/>
    </row>
    <row r="212" spans="1:19" x14ac:dyDescent="0.2">
      <c r="A212" s="1">
        <v>211</v>
      </c>
      <c r="B212" s="1" t="s">
        <v>530</v>
      </c>
      <c r="C212" s="2">
        <v>43800</v>
      </c>
      <c r="D212" s="1" t="s">
        <v>36</v>
      </c>
      <c r="E212" s="1" t="s">
        <v>531</v>
      </c>
      <c r="F212" s="1" t="s">
        <v>532</v>
      </c>
      <c r="G212" s="1" t="s">
        <v>160</v>
      </c>
      <c r="H212" s="1" t="s">
        <v>74</v>
      </c>
      <c r="I212" s="1" t="s">
        <v>32</v>
      </c>
      <c r="J212" s="1" t="s">
        <v>42</v>
      </c>
      <c r="K212" s="1" t="s">
        <v>536</v>
      </c>
      <c r="L212" s="17">
        <v>91.99</v>
      </c>
      <c r="M212" s="1">
        <v>1</v>
      </c>
      <c r="N212" s="1">
        <v>0</v>
      </c>
      <c r="O212" s="17">
        <v>3.6795999999999935</v>
      </c>
      <c r="P212" s="17">
        <f>('Work File (2)'!$L212*'Work File (2)'!$M212)*(1-'Work File (2)'!$N212)</f>
        <v>91.99</v>
      </c>
      <c r="Q212" s="1">
        <f>YEAR(Table2[[#This Row],[Order Date]])</f>
        <v>2019</v>
      </c>
      <c r="R212" s="18" t="str">
        <f>TEXT(Table2[[#This Row],[Order Date]],"mmm")</f>
        <v>Dec</v>
      </c>
      <c r="S212" s="18"/>
    </row>
    <row r="213" spans="1:19" x14ac:dyDescent="0.2">
      <c r="A213" s="1">
        <v>212</v>
      </c>
      <c r="B213" s="1" t="s">
        <v>537</v>
      </c>
      <c r="C213" s="2">
        <v>42775</v>
      </c>
      <c r="D213" s="1" t="s">
        <v>17</v>
      </c>
      <c r="E213" s="1" t="s">
        <v>538</v>
      </c>
      <c r="F213" s="1" t="s">
        <v>521</v>
      </c>
      <c r="G213" s="1" t="s">
        <v>73</v>
      </c>
      <c r="H213" s="1" t="s">
        <v>74</v>
      </c>
      <c r="I213" s="1" t="s">
        <v>50</v>
      </c>
      <c r="J213" s="1" t="s">
        <v>111</v>
      </c>
      <c r="K213" s="1" t="s">
        <v>539</v>
      </c>
      <c r="L213" s="17">
        <v>20.8</v>
      </c>
      <c r="M213" s="1">
        <v>2</v>
      </c>
      <c r="N213" s="1">
        <v>0.2</v>
      </c>
      <c r="O213" s="17">
        <v>6.4999999999999991</v>
      </c>
      <c r="P213" s="17">
        <f>('Work File (2)'!$L213*'Work File (2)'!$M213)*(1-'Work File (2)'!$N213)</f>
        <v>33.28</v>
      </c>
      <c r="Q213" s="1">
        <f>YEAR(Table2[[#This Row],[Order Date]])</f>
        <v>2017</v>
      </c>
      <c r="R213" s="18" t="str">
        <f>TEXT(Table2[[#This Row],[Order Date]],"mmm")</f>
        <v>Feb</v>
      </c>
      <c r="S213" s="18"/>
    </row>
    <row r="214" spans="1:19" x14ac:dyDescent="0.2">
      <c r="A214" s="1">
        <v>213</v>
      </c>
      <c r="B214" s="1" t="s">
        <v>540</v>
      </c>
      <c r="C214" s="2">
        <v>42737</v>
      </c>
      <c r="D214" s="1" t="s">
        <v>36</v>
      </c>
      <c r="E214" s="1" t="s">
        <v>541</v>
      </c>
      <c r="F214" s="1" t="s">
        <v>542</v>
      </c>
      <c r="G214" s="1" t="s">
        <v>324</v>
      </c>
      <c r="H214" s="1" t="s">
        <v>103</v>
      </c>
      <c r="I214" s="1" t="s">
        <v>32</v>
      </c>
      <c r="J214" s="1" t="s">
        <v>33</v>
      </c>
      <c r="K214" s="1" t="s">
        <v>543</v>
      </c>
      <c r="L214" s="17">
        <v>23.680000000000003</v>
      </c>
      <c r="M214" s="1">
        <v>2</v>
      </c>
      <c r="N214" s="1">
        <v>0.2</v>
      </c>
      <c r="O214" s="17">
        <v>8.879999999999999</v>
      </c>
      <c r="P214" s="17">
        <f>('Work File (2)'!$L214*'Work File (2)'!$M214)*(1-'Work File (2)'!$N214)</f>
        <v>37.888000000000005</v>
      </c>
      <c r="Q214" s="1">
        <f>YEAR(Table2[[#This Row],[Order Date]])</f>
        <v>2017</v>
      </c>
      <c r="R214" s="18" t="str">
        <f>TEXT(Table2[[#This Row],[Order Date]],"mmm")</f>
        <v>Jan</v>
      </c>
      <c r="S214" s="18"/>
    </row>
    <row r="215" spans="1:19" x14ac:dyDescent="0.2">
      <c r="A215" s="1">
        <v>214</v>
      </c>
      <c r="B215" s="1" t="s">
        <v>540</v>
      </c>
      <c r="C215" s="2">
        <v>42737</v>
      </c>
      <c r="D215" s="1" t="s">
        <v>36</v>
      </c>
      <c r="E215" s="1" t="s">
        <v>541</v>
      </c>
      <c r="F215" s="1" t="s">
        <v>542</v>
      </c>
      <c r="G215" s="1" t="s">
        <v>324</v>
      </c>
      <c r="H215" s="1" t="s">
        <v>103</v>
      </c>
      <c r="I215" s="1" t="s">
        <v>22</v>
      </c>
      <c r="J215" s="1" t="s">
        <v>23</v>
      </c>
      <c r="K215" s="1" t="s">
        <v>544</v>
      </c>
      <c r="L215" s="17">
        <v>452.45</v>
      </c>
      <c r="M215" s="1">
        <v>5</v>
      </c>
      <c r="N215" s="1">
        <v>0.5</v>
      </c>
      <c r="O215" s="17">
        <v>-244.32300000000006</v>
      </c>
      <c r="P215" s="17">
        <f>('Work File (2)'!$L215*'Work File (2)'!$M215)*(1-'Work File (2)'!$N215)</f>
        <v>1131.125</v>
      </c>
      <c r="Q215" s="1">
        <f>YEAR(Table2[[#This Row],[Order Date]])</f>
        <v>2017</v>
      </c>
      <c r="R215" s="18" t="str">
        <f>TEXT(Table2[[#This Row],[Order Date]],"mmm")</f>
        <v>Jan</v>
      </c>
      <c r="S215" s="18"/>
    </row>
    <row r="216" spans="1:19" x14ac:dyDescent="0.2">
      <c r="A216" s="1">
        <v>215</v>
      </c>
      <c r="B216" s="1" t="s">
        <v>540</v>
      </c>
      <c r="C216" s="2">
        <v>42737</v>
      </c>
      <c r="D216" s="1" t="s">
        <v>36</v>
      </c>
      <c r="E216" s="1" t="s">
        <v>541</v>
      </c>
      <c r="F216" s="1" t="s">
        <v>542</v>
      </c>
      <c r="G216" s="1" t="s">
        <v>324</v>
      </c>
      <c r="H216" s="1" t="s">
        <v>103</v>
      </c>
      <c r="I216" s="1" t="s">
        <v>50</v>
      </c>
      <c r="J216" s="1" t="s">
        <v>51</v>
      </c>
      <c r="K216" s="1" t="s">
        <v>306</v>
      </c>
      <c r="L216" s="17">
        <v>62.981999999999999</v>
      </c>
      <c r="M216" s="1">
        <v>3</v>
      </c>
      <c r="N216" s="1">
        <v>0.4</v>
      </c>
      <c r="O216" s="17">
        <v>-14.695800000000006</v>
      </c>
      <c r="P216" s="17">
        <f>('Work File (2)'!$L216*'Work File (2)'!$M216)*(1-'Work File (2)'!$N216)</f>
        <v>113.3676</v>
      </c>
      <c r="Q216" s="1">
        <f>YEAR(Table2[[#This Row],[Order Date]])</f>
        <v>2017</v>
      </c>
      <c r="R216" s="18" t="str">
        <f>TEXT(Table2[[#This Row],[Order Date]],"mmm")</f>
        <v>Jan</v>
      </c>
      <c r="S216" s="18"/>
    </row>
    <row r="217" spans="1:19" x14ac:dyDescent="0.2">
      <c r="A217" s="1">
        <v>216</v>
      </c>
      <c r="B217" s="1" t="s">
        <v>540</v>
      </c>
      <c r="C217" s="2">
        <v>42737</v>
      </c>
      <c r="D217" s="1" t="s">
        <v>36</v>
      </c>
      <c r="E217" s="1" t="s">
        <v>541</v>
      </c>
      <c r="F217" s="1" t="s">
        <v>542</v>
      </c>
      <c r="G217" s="1" t="s">
        <v>324</v>
      </c>
      <c r="H217" s="1" t="s">
        <v>103</v>
      </c>
      <c r="I217" s="1" t="s">
        <v>50</v>
      </c>
      <c r="J217" s="1" t="s">
        <v>439</v>
      </c>
      <c r="K217" s="1" t="s">
        <v>545</v>
      </c>
      <c r="L217" s="17">
        <v>1188.0000000000002</v>
      </c>
      <c r="M217" s="1">
        <v>9</v>
      </c>
      <c r="N217" s="1">
        <v>0.7</v>
      </c>
      <c r="O217" s="17">
        <v>-950.40000000000009</v>
      </c>
      <c r="P217" s="17">
        <f>('Work File (2)'!$L217*'Work File (2)'!$M217)*(1-'Work File (2)'!$N217)</f>
        <v>3207.6000000000008</v>
      </c>
      <c r="Q217" s="1">
        <f>YEAR(Table2[[#This Row],[Order Date]])</f>
        <v>2017</v>
      </c>
      <c r="R217" s="18" t="str">
        <f>TEXT(Table2[[#This Row],[Order Date]],"mmm")</f>
        <v>Jan</v>
      </c>
      <c r="S217" s="18"/>
    </row>
    <row r="218" spans="1:19" x14ac:dyDescent="0.2">
      <c r="A218" s="1">
        <v>217</v>
      </c>
      <c r="B218" s="1" t="s">
        <v>540</v>
      </c>
      <c r="C218" s="2">
        <v>42737</v>
      </c>
      <c r="D218" s="1" t="s">
        <v>36</v>
      </c>
      <c r="E218" s="1" t="s">
        <v>541</v>
      </c>
      <c r="F218" s="1" t="s">
        <v>542</v>
      </c>
      <c r="G218" s="1" t="s">
        <v>324</v>
      </c>
      <c r="H218" s="1" t="s">
        <v>103</v>
      </c>
      <c r="I218" s="1" t="s">
        <v>50</v>
      </c>
      <c r="J218" s="1" t="s">
        <v>111</v>
      </c>
      <c r="K218" s="1" t="s">
        <v>546</v>
      </c>
      <c r="L218" s="17">
        <v>89.584000000000003</v>
      </c>
      <c r="M218" s="1">
        <v>2</v>
      </c>
      <c r="N218" s="1">
        <v>0.2</v>
      </c>
      <c r="O218" s="17">
        <v>4.4792000000000058</v>
      </c>
      <c r="P218" s="17">
        <f>('Work File (2)'!$L218*'Work File (2)'!$M218)*(1-'Work File (2)'!$N218)</f>
        <v>143.33440000000002</v>
      </c>
      <c r="Q218" s="1">
        <f>YEAR(Table2[[#This Row],[Order Date]])</f>
        <v>2017</v>
      </c>
      <c r="R218" s="18" t="str">
        <f>TEXT(Table2[[#This Row],[Order Date]],"mmm")</f>
        <v>Jan</v>
      </c>
      <c r="S218" s="18"/>
    </row>
    <row r="219" spans="1:19" x14ac:dyDescent="0.2">
      <c r="A219" s="1">
        <v>218</v>
      </c>
      <c r="B219" s="1" t="s">
        <v>547</v>
      </c>
      <c r="C219" s="2">
        <v>43401</v>
      </c>
      <c r="D219" s="1" t="s">
        <v>36</v>
      </c>
      <c r="E219" s="1" t="s">
        <v>548</v>
      </c>
      <c r="F219" s="1" t="s">
        <v>29</v>
      </c>
      <c r="G219" s="1" t="s">
        <v>30</v>
      </c>
      <c r="H219" s="1" t="s">
        <v>31</v>
      </c>
      <c r="I219" s="1" t="s">
        <v>32</v>
      </c>
      <c r="J219" s="1" t="s">
        <v>42</v>
      </c>
      <c r="K219" s="1" t="s">
        <v>486</v>
      </c>
      <c r="L219" s="17">
        <v>93.06</v>
      </c>
      <c r="M219" s="1">
        <v>6</v>
      </c>
      <c r="N219" s="1">
        <v>0</v>
      </c>
      <c r="O219" s="17">
        <v>26.056800000000003</v>
      </c>
      <c r="P219" s="17">
        <f>('Work File (2)'!$L219*'Work File (2)'!$M219)*(1-'Work File (2)'!$N219)</f>
        <v>558.36</v>
      </c>
      <c r="Q219" s="1">
        <f>YEAR(Table2[[#This Row],[Order Date]])</f>
        <v>2018</v>
      </c>
      <c r="R219" s="18" t="str">
        <f>TEXT(Table2[[#This Row],[Order Date]],"mmm")</f>
        <v>Oct</v>
      </c>
      <c r="S219" s="18"/>
    </row>
    <row r="220" spans="1:19" x14ac:dyDescent="0.2">
      <c r="A220" s="1">
        <v>219</v>
      </c>
      <c r="B220" s="1" t="s">
        <v>547</v>
      </c>
      <c r="C220" s="2">
        <v>43401</v>
      </c>
      <c r="D220" s="1" t="s">
        <v>36</v>
      </c>
      <c r="E220" s="1" t="s">
        <v>548</v>
      </c>
      <c r="F220" s="1" t="s">
        <v>29</v>
      </c>
      <c r="G220" s="1" t="s">
        <v>30</v>
      </c>
      <c r="H220" s="1" t="s">
        <v>31</v>
      </c>
      <c r="I220" s="1" t="s">
        <v>50</v>
      </c>
      <c r="J220" s="1" t="s">
        <v>51</v>
      </c>
      <c r="K220" s="1" t="s">
        <v>549</v>
      </c>
      <c r="L220" s="17">
        <v>302.37599999999998</v>
      </c>
      <c r="M220" s="1">
        <v>3</v>
      </c>
      <c r="N220" s="1">
        <v>0.2</v>
      </c>
      <c r="O220" s="17">
        <v>22.678200000000018</v>
      </c>
      <c r="P220" s="17">
        <f>('Work File (2)'!$L220*'Work File (2)'!$M220)*(1-'Work File (2)'!$N220)</f>
        <v>725.70240000000001</v>
      </c>
      <c r="Q220" s="1">
        <f>YEAR(Table2[[#This Row],[Order Date]])</f>
        <v>2018</v>
      </c>
      <c r="R220" s="18" t="str">
        <f>TEXT(Table2[[#This Row],[Order Date]],"mmm")</f>
        <v>Oct</v>
      </c>
      <c r="S220" s="18"/>
    </row>
    <row r="221" spans="1:19" x14ac:dyDescent="0.2">
      <c r="A221" s="1">
        <v>220</v>
      </c>
      <c r="B221" s="1" t="s">
        <v>550</v>
      </c>
      <c r="C221" s="2">
        <v>43093</v>
      </c>
      <c r="D221" s="1" t="s">
        <v>128</v>
      </c>
      <c r="E221" s="1" t="s">
        <v>551</v>
      </c>
      <c r="F221" s="1" t="s">
        <v>552</v>
      </c>
      <c r="G221" s="1" t="s">
        <v>324</v>
      </c>
      <c r="H221" s="1" t="s">
        <v>103</v>
      </c>
      <c r="I221" s="1" t="s">
        <v>32</v>
      </c>
      <c r="J221" s="1" t="s">
        <v>180</v>
      </c>
      <c r="K221" s="1" t="s">
        <v>553</v>
      </c>
      <c r="L221" s="17">
        <v>5.5840000000000005</v>
      </c>
      <c r="M221" s="1">
        <v>2</v>
      </c>
      <c r="N221" s="1">
        <v>0.2</v>
      </c>
      <c r="O221" s="17">
        <v>1.8147999999999997</v>
      </c>
      <c r="P221" s="17">
        <f>('Work File (2)'!$L221*'Work File (2)'!$M221)*(1-'Work File (2)'!$N221)</f>
        <v>8.9344000000000019</v>
      </c>
      <c r="Q221" s="1">
        <f>YEAR(Table2[[#This Row],[Order Date]])</f>
        <v>2017</v>
      </c>
      <c r="R221" s="18" t="str">
        <f>TEXT(Table2[[#This Row],[Order Date]],"mmm")</f>
        <v>Dec</v>
      </c>
      <c r="S221" s="18"/>
    </row>
    <row r="222" spans="1:19" x14ac:dyDescent="0.2">
      <c r="A222" s="1">
        <v>221</v>
      </c>
      <c r="B222" s="1" t="s">
        <v>550</v>
      </c>
      <c r="C222" s="2">
        <v>43093</v>
      </c>
      <c r="D222" s="1" t="s">
        <v>128</v>
      </c>
      <c r="E222" s="1" t="s">
        <v>551</v>
      </c>
      <c r="F222" s="1" t="s">
        <v>552</v>
      </c>
      <c r="G222" s="1" t="s">
        <v>324</v>
      </c>
      <c r="H222" s="1" t="s">
        <v>103</v>
      </c>
      <c r="I222" s="1" t="s">
        <v>32</v>
      </c>
      <c r="J222" s="1" t="s">
        <v>63</v>
      </c>
      <c r="K222" s="1" t="s">
        <v>554</v>
      </c>
      <c r="L222" s="17">
        <v>22.704000000000004</v>
      </c>
      <c r="M222" s="1">
        <v>6</v>
      </c>
      <c r="N222" s="1">
        <v>0.2</v>
      </c>
      <c r="O222" s="17">
        <v>8.2302</v>
      </c>
      <c r="P222" s="17">
        <f>('Work File (2)'!$L222*'Work File (2)'!$M222)*(1-'Work File (2)'!$N222)</f>
        <v>108.97920000000002</v>
      </c>
      <c r="Q222" s="1">
        <f>YEAR(Table2[[#This Row],[Order Date]])</f>
        <v>2017</v>
      </c>
      <c r="R222" s="18" t="str">
        <f>TEXT(Table2[[#This Row],[Order Date]],"mmm")</f>
        <v>Dec</v>
      </c>
      <c r="S222" s="18"/>
    </row>
    <row r="223" spans="1:19" x14ac:dyDescent="0.2">
      <c r="A223" s="1">
        <v>222</v>
      </c>
      <c r="B223" s="1" t="s">
        <v>550</v>
      </c>
      <c r="C223" s="2">
        <v>43093</v>
      </c>
      <c r="D223" s="1" t="s">
        <v>128</v>
      </c>
      <c r="E223" s="1" t="s">
        <v>551</v>
      </c>
      <c r="F223" s="1" t="s">
        <v>552</v>
      </c>
      <c r="G223" s="1" t="s">
        <v>324</v>
      </c>
      <c r="H223" s="1" t="s">
        <v>103</v>
      </c>
      <c r="I223" s="1" t="s">
        <v>32</v>
      </c>
      <c r="J223" s="1" t="s">
        <v>53</v>
      </c>
      <c r="K223" s="1" t="s">
        <v>271</v>
      </c>
      <c r="L223" s="17">
        <v>19.776000000000003</v>
      </c>
      <c r="M223" s="1">
        <v>4</v>
      </c>
      <c r="N223" s="1">
        <v>0.7</v>
      </c>
      <c r="O223" s="17">
        <v>-13.843199999999996</v>
      </c>
      <c r="P223" s="17">
        <f>('Work File (2)'!$L223*'Work File (2)'!$M223)*(1-'Work File (2)'!$N223)</f>
        <v>23.731200000000008</v>
      </c>
      <c r="Q223" s="1">
        <f>YEAR(Table2[[#This Row],[Order Date]])</f>
        <v>2017</v>
      </c>
      <c r="R223" s="18" t="str">
        <f>TEXT(Table2[[#This Row],[Order Date]],"mmm")</f>
        <v>Dec</v>
      </c>
      <c r="S223" s="18"/>
    </row>
    <row r="224" spans="1:19" x14ac:dyDescent="0.2">
      <c r="A224" s="1">
        <v>223</v>
      </c>
      <c r="B224" s="1" t="s">
        <v>550</v>
      </c>
      <c r="C224" s="2">
        <v>43093</v>
      </c>
      <c r="D224" s="1" t="s">
        <v>128</v>
      </c>
      <c r="E224" s="1" t="s">
        <v>551</v>
      </c>
      <c r="F224" s="1" t="s">
        <v>552</v>
      </c>
      <c r="G224" s="1" t="s">
        <v>324</v>
      </c>
      <c r="H224" s="1" t="s">
        <v>103</v>
      </c>
      <c r="I224" s="1" t="s">
        <v>22</v>
      </c>
      <c r="J224" s="1" t="s">
        <v>46</v>
      </c>
      <c r="K224" s="1" t="s">
        <v>555</v>
      </c>
      <c r="L224" s="17">
        <v>72.703999999999994</v>
      </c>
      <c r="M224" s="1">
        <v>4</v>
      </c>
      <c r="N224" s="1">
        <v>0.2</v>
      </c>
      <c r="O224" s="17">
        <v>19.084800000000005</v>
      </c>
      <c r="P224" s="17">
        <f>('Work File (2)'!$L224*'Work File (2)'!$M224)*(1-'Work File (2)'!$N224)</f>
        <v>232.65279999999998</v>
      </c>
      <c r="Q224" s="1">
        <f>YEAR(Table2[[#This Row],[Order Date]])</f>
        <v>2017</v>
      </c>
      <c r="R224" s="18" t="str">
        <f>TEXT(Table2[[#This Row],[Order Date]],"mmm")</f>
        <v>Dec</v>
      </c>
      <c r="S224" s="18"/>
    </row>
    <row r="225" spans="1:19" x14ac:dyDescent="0.2">
      <c r="A225" s="1">
        <v>224</v>
      </c>
      <c r="B225" s="1" t="s">
        <v>550</v>
      </c>
      <c r="C225" s="2">
        <v>43093</v>
      </c>
      <c r="D225" s="1" t="s">
        <v>128</v>
      </c>
      <c r="E225" s="1" t="s">
        <v>551</v>
      </c>
      <c r="F225" s="1" t="s">
        <v>552</v>
      </c>
      <c r="G225" s="1" t="s">
        <v>324</v>
      </c>
      <c r="H225" s="1" t="s">
        <v>103</v>
      </c>
      <c r="I225" s="1" t="s">
        <v>50</v>
      </c>
      <c r="J225" s="1" t="s">
        <v>439</v>
      </c>
      <c r="K225" s="1" t="s">
        <v>556</v>
      </c>
      <c r="L225" s="17">
        <v>479.98800000000006</v>
      </c>
      <c r="M225" s="1">
        <v>4</v>
      </c>
      <c r="N225" s="1">
        <v>0.7</v>
      </c>
      <c r="O225" s="17">
        <v>-383.99040000000002</v>
      </c>
      <c r="P225" s="17">
        <f>('Work File (2)'!$L225*'Work File (2)'!$M225)*(1-'Work File (2)'!$N225)</f>
        <v>575.9856000000002</v>
      </c>
      <c r="Q225" s="1">
        <f>YEAR(Table2[[#This Row],[Order Date]])</f>
        <v>2017</v>
      </c>
      <c r="R225" s="18" t="str">
        <f>TEXT(Table2[[#This Row],[Order Date]],"mmm")</f>
        <v>Dec</v>
      </c>
      <c r="S225" s="18"/>
    </row>
    <row r="226" spans="1:19" x14ac:dyDescent="0.2">
      <c r="A226" s="1">
        <v>225</v>
      </c>
      <c r="B226" s="1" t="s">
        <v>550</v>
      </c>
      <c r="C226" s="2">
        <v>43093</v>
      </c>
      <c r="D226" s="1" t="s">
        <v>128</v>
      </c>
      <c r="E226" s="1" t="s">
        <v>551</v>
      </c>
      <c r="F226" s="1" t="s">
        <v>552</v>
      </c>
      <c r="G226" s="1" t="s">
        <v>324</v>
      </c>
      <c r="H226" s="1" t="s">
        <v>103</v>
      </c>
      <c r="I226" s="1" t="s">
        <v>32</v>
      </c>
      <c r="J226" s="1" t="s">
        <v>48</v>
      </c>
      <c r="K226" s="1" t="s">
        <v>557</v>
      </c>
      <c r="L226" s="17">
        <v>27.168000000000003</v>
      </c>
      <c r="M226" s="1">
        <v>2</v>
      </c>
      <c r="N226" s="1">
        <v>0.2</v>
      </c>
      <c r="O226" s="17">
        <v>2.7168000000000001</v>
      </c>
      <c r="P226" s="17">
        <f>('Work File (2)'!$L226*'Work File (2)'!$M226)*(1-'Work File (2)'!$N226)</f>
        <v>43.468800000000009</v>
      </c>
      <c r="Q226" s="1">
        <f>YEAR(Table2[[#This Row],[Order Date]])</f>
        <v>2017</v>
      </c>
      <c r="R226" s="18" t="str">
        <f>TEXT(Table2[[#This Row],[Order Date]],"mmm")</f>
        <v>Dec</v>
      </c>
      <c r="S226" s="18"/>
    </row>
    <row r="227" spans="1:19" x14ac:dyDescent="0.2">
      <c r="A227" s="1">
        <v>226</v>
      </c>
      <c r="B227" s="1" t="s">
        <v>558</v>
      </c>
      <c r="C227" s="2">
        <v>42956</v>
      </c>
      <c r="D227" s="1" t="s">
        <v>36</v>
      </c>
      <c r="E227" s="1" t="s">
        <v>559</v>
      </c>
      <c r="F227" s="1" t="s">
        <v>560</v>
      </c>
      <c r="G227" s="1" t="s">
        <v>160</v>
      </c>
      <c r="H227" s="1" t="s">
        <v>74</v>
      </c>
      <c r="I227" s="1" t="s">
        <v>32</v>
      </c>
      <c r="J227" s="1" t="s">
        <v>48</v>
      </c>
      <c r="K227" s="1" t="s">
        <v>561</v>
      </c>
      <c r="L227" s="17">
        <v>2.2000000000000002</v>
      </c>
      <c r="M227" s="1">
        <v>1</v>
      </c>
      <c r="N227" s="1">
        <v>0</v>
      </c>
      <c r="O227" s="17">
        <v>0.96800000000000019</v>
      </c>
      <c r="P227" s="17">
        <f>('Work File (2)'!$L227*'Work File (2)'!$M227)*(1-'Work File (2)'!$N227)</f>
        <v>2.2000000000000002</v>
      </c>
      <c r="Q227" s="1">
        <f>YEAR(Table2[[#This Row],[Order Date]])</f>
        <v>2017</v>
      </c>
      <c r="R227" s="18" t="str">
        <f>TEXT(Table2[[#This Row],[Order Date]],"mmm")</f>
        <v>Aug</v>
      </c>
      <c r="S227" s="18"/>
    </row>
    <row r="228" spans="1:19" x14ac:dyDescent="0.2">
      <c r="A228" s="1">
        <v>227</v>
      </c>
      <c r="B228" s="1" t="s">
        <v>558</v>
      </c>
      <c r="C228" s="2">
        <v>42956</v>
      </c>
      <c r="D228" s="1" t="s">
        <v>36</v>
      </c>
      <c r="E228" s="1" t="s">
        <v>559</v>
      </c>
      <c r="F228" s="1" t="s">
        <v>560</v>
      </c>
      <c r="G228" s="1" t="s">
        <v>160</v>
      </c>
      <c r="H228" s="1" t="s">
        <v>74</v>
      </c>
      <c r="I228" s="1" t="s">
        <v>22</v>
      </c>
      <c r="J228" s="1" t="s">
        <v>40</v>
      </c>
      <c r="K228" s="1" t="s">
        <v>562</v>
      </c>
      <c r="L228" s="17">
        <v>622.44999999999993</v>
      </c>
      <c r="M228" s="1">
        <v>5</v>
      </c>
      <c r="N228" s="1">
        <v>0</v>
      </c>
      <c r="O228" s="17">
        <v>136.93899999999999</v>
      </c>
      <c r="P228" s="17">
        <f>('Work File (2)'!$L228*'Work File (2)'!$M228)*(1-'Work File (2)'!$N228)</f>
        <v>3112.2499999999995</v>
      </c>
      <c r="Q228" s="1">
        <f>YEAR(Table2[[#This Row],[Order Date]])</f>
        <v>2017</v>
      </c>
      <c r="R228" s="18" t="str">
        <f>TEXT(Table2[[#This Row],[Order Date]],"mmm")</f>
        <v>Aug</v>
      </c>
      <c r="S228" s="18"/>
    </row>
    <row r="229" spans="1:19" x14ac:dyDescent="0.2">
      <c r="A229" s="1">
        <v>228</v>
      </c>
      <c r="B229" s="1" t="s">
        <v>558</v>
      </c>
      <c r="C229" s="2">
        <v>42956</v>
      </c>
      <c r="D229" s="1" t="s">
        <v>36</v>
      </c>
      <c r="E229" s="1" t="s">
        <v>559</v>
      </c>
      <c r="F229" s="1" t="s">
        <v>560</v>
      </c>
      <c r="G229" s="1" t="s">
        <v>160</v>
      </c>
      <c r="H229" s="1" t="s">
        <v>74</v>
      </c>
      <c r="I229" s="1" t="s">
        <v>32</v>
      </c>
      <c r="J229" s="1" t="s">
        <v>42</v>
      </c>
      <c r="K229" s="1" t="s">
        <v>563</v>
      </c>
      <c r="L229" s="17">
        <v>21.98</v>
      </c>
      <c r="M229" s="1">
        <v>1</v>
      </c>
      <c r="N229" s="1">
        <v>0</v>
      </c>
      <c r="O229" s="17">
        <v>0.21979999999999933</v>
      </c>
      <c r="P229" s="17">
        <f>('Work File (2)'!$L229*'Work File (2)'!$M229)*(1-'Work File (2)'!$N229)</f>
        <v>21.98</v>
      </c>
      <c r="Q229" s="1">
        <f>YEAR(Table2[[#This Row],[Order Date]])</f>
        <v>2017</v>
      </c>
      <c r="R229" s="18" t="str">
        <f>TEXT(Table2[[#This Row],[Order Date]],"mmm")</f>
        <v>Aug</v>
      </c>
      <c r="S229" s="18"/>
    </row>
    <row r="230" spans="1:19" x14ac:dyDescent="0.2">
      <c r="A230" s="1">
        <v>229</v>
      </c>
      <c r="B230" s="1" t="s">
        <v>564</v>
      </c>
      <c r="C230" s="2">
        <v>42794</v>
      </c>
      <c r="D230" s="1" t="s">
        <v>36</v>
      </c>
      <c r="E230" s="1" t="s">
        <v>565</v>
      </c>
      <c r="F230" s="1" t="s">
        <v>251</v>
      </c>
      <c r="G230" s="1" t="s">
        <v>222</v>
      </c>
      <c r="H230" s="1" t="s">
        <v>21</v>
      </c>
      <c r="I230" s="1" t="s">
        <v>22</v>
      </c>
      <c r="J230" s="1" t="s">
        <v>25</v>
      </c>
      <c r="K230" s="1" t="s">
        <v>566</v>
      </c>
      <c r="L230" s="17">
        <v>161.56800000000001</v>
      </c>
      <c r="M230" s="1">
        <v>2</v>
      </c>
      <c r="N230" s="1">
        <v>0.2</v>
      </c>
      <c r="O230" s="17">
        <v>-28.274400000000021</v>
      </c>
      <c r="P230" s="17">
        <f>('Work File (2)'!$L230*'Work File (2)'!$M230)*(1-'Work File (2)'!$N230)</f>
        <v>258.50880000000001</v>
      </c>
      <c r="Q230" s="1">
        <f>YEAR(Table2[[#This Row],[Order Date]])</f>
        <v>2017</v>
      </c>
      <c r="R230" s="18" t="str">
        <f>TEXT(Table2[[#This Row],[Order Date]],"mmm")</f>
        <v>Feb</v>
      </c>
      <c r="S230" s="18"/>
    </row>
    <row r="231" spans="1:19" x14ac:dyDescent="0.2">
      <c r="A231" s="1">
        <v>230</v>
      </c>
      <c r="B231" s="1" t="s">
        <v>564</v>
      </c>
      <c r="C231" s="2">
        <v>42794</v>
      </c>
      <c r="D231" s="1" t="s">
        <v>36</v>
      </c>
      <c r="E231" s="1" t="s">
        <v>565</v>
      </c>
      <c r="F231" s="1" t="s">
        <v>251</v>
      </c>
      <c r="G231" s="1" t="s">
        <v>222</v>
      </c>
      <c r="H231" s="1" t="s">
        <v>21</v>
      </c>
      <c r="I231" s="1" t="s">
        <v>22</v>
      </c>
      <c r="J231" s="1" t="s">
        <v>25</v>
      </c>
      <c r="K231" s="1" t="s">
        <v>567</v>
      </c>
      <c r="L231" s="17">
        <v>389.69600000000003</v>
      </c>
      <c r="M231" s="1">
        <v>8</v>
      </c>
      <c r="N231" s="1">
        <v>0.2</v>
      </c>
      <c r="O231" s="17">
        <v>43.840799999999973</v>
      </c>
      <c r="P231" s="17">
        <f>('Work File (2)'!$L231*'Work File (2)'!$M231)*(1-'Work File (2)'!$N231)</f>
        <v>2494.0544000000004</v>
      </c>
      <c r="Q231" s="1">
        <f>YEAR(Table2[[#This Row],[Order Date]])</f>
        <v>2017</v>
      </c>
      <c r="R231" s="18" t="str">
        <f>TEXT(Table2[[#This Row],[Order Date]],"mmm")</f>
        <v>Feb</v>
      </c>
      <c r="S231" s="18"/>
    </row>
    <row r="232" spans="1:19" x14ac:dyDescent="0.2">
      <c r="A232" s="1">
        <v>231</v>
      </c>
      <c r="B232" s="1" t="s">
        <v>568</v>
      </c>
      <c r="C232" s="2">
        <v>42626</v>
      </c>
      <c r="D232" s="1" t="s">
        <v>36</v>
      </c>
      <c r="E232" s="1" t="s">
        <v>569</v>
      </c>
      <c r="F232" s="1" t="s">
        <v>304</v>
      </c>
      <c r="G232" s="1" t="s">
        <v>62</v>
      </c>
      <c r="H232" s="1" t="s">
        <v>21</v>
      </c>
      <c r="I232" s="1" t="s">
        <v>32</v>
      </c>
      <c r="J232" s="1" t="s">
        <v>53</v>
      </c>
      <c r="K232" s="1" t="s">
        <v>570</v>
      </c>
      <c r="L232" s="17">
        <v>18.648000000000003</v>
      </c>
      <c r="M232" s="1">
        <v>7</v>
      </c>
      <c r="N232" s="1">
        <v>0.7</v>
      </c>
      <c r="O232" s="17">
        <v>-12.431999999999999</v>
      </c>
      <c r="P232" s="17">
        <f>('Work File (2)'!$L232*'Work File (2)'!$M232)*(1-'Work File (2)'!$N232)</f>
        <v>39.160800000000016</v>
      </c>
      <c r="Q232" s="1">
        <f>YEAR(Table2[[#This Row],[Order Date]])</f>
        <v>2016</v>
      </c>
      <c r="R232" s="18" t="str">
        <f>TEXT(Table2[[#This Row],[Order Date]],"mmm")</f>
        <v>Sep</v>
      </c>
      <c r="S232" s="18"/>
    </row>
    <row r="233" spans="1:19" x14ac:dyDescent="0.2">
      <c r="A233" s="1">
        <v>232</v>
      </c>
      <c r="B233" s="1" t="s">
        <v>571</v>
      </c>
      <c r="C233" s="2">
        <v>43562</v>
      </c>
      <c r="D233" s="1" t="s">
        <v>36</v>
      </c>
      <c r="E233" s="1" t="s">
        <v>248</v>
      </c>
      <c r="F233" s="1" t="s">
        <v>572</v>
      </c>
      <c r="G233" s="1" t="s">
        <v>39</v>
      </c>
      <c r="H233" s="1" t="s">
        <v>21</v>
      </c>
      <c r="I233" s="1" t="s">
        <v>22</v>
      </c>
      <c r="J233" s="1" t="s">
        <v>40</v>
      </c>
      <c r="K233" s="1" t="s">
        <v>573</v>
      </c>
      <c r="L233" s="17">
        <v>233.86</v>
      </c>
      <c r="M233" s="1">
        <v>2</v>
      </c>
      <c r="N233" s="1">
        <v>0.45</v>
      </c>
      <c r="O233" s="17">
        <v>-102.04800000000003</v>
      </c>
      <c r="P233" s="17">
        <f>('Work File (2)'!$L233*'Work File (2)'!$M233)*(1-'Work File (2)'!$N233)</f>
        <v>257.24600000000004</v>
      </c>
      <c r="Q233" s="1">
        <f>YEAR(Table2[[#This Row],[Order Date]])</f>
        <v>2019</v>
      </c>
      <c r="R233" s="18" t="str">
        <f>TEXT(Table2[[#This Row],[Order Date]],"mmm")</f>
        <v>Apr</v>
      </c>
      <c r="S233" s="18"/>
    </row>
    <row r="234" spans="1:19" x14ac:dyDescent="0.2">
      <c r="A234" s="1">
        <v>233</v>
      </c>
      <c r="B234" s="1" t="s">
        <v>571</v>
      </c>
      <c r="C234" s="2">
        <v>43562</v>
      </c>
      <c r="D234" s="1" t="s">
        <v>36</v>
      </c>
      <c r="E234" s="1" t="s">
        <v>248</v>
      </c>
      <c r="F234" s="1" t="s">
        <v>572</v>
      </c>
      <c r="G234" s="1" t="s">
        <v>39</v>
      </c>
      <c r="H234" s="1" t="s">
        <v>21</v>
      </c>
      <c r="I234" s="1" t="s">
        <v>22</v>
      </c>
      <c r="J234" s="1" t="s">
        <v>40</v>
      </c>
      <c r="K234" s="1" t="s">
        <v>574</v>
      </c>
      <c r="L234" s="17">
        <v>620.61450000000013</v>
      </c>
      <c r="M234" s="1">
        <v>3</v>
      </c>
      <c r="N234" s="1">
        <v>0.45</v>
      </c>
      <c r="O234" s="17">
        <v>-248.24579999999992</v>
      </c>
      <c r="P234" s="17">
        <f>('Work File (2)'!$L234*'Work File (2)'!$M234)*(1-'Work File (2)'!$N234)</f>
        <v>1024.0139250000002</v>
      </c>
      <c r="Q234" s="1">
        <f>YEAR(Table2[[#This Row],[Order Date]])</f>
        <v>2019</v>
      </c>
      <c r="R234" s="18" t="str">
        <f>TEXT(Table2[[#This Row],[Order Date]],"mmm")</f>
        <v>Apr</v>
      </c>
      <c r="S234" s="18"/>
    </row>
    <row r="235" spans="1:19" x14ac:dyDescent="0.2">
      <c r="A235" s="1">
        <v>234</v>
      </c>
      <c r="B235" s="1" t="s">
        <v>571</v>
      </c>
      <c r="C235" s="2">
        <v>43562</v>
      </c>
      <c r="D235" s="1" t="s">
        <v>36</v>
      </c>
      <c r="E235" s="1" t="s">
        <v>248</v>
      </c>
      <c r="F235" s="1" t="s">
        <v>572</v>
      </c>
      <c r="G235" s="1" t="s">
        <v>39</v>
      </c>
      <c r="H235" s="1" t="s">
        <v>21</v>
      </c>
      <c r="I235" s="1" t="s">
        <v>32</v>
      </c>
      <c r="J235" s="1" t="s">
        <v>53</v>
      </c>
      <c r="K235" s="1" t="s">
        <v>570</v>
      </c>
      <c r="L235" s="17">
        <v>5.3280000000000012</v>
      </c>
      <c r="M235" s="1">
        <v>2</v>
      </c>
      <c r="N235" s="1">
        <v>0.7</v>
      </c>
      <c r="O235" s="17">
        <v>-3.5519999999999996</v>
      </c>
      <c r="P235" s="17">
        <f>('Work File (2)'!$L235*'Work File (2)'!$M235)*(1-'Work File (2)'!$N235)</f>
        <v>3.196800000000001</v>
      </c>
      <c r="Q235" s="1">
        <f>YEAR(Table2[[#This Row],[Order Date]])</f>
        <v>2019</v>
      </c>
      <c r="R235" s="18" t="str">
        <f>TEXT(Table2[[#This Row],[Order Date]],"mmm")</f>
        <v>Apr</v>
      </c>
      <c r="S235" s="18"/>
    </row>
    <row r="236" spans="1:19" x14ac:dyDescent="0.2">
      <c r="A236" s="1">
        <v>235</v>
      </c>
      <c r="B236" s="1" t="s">
        <v>571</v>
      </c>
      <c r="C236" s="2">
        <v>43562</v>
      </c>
      <c r="D236" s="1" t="s">
        <v>36</v>
      </c>
      <c r="E236" s="1" t="s">
        <v>248</v>
      </c>
      <c r="F236" s="1" t="s">
        <v>572</v>
      </c>
      <c r="G236" s="1" t="s">
        <v>39</v>
      </c>
      <c r="H236" s="1" t="s">
        <v>21</v>
      </c>
      <c r="I236" s="1" t="s">
        <v>22</v>
      </c>
      <c r="J236" s="1" t="s">
        <v>46</v>
      </c>
      <c r="K236" s="1" t="s">
        <v>575</v>
      </c>
      <c r="L236" s="17">
        <v>258.072</v>
      </c>
      <c r="M236" s="1">
        <v>3</v>
      </c>
      <c r="N236" s="1">
        <v>0.2</v>
      </c>
      <c r="O236" s="17">
        <v>0</v>
      </c>
      <c r="P236" s="17">
        <f>('Work File (2)'!$L236*'Work File (2)'!$M236)*(1-'Work File (2)'!$N236)</f>
        <v>619.3728000000001</v>
      </c>
      <c r="Q236" s="1">
        <f>YEAR(Table2[[#This Row],[Order Date]])</f>
        <v>2019</v>
      </c>
      <c r="R236" s="18" t="str">
        <f>TEXT(Table2[[#This Row],[Order Date]],"mmm")</f>
        <v>Apr</v>
      </c>
      <c r="S236" s="18"/>
    </row>
    <row r="237" spans="1:19" x14ac:dyDescent="0.2">
      <c r="A237" s="1">
        <v>236</v>
      </c>
      <c r="B237" s="1" t="s">
        <v>571</v>
      </c>
      <c r="C237" s="2">
        <v>43562</v>
      </c>
      <c r="D237" s="1" t="s">
        <v>36</v>
      </c>
      <c r="E237" s="1" t="s">
        <v>248</v>
      </c>
      <c r="F237" s="1" t="s">
        <v>572</v>
      </c>
      <c r="G237" s="1" t="s">
        <v>39</v>
      </c>
      <c r="H237" s="1" t="s">
        <v>21</v>
      </c>
      <c r="I237" s="1" t="s">
        <v>50</v>
      </c>
      <c r="J237" s="1" t="s">
        <v>111</v>
      </c>
      <c r="K237" s="1" t="s">
        <v>576</v>
      </c>
      <c r="L237" s="17">
        <v>617.97600000000011</v>
      </c>
      <c r="M237" s="1">
        <v>3</v>
      </c>
      <c r="N237" s="1">
        <v>0.2</v>
      </c>
      <c r="O237" s="17">
        <v>-7.724700000000098</v>
      </c>
      <c r="P237" s="17">
        <f>('Work File (2)'!$L237*'Work File (2)'!$M237)*(1-'Work File (2)'!$N237)</f>
        <v>1483.1424000000004</v>
      </c>
      <c r="Q237" s="1">
        <f>YEAR(Table2[[#This Row],[Order Date]])</f>
        <v>2019</v>
      </c>
      <c r="R237" s="18" t="str">
        <f>TEXT(Table2[[#This Row],[Order Date]],"mmm")</f>
        <v>Apr</v>
      </c>
      <c r="S237" s="18"/>
    </row>
    <row r="238" spans="1:19" x14ac:dyDescent="0.2">
      <c r="A238" s="1">
        <v>237</v>
      </c>
      <c r="B238" s="1" t="s">
        <v>577</v>
      </c>
      <c r="C238" s="2">
        <v>43781</v>
      </c>
      <c r="D238" s="1" t="s">
        <v>36</v>
      </c>
      <c r="E238" s="1" t="s">
        <v>578</v>
      </c>
      <c r="F238" s="1" t="s">
        <v>579</v>
      </c>
      <c r="G238" s="1" t="s">
        <v>30</v>
      </c>
      <c r="H238" s="1" t="s">
        <v>31</v>
      </c>
      <c r="I238" s="1" t="s">
        <v>32</v>
      </c>
      <c r="J238" s="1" t="s">
        <v>63</v>
      </c>
      <c r="K238" s="1" t="s">
        <v>580</v>
      </c>
      <c r="L238" s="17">
        <v>10.56</v>
      </c>
      <c r="M238" s="1">
        <v>2</v>
      </c>
      <c r="N238" s="1">
        <v>0</v>
      </c>
      <c r="O238" s="17">
        <v>4.7519999999999998</v>
      </c>
      <c r="P238" s="17">
        <f>('Work File (2)'!$L238*'Work File (2)'!$M238)*(1-'Work File (2)'!$N238)</f>
        <v>21.12</v>
      </c>
      <c r="Q238" s="1">
        <f>YEAR(Table2[[#This Row],[Order Date]])</f>
        <v>2019</v>
      </c>
      <c r="R238" s="18" t="str">
        <f>TEXT(Table2[[#This Row],[Order Date]],"mmm")</f>
        <v>Nov</v>
      </c>
      <c r="S238" s="18"/>
    </row>
    <row r="239" spans="1:19" x14ac:dyDescent="0.2">
      <c r="A239" s="1">
        <v>238</v>
      </c>
      <c r="B239" s="1" t="s">
        <v>581</v>
      </c>
      <c r="C239" s="2">
        <v>43255</v>
      </c>
      <c r="D239" s="1" t="s">
        <v>17</v>
      </c>
      <c r="E239" s="1" t="s">
        <v>582</v>
      </c>
      <c r="F239" s="1" t="s">
        <v>200</v>
      </c>
      <c r="G239" s="1" t="s">
        <v>142</v>
      </c>
      <c r="H239" s="1" t="s">
        <v>74</v>
      </c>
      <c r="I239" s="1" t="s">
        <v>32</v>
      </c>
      <c r="J239" s="1" t="s">
        <v>63</v>
      </c>
      <c r="K239" s="1" t="s">
        <v>583</v>
      </c>
      <c r="L239" s="17">
        <v>25.920000000000005</v>
      </c>
      <c r="M239" s="1">
        <v>5</v>
      </c>
      <c r="N239" s="1">
        <v>0.2</v>
      </c>
      <c r="O239" s="17">
        <v>9.3960000000000008</v>
      </c>
      <c r="P239" s="17">
        <f>('Work File (2)'!$L239*'Work File (2)'!$M239)*(1-'Work File (2)'!$N239)</f>
        <v>103.68000000000002</v>
      </c>
      <c r="Q239" s="1">
        <f>YEAR(Table2[[#This Row],[Order Date]])</f>
        <v>2018</v>
      </c>
      <c r="R239" s="18" t="str">
        <f>TEXT(Table2[[#This Row],[Order Date]],"mmm")</f>
        <v>Jun</v>
      </c>
      <c r="S239" s="18"/>
    </row>
    <row r="240" spans="1:19" x14ac:dyDescent="0.2">
      <c r="A240" s="1">
        <v>239</v>
      </c>
      <c r="B240" s="1" t="s">
        <v>581</v>
      </c>
      <c r="C240" s="2">
        <v>43255</v>
      </c>
      <c r="D240" s="1" t="s">
        <v>17</v>
      </c>
      <c r="E240" s="1" t="s">
        <v>582</v>
      </c>
      <c r="F240" s="1" t="s">
        <v>200</v>
      </c>
      <c r="G240" s="1" t="s">
        <v>142</v>
      </c>
      <c r="H240" s="1" t="s">
        <v>74</v>
      </c>
      <c r="I240" s="1" t="s">
        <v>22</v>
      </c>
      <c r="J240" s="1" t="s">
        <v>46</v>
      </c>
      <c r="K240" s="1" t="s">
        <v>584</v>
      </c>
      <c r="L240" s="17">
        <v>419.68000000000006</v>
      </c>
      <c r="M240" s="1">
        <v>5</v>
      </c>
      <c r="N240" s="1">
        <v>0.6</v>
      </c>
      <c r="O240" s="17">
        <v>-356.72799999999995</v>
      </c>
      <c r="P240" s="17">
        <f>('Work File (2)'!$L240*'Work File (2)'!$M240)*(1-'Work File (2)'!$N240)</f>
        <v>839.36000000000024</v>
      </c>
      <c r="Q240" s="1">
        <f>YEAR(Table2[[#This Row],[Order Date]])</f>
        <v>2018</v>
      </c>
      <c r="R240" s="18" t="str">
        <f>TEXT(Table2[[#This Row],[Order Date]],"mmm")</f>
        <v>Jun</v>
      </c>
      <c r="S240" s="18"/>
    </row>
    <row r="241" spans="1:19" x14ac:dyDescent="0.2">
      <c r="A241" s="1">
        <v>240</v>
      </c>
      <c r="B241" s="1" t="s">
        <v>581</v>
      </c>
      <c r="C241" s="2">
        <v>43255</v>
      </c>
      <c r="D241" s="1" t="s">
        <v>17</v>
      </c>
      <c r="E241" s="1" t="s">
        <v>582</v>
      </c>
      <c r="F241" s="1" t="s">
        <v>200</v>
      </c>
      <c r="G241" s="1" t="s">
        <v>142</v>
      </c>
      <c r="H241" s="1" t="s">
        <v>74</v>
      </c>
      <c r="I241" s="1" t="s">
        <v>22</v>
      </c>
      <c r="J241" s="1" t="s">
        <v>46</v>
      </c>
      <c r="K241" s="1" t="s">
        <v>585</v>
      </c>
      <c r="L241" s="17">
        <v>11.688000000000001</v>
      </c>
      <c r="M241" s="1">
        <v>3</v>
      </c>
      <c r="N241" s="1">
        <v>0.6</v>
      </c>
      <c r="O241" s="17">
        <v>-4.6751999999999985</v>
      </c>
      <c r="P241" s="17">
        <f>('Work File (2)'!$L241*'Work File (2)'!$M241)*(1-'Work File (2)'!$N241)</f>
        <v>14.025600000000001</v>
      </c>
      <c r="Q241" s="1">
        <f>YEAR(Table2[[#This Row],[Order Date]])</f>
        <v>2018</v>
      </c>
      <c r="R241" s="18" t="str">
        <f>TEXT(Table2[[#This Row],[Order Date]],"mmm")</f>
        <v>Jun</v>
      </c>
      <c r="S241" s="18"/>
    </row>
    <row r="242" spans="1:19" x14ac:dyDescent="0.2">
      <c r="A242" s="1">
        <v>241</v>
      </c>
      <c r="B242" s="1" t="s">
        <v>581</v>
      </c>
      <c r="C242" s="2">
        <v>43255</v>
      </c>
      <c r="D242" s="1" t="s">
        <v>17</v>
      </c>
      <c r="E242" s="1" t="s">
        <v>582</v>
      </c>
      <c r="F242" s="1" t="s">
        <v>200</v>
      </c>
      <c r="G242" s="1" t="s">
        <v>142</v>
      </c>
      <c r="H242" s="1" t="s">
        <v>74</v>
      </c>
      <c r="I242" s="1" t="s">
        <v>50</v>
      </c>
      <c r="J242" s="1" t="s">
        <v>51</v>
      </c>
      <c r="K242" s="1" t="s">
        <v>586</v>
      </c>
      <c r="L242" s="17">
        <v>31.983999999999998</v>
      </c>
      <c r="M242" s="1">
        <v>2</v>
      </c>
      <c r="N242" s="1">
        <v>0.2</v>
      </c>
      <c r="O242" s="17">
        <v>11.194399999999998</v>
      </c>
      <c r="P242" s="17">
        <f>('Work File (2)'!$L242*'Work File (2)'!$M242)*(1-'Work File (2)'!$N242)</f>
        <v>51.174399999999999</v>
      </c>
      <c r="Q242" s="1">
        <f>YEAR(Table2[[#This Row],[Order Date]])</f>
        <v>2018</v>
      </c>
      <c r="R242" s="18" t="str">
        <f>TEXT(Table2[[#This Row],[Order Date]],"mmm")</f>
        <v>Jun</v>
      </c>
      <c r="S242" s="18"/>
    </row>
    <row r="243" spans="1:19" x14ac:dyDescent="0.2">
      <c r="A243" s="1">
        <v>242</v>
      </c>
      <c r="B243" s="1" t="s">
        <v>581</v>
      </c>
      <c r="C243" s="2">
        <v>43255</v>
      </c>
      <c r="D243" s="1" t="s">
        <v>17</v>
      </c>
      <c r="E243" s="1" t="s">
        <v>582</v>
      </c>
      <c r="F243" s="1" t="s">
        <v>200</v>
      </c>
      <c r="G243" s="1" t="s">
        <v>142</v>
      </c>
      <c r="H243" s="1" t="s">
        <v>74</v>
      </c>
      <c r="I243" s="1" t="s">
        <v>22</v>
      </c>
      <c r="J243" s="1" t="s">
        <v>40</v>
      </c>
      <c r="K243" s="1" t="s">
        <v>587</v>
      </c>
      <c r="L243" s="17">
        <v>177.22499999999999</v>
      </c>
      <c r="M243" s="1">
        <v>5</v>
      </c>
      <c r="N243" s="1">
        <v>0.5</v>
      </c>
      <c r="O243" s="17">
        <v>-120.51299999999998</v>
      </c>
      <c r="P243" s="17">
        <f>('Work File (2)'!$L243*'Work File (2)'!$M243)*(1-'Work File (2)'!$N243)</f>
        <v>443.0625</v>
      </c>
      <c r="Q243" s="1">
        <f>YEAR(Table2[[#This Row],[Order Date]])</f>
        <v>2018</v>
      </c>
      <c r="R243" s="18" t="str">
        <f>TEXT(Table2[[#This Row],[Order Date]],"mmm")</f>
        <v>Jun</v>
      </c>
      <c r="S243" s="18"/>
    </row>
    <row r="244" spans="1:19" x14ac:dyDescent="0.2">
      <c r="A244" s="1">
        <v>243</v>
      </c>
      <c r="B244" s="1" t="s">
        <v>581</v>
      </c>
      <c r="C244" s="2">
        <v>43255</v>
      </c>
      <c r="D244" s="1" t="s">
        <v>17</v>
      </c>
      <c r="E244" s="1" t="s">
        <v>582</v>
      </c>
      <c r="F244" s="1" t="s">
        <v>200</v>
      </c>
      <c r="G244" s="1" t="s">
        <v>142</v>
      </c>
      <c r="H244" s="1" t="s">
        <v>74</v>
      </c>
      <c r="I244" s="1" t="s">
        <v>22</v>
      </c>
      <c r="J244" s="1" t="s">
        <v>46</v>
      </c>
      <c r="K244" s="1" t="s">
        <v>588</v>
      </c>
      <c r="L244" s="17">
        <v>4.0440000000000005</v>
      </c>
      <c r="M244" s="1">
        <v>3</v>
      </c>
      <c r="N244" s="1">
        <v>0.6</v>
      </c>
      <c r="O244" s="17">
        <v>-2.8307999999999995</v>
      </c>
      <c r="P244" s="17">
        <f>('Work File (2)'!$L244*'Work File (2)'!$M244)*(1-'Work File (2)'!$N244)</f>
        <v>4.8528000000000011</v>
      </c>
      <c r="Q244" s="1">
        <f>YEAR(Table2[[#This Row],[Order Date]])</f>
        <v>2018</v>
      </c>
      <c r="R244" s="18" t="str">
        <f>TEXT(Table2[[#This Row],[Order Date]],"mmm")</f>
        <v>Jun</v>
      </c>
      <c r="S244" s="18"/>
    </row>
    <row r="245" spans="1:19" x14ac:dyDescent="0.2">
      <c r="A245" s="1">
        <v>244</v>
      </c>
      <c r="B245" s="1" t="s">
        <v>581</v>
      </c>
      <c r="C245" s="2">
        <v>43255</v>
      </c>
      <c r="D245" s="1" t="s">
        <v>17</v>
      </c>
      <c r="E245" s="1" t="s">
        <v>582</v>
      </c>
      <c r="F245" s="1" t="s">
        <v>200</v>
      </c>
      <c r="G245" s="1" t="s">
        <v>142</v>
      </c>
      <c r="H245" s="1" t="s">
        <v>74</v>
      </c>
      <c r="I245" s="1" t="s">
        <v>32</v>
      </c>
      <c r="J245" s="1" t="s">
        <v>48</v>
      </c>
      <c r="K245" s="1" t="s">
        <v>499</v>
      </c>
      <c r="L245" s="17">
        <v>7.4080000000000004</v>
      </c>
      <c r="M245" s="1">
        <v>2</v>
      </c>
      <c r="N245" s="1">
        <v>0.2</v>
      </c>
      <c r="O245" s="17">
        <v>1.2037999999999995</v>
      </c>
      <c r="P245" s="17">
        <f>('Work File (2)'!$L245*'Work File (2)'!$M245)*(1-'Work File (2)'!$N245)</f>
        <v>11.852800000000002</v>
      </c>
      <c r="Q245" s="1">
        <f>YEAR(Table2[[#This Row],[Order Date]])</f>
        <v>2018</v>
      </c>
      <c r="R245" s="18" t="str">
        <f>TEXT(Table2[[#This Row],[Order Date]],"mmm")</f>
        <v>Jun</v>
      </c>
      <c r="S245" s="18"/>
    </row>
    <row r="246" spans="1:19" x14ac:dyDescent="0.2">
      <c r="A246" s="1">
        <v>245</v>
      </c>
      <c r="B246" s="1" t="s">
        <v>589</v>
      </c>
      <c r="C246" s="2">
        <v>42522</v>
      </c>
      <c r="D246" s="1" t="s">
        <v>17</v>
      </c>
      <c r="E246" s="1" t="s">
        <v>590</v>
      </c>
      <c r="F246" s="1" t="s">
        <v>591</v>
      </c>
      <c r="G246" s="1" t="s">
        <v>154</v>
      </c>
      <c r="H246" s="1" t="s">
        <v>74</v>
      </c>
      <c r="I246" s="1" t="s">
        <v>22</v>
      </c>
      <c r="J246" s="1" t="s">
        <v>25</v>
      </c>
      <c r="K246" s="1" t="s">
        <v>345</v>
      </c>
      <c r="L246" s="17">
        <v>2001.8600000000001</v>
      </c>
      <c r="M246" s="1">
        <v>7</v>
      </c>
      <c r="N246" s="1">
        <v>0</v>
      </c>
      <c r="O246" s="17">
        <v>580.53939999999989</v>
      </c>
      <c r="P246" s="17">
        <f>('Work File (2)'!$L246*'Work File (2)'!$M246)*(1-'Work File (2)'!$N246)</f>
        <v>14013.02</v>
      </c>
      <c r="Q246" s="1">
        <f>YEAR(Table2[[#This Row],[Order Date]])</f>
        <v>2016</v>
      </c>
      <c r="R246" s="18" t="str">
        <f>TEXT(Table2[[#This Row],[Order Date]],"mmm")</f>
        <v>Jun</v>
      </c>
      <c r="S246" s="18"/>
    </row>
    <row r="247" spans="1:19" x14ac:dyDescent="0.2">
      <c r="A247" s="1">
        <v>246</v>
      </c>
      <c r="B247" s="1" t="s">
        <v>589</v>
      </c>
      <c r="C247" s="2">
        <v>42522</v>
      </c>
      <c r="D247" s="1" t="s">
        <v>17</v>
      </c>
      <c r="E247" s="1" t="s">
        <v>590</v>
      </c>
      <c r="F247" s="1" t="s">
        <v>591</v>
      </c>
      <c r="G247" s="1" t="s">
        <v>154</v>
      </c>
      <c r="H247" s="1" t="s">
        <v>74</v>
      </c>
      <c r="I247" s="1" t="s">
        <v>32</v>
      </c>
      <c r="J247" s="1" t="s">
        <v>42</v>
      </c>
      <c r="K247" s="1" t="s">
        <v>592</v>
      </c>
      <c r="L247" s="17">
        <v>166.72</v>
      </c>
      <c r="M247" s="1">
        <v>2</v>
      </c>
      <c r="N247" s="1">
        <v>0</v>
      </c>
      <c r="O247" s="17">
        <v>41.680000000000007</v>
      </c>
      <c r="P247" s="17">
        <f>('Work File (2)'!$L247*'Work File (2)'!$M247)*(1-'Work File (2)'!$N247)</f>
        <v>333.44</v>
      </c>
      <c r="Q247" s="1">
        <f>YEAR(Table2[[#This Row],[Order Date]])</f>
        <v>2016</v>
      </c>
      <c r="R247" s="18" t="str">
        <f>TEXT(Table2[[#This Row],[Order Date]],"mmm")</f>
        <v>Jun</v>
      </c>
      <c r="S247" s="18"/>
    </row>
    <row r="248" spans="1:19" x14ac:dyDescent="0.2">
      <c r="A248" s="1">
        <v>247</v>
      </c>
      <c r="B248" s="1" t="s">
        <v>589</v>
      </c>
      <c r="C248" s="2">
        <v>42522</v>
      </c>
      <c r="D248" s="1" t="s">
        <v>17</v>
      </c>
      <c r="E248" s="1" t="s">
        <v>590</v>
      </c>
      <c r="F248" s="1" t="s">
        <v>591</v>
      </c>
      <c r="G248" s="1" t="s">
        <v>154</v>
      </c>
      <c r="H248" s="1" t="s">
        <v>74</v>
      </c>
      <c r="I248" s="1" t="s">
        <v>32</v>
      </c>
      <c r="J248" s="1" t="s">
        <v>63</v>
      </c>
      <c r="K248" s="1" t="s">
        <v>593</v>
      </c>
      <c r="L248" s="17">
        <v>47.88</v>
      </c>
      <c r="M248" s="1">
        <v>6</v>
      </c>
      <c r="N248" s="1">
        <v>0</v>
      </c>
      <c r="O248" s="17">
        <v>23.94</v>
      </c>
      <c r="P248" s="17">
        <f>('Work File (2)'!$L248*'Work File (2)'!$M248)*(1-'Work File (2)'!$N248)</f>
        <v>287.28000000000003</v>
      </c>
      <c r="Q248" s="1">
        <f>YEAR(Table2[[#This Row],[Order Date]])</f>
        <v>2016</v>
      </c>
      <c r="R248" s="18" t="str">
        <f>TEXT(Table2[[#This Row],[Order Date]],"mmm")</f>
        <v>Jun</v>
      </c>
      <c r="S248" s="18"/>
    </row>
    <row r="249" spans="1:19" x14ac:dyDescent="0.2">
      <c r="A249" s="1">
        <v>248</v>
      </c>
      <c r="B249" s="1" t="s">
        <v>589</v>
      </c>
      <c r="C249" s="2">
        <v>42522</v>
      </c>
      <c r="D249" s="1" t="s">
        <v>17</v>
      </c>
      <c r="E249" s="1" t="s">
        <v>590</v>
      </c>
      <c r="F249" s="1" t="s">
        <v>591</v>
      </c>
      <c r="G249" s="1" t="s">
        <v>154</v>
      </c>
      <c r="H249" s="1" t="s">
        <v>74</v>
      </c>
      <c r="I249" s="1" t="s">
        <v>32</v>
      </c>
      <c r="J249" s="1" t="s">
        <v>55</v>
      </c>
      <c r="K249" s="1" t="s">
        <v>594</v>
      </c>
      <c r="L249" s="17">
        <v>1503.25</v>
      </c>
      <c r="M249" s="1">
        <v>5</v>
      </c>
      <c r="N249" s="1">
        <v>0</v>
      </c>
      <c r="O249" s="17">
        <v>496.07249999999993</v>
      </c>
      <c r="P249" s="17">
        <f>('Work File (2)'!$L249*'Work File (2)'!$M249)*(1-'Work File (2)'!$N249)</f>
        <v>7516.25</v>
      </c>
      <c r="Q249" s="1">
        <f>YEAR(Table2[[#This Row],[Order Date]])</f>
        <v>2016</v>
      </c>
      <c r="R249" s="18" t="str">
        <f>TEXT(Table2[[#This Row],[Order Date]],"mmm")</f>
        <v>Jun</v>
      </c>
      <c r="S249" s="18"/>
    </row>
    <row r="250" spans="1:19" x14ac:dyDescent="0.2">
      <c r="A250" s="1">
        <v>249</v>
      </c>
      <c r="B250" s="1" t="s">
        <v>589</v>
      </c>
      <c r="C250" s="2">
        <v>42522</v>
      </c>
      <c r="D250" s="1" t="s">
        <v>17</v>
      </c>
      <c r="E250" s="1" t="s">
        <v>590</v>
      </c>
      <c r="F250" s="1" t="s">
        <v>591</v>
      </c>
      <c r="G250" s="1" t="s">
        <v>154</v>
      </c>
      <c r="H250" s="1" t="s">
        <v>74</v>
      </c>
      <c r="I250" s="1" t="s">
        <v>32</v>
      </c>
      <c r="J250" s="1" t="s">
        <v>63</v>
      </c>
      <c r="K250" s="1" t="s">
        <v>491</v>
      </c>
      <c r="L250" s="17">
        <v>25.92</v>
      </c>
      <c r="M250" s="1">
        <v>4</v>
      </c>
      <c r="N250" s="1">
        <v>0</v>
      </c>
      <c r="O250" s="17">
        <v>12.441600000000001</v>
      </c>
      <c r="P250" s="17">
        <f>('Work File (2)'!$L250*'Work File (2)'!$M250)*(1-'Work File (2)'!$N250)</f>
        <v>103.68</v>
      </c>
      <c r="Q250" s="1">
        <f>YEAR(Table2[[#This Row],[Order Date]])</f>
        <v>2016</v>
      </c>
      <c r="R250" s="18" t="str">
        <f>TEXT(Table2[[#This Row],[Order Date]],"mmm")</f>
        <v>Jun</v>
      </c>
      <c r="S250" s="18"/>
    </row>
    <row r="251" spans="1:19" x14ac:dyDescent="0.2">
      <c r="A251" s="1">
        <v>250</v>
      </c>
      <c r="B251" s="1" t="s">
        <v>595</v>
      </c>
      <c r="C251" s="2">
        <v>43444</v>
      </c>
      <c r="D251" s="1" t="s">
        <v>17</v>
      </c>
      <c r="E251" s="1" t="s">
        <v>596</v>
      </c>
      <c r="F251" s="1" t="s">
        <v>89</v>
      </c>
      <c r="G251" s="1" t="s">
        <v>30</v>
      </c>
      <c r="H251" s="1" t="s">
        <v>31</v>
      </c>
      <c r="I251" s="1" t="s">
        <v>22</v>
      </c>
      <c r="J251" s="1" t="s">
        <v>25</v>
      </c>
      <c r="K251" s="1" t="s">
        <v>597</v>
      </c>
      <c r="L251" s="17">
        <v>321.56799999999998</v>
      </c>
      <c r="M251" s="1">
        <v>2</v>
      </c>
      <c r="N251" s="1">
        <v>0.2</v>
      </c>
      <c r="O251" s="17">
        <v>28.137200000000007</v>
      </c>
      <c r="P251" s="17">
        <f>('Work File (2)'!$L251*'Work File (2)'!$M251)*(1-'Work File (2)'!$N251)</f>
        <v>514.50879999999995</v>
      </c>
      <c r="Q251" s="1">
        <f>YEAR(Table2[[#This Row],[Order Date]])</f>
        <v>2018</v>
      </c>
      <c r="R251" s="18" t="str">
        <f>TEXT(Table2[[#This Row],[Order Date]],"mmm")</f>
        <v>Dec</v>
      </c>
      <c r="S251" s="18"/>
    </row>
    <row r="252" spans="1:19" x14ac:dyDescent="0.2">
      <c r="A252" s="1">
        <v>251</v>
      </c>
      <c r="B252" s="1" t="s">
        <v>598</v>
      </c>
      <c r="C252" s="2">
        <v>43354</v>
      </c>
      <c r="D252" s="1" t="s">
        <v>36</v>
      </c>
      <c r="E252" s="1" t="s">
        <v>599</v>
      </c>
      <c r="F252" s="1" t="s">
        <v>600</v>
      </c>
      <c r="G252" s="1" t="s">
        <v>30</v>
      </c>
      <c r="H252" s="1" t="s">
        <v>31</v>
      </c>
      <c r="I252" s="1" t="s">
        <v>32</v>
      </c>
      <c r="J252" s="1" t="s">
        <v>63</v>
      </c>
      <c r="K252" s="1" t="s">
        <v>601</v>
      </c>
      <c r="L252" s="17">
        <v>7.61</v>
      </c>
      <c r="M252" s="1">
        <v>1</v>
      </c>
      <c r="N252" s="1">
        <v>0</v>
      </c>
      <c r="O252" s="17">
        <v>3.5766999999999998</v>
      </c>
      <c r="P252" s="17">
        <f>('Work File (2)'!$L252*'Work File (2)'!$M252)*(1-'Work File (2)'!$N252)</f>
        <v>7.61</v>
      </c>
      <c r="Q252" s="1">
        <f>YEAR(Table2[[#This Row],[Order Date]])</f>
        <v>2018</v>
      </c>
      <c r="R252" s="18" t="str">
        <f>TEXT(Table2[[#This Row],[Order Date]],"mmm")</f>
        <v>Sep</v>
      </c>
      <c r="S252" s="18"/>
    </row>
    <row r="253" spans="1:19" x14ac:dyDescent="0.2">
      <c r="A253" s="1">
        <v>252</v>
      </c>
      <c r="B253" s="1" t="s">
        <v>598</v>
      </c>
      <c r="C253" s="2">
        <v>43354</v>
      </c>
      <c r="D253" s="1" t="s">
        <v>36</v>
      </c>
      <c r="E253" s="1" t="s">
        <v>599</v>
      </c>
      <c r="F253" s="1" t="s">
        <v>600</v>
      </c>
      <c r="G253" s="1" t="s">
        <v>30</v>
      </c>
      <c r="H253" s="1" t="s">
        <v>31</v>
      </c>
      <c r="I253" s="1" t="s">
        <v>50</v>
      </c>
      <c r="J253" s="1" t="s">
        <v>111</v>
      </c>
      <c r="K253" s="1" t="s">
        <v>576</v>
      </c>
      <c r="L253" s="17">
        <v>3347.37</v>
      </c>
      <c r="M253" s="1">
        <v>13</v>
      </c>
      <c r="N253" s="1">
        <v>0</v>
      </c>
      <c r="O253" s="17">
        <v>636.0002999999997</v>
      </c>
      <c r="P253" s="17">
        <f>('Work File (2)'!$L253*'Work File (2)'!$M253)*(1-'Work File (2)'!$N253)</f>
        <v>43515.81</v>
      </c>
      <c r="Q253" s="1">
        <f>YEAR(Table2[[#This Row],[Order Date]])</f>
        <v>2018</v>
      </c>
      <c r="R253" s="18" t="str">
        <f>TEXT(Table2[[#This Row],[Order Date]],"mmm")</f>
        <v>Sep</v>
      </c>
      <c r="S253" s="18"/>
    </row>
    <row r="254" spans="1:19" x14ac:dyDescent="0.2">
      <c r="A254" s="1">
        <v>253</v>
      </c>
      <c r="B254" s="1" t="s">
        <v>602</v>
      </c>
      <c r="C254" s="2">
        <v>43444</v>
      </c>
      <c r="D254" s="1" t="s">
        <v>128</v>
      </c>
      <c r="E254" s="1" t="s">
        <v>603</v>
      </c>
      <c r="F254" s="1" t="s">
        <v>178</v>
      </c>
      <c r="G254" s="1" t="s">
        <v>179</v>
      </c>
      <c r="H254" s="1" t="s">
        <v>103</v>
      </c>
      <c r="I254" s="1" t="s">
        <v>32</v>
      </c>
      <c r="J254" s="1" t="s">
        <v>42</v>
      </c>
      <c r="K254" s="1" t="s">
        <v>604</v>
      </c>
      <c r="L254" s="17">
        <v>80.58</v>
      </c>
      <c r="M254" s="1">
        <v>6</v>
      </c>
      <c r="N254" s="1">
        <v>0</v>
      </c>
      <c r="O254" s="17">
        <v>22.562400000000004</v>
      </c>
      <c r="P254" s="17">
        <f>('Work File (2)'!$L254*'Work File (2)'!$M254)*(1-'Work File (2)'!$N254)</f>
        <v>483.48</v>
      </c>
      <c r="Q254" s="1">
        <f>YEAR(Table2[[#This Row],[Order Date]])</f>
        <v>2018</v>
      </c>
      <c r="R254" s="18" t="str">
        <f>TEXT(Table2[[#This Row],[Order Date]],"mmm")</f>
        <v>Dec</v>
      </c>
      <c r="S254" s="18"/>
    </row>
    <row r="255" spans="1:19" x14ac:dyDescent="0.2">
      <c r="A255" s="1">
        <v>254</v>
      </c>
      <c r="B255" s="1" t="s">
        <v>602</v>
      </c>
      <c r="C255" s="2">
        <v>43444</v>
      </c>
      <c r="D255" s="1" t="s">
        <v>128</v>
      </c>
      <c r="E255" s="1" t="s">
        <v>603</v>
      </c>
      <c r="F255" s="1" t="s">
        <v>178</v>
      </c>
      <c r="G255" s="1" t="s">
        <v>179</v>
      </c>
      <c r="H255" s="1" t="s">
        <v>103</v>
      </c>
      <c r="I255" s="1" t="s">
        <v>32</v>
      </c>
      <c r="J255" s="1" t="s">
        <v>118</v>
      </c>
      <c r="K255" s="1" t="s">
        <v>605</v>
      </c>
      <c r="L255" s="17">
        <v>361.92</v>
      </c>
      <c r="M255" s="1">
        <v>4</v>
      </c>
      <c r="N255" s="1">
        <v>0</v>
      </c>
      <c r="O255" s="17">
        <v>162.864</v>
      </c>
      <c r="P255" s="17">
        <f>('Work File (2)'!$L255*'Work File (2)'!$M255)*(1-'Work File (2)'!$N255)</f>
        <v>1447.68</v>
      </c>
      <c r="Q255" s="1">
        <f>YEAR(Table2[[#This Row],[Order Date]])</f>
        <v>2018</v>
      </c>
      <c r="R255" s="18" t="str">
        <f>TEXT(Table2[[#This Row],[Order Date]],"mmm")</f>
        <v>Dec</v>
      </c>
      <c r="S255" s="18"/>
    </row>
    <row r="256" spans="1:19" x14ac:dyDescent="0.2">
      <c r="A256" s="1">
        <v>255</v>
      </c>
      <c r="B256" s="1" t="s">
        <v>606</v>
      </c>
      <c r="C256" s="2">
        <v>43067</v>
      </c>
      <c r="D256" s="1" t="s">
        <v>36</v>
      </c>
      <c r="E256" s="1" t="s">
        <v>607</v>
      </c>
      <c r="F256" s="1" t="s">
        <v>200</v>
      </c>
      <c r="G256" s="1" t="s">
        <v>142</v>
      </c>
      <c r="H256" s="1" t="s">
        <v>74</v>
      </c>
      <c r="I256" s="1" t="s">
        <v>22</v>
      </c>
      <c r="J256" s="1" t="s">
        <v>46</v>
      </c>
      <c r="K256" s="1" t="s">
        <v>588</v>
      </c>
      <c r="L256" s="17">
        <v>12.132000000000001</v>
      </c>
      <c r="M256" s="1">
        <v>9</v>
      </c>
      <c r="N256" s="1">
        <v>0.6</v>
      </c>
      <c r="O256" s="17">
        <v>-8.4923999999999982</v>
      </c>
      <c r="P256" s="17">
        <f>('Work File (2)'!$L256*'Work File (2)'!$M256)*(1-'Work File (2)'!$N256)</f>
        <v>43.675200000000011</v>
      </c>
      <c r="Q256" s="1">
        <f>YEAR(Table2[[#This Row],[Order Date]])</f>
        <v>2017</v>
      </c>
      <c r="R256" s="18" t="str">
        <f>TEXT(Table2[[#This Row],[Order Date]],"mmm")</f>
        <v>Nov</v>
      </c>
      <c r="S256" s="18"/>
    </row>
    <row r="257" spans="1:19" x14ac:dyDescent="0.2">
      <c r="A257" s="1">
        <v>256</v>
      </c>
      <c r="B257" s="1" t="s">
        <v>606</v>
      </c>
      <c r="C257" s="2">
        <v>43067</v>
      </c>
      <c r="D257" s="1" t="s">
        <v>36</v>
      </c>
      <c r="E257" s="1" t="s">
        <v>607</v>
      </c>
      <c r="F257" s="1" t="s">
        <v>200</v>
      </c>
      <c r="G257" s="1" t="s">
        <v>142</v>
      </c>
      <c r="H257" s="1" t="s">
        <v>74</v>
      </c>
      <c r="I257" s="1" t="s">
        <v>32</v>
      </c>
      <c r="J257" s="1" t="s">
        <v>42</v>
      </c>
      <c r="K257" s="1" t="s">
        <v>608</v>
      </c>
      <c r="L257" s="17">
        <v>82.367999999999995</v>
      </c>
      <c r="M257" s="1">
        <v>2</v>
      </c>
      <c r="N257" s="1">
        <v>0.2</v>
      </c>
      <c r="O257" s="17">
        <v>-19.562399999999997</v>
      </c>
      <c r="P257" s="17">
        <f>('Work File (2)'!$L257*'Work File (2)'!$M257)*(1-'Work File (2)'!$N257)</f>
        <v>131.78880000000001</v>
      </c>
      <c r="Q257" s="1">
        <f>YEAR(Table2[[#This Row],[Order Date]])</f>
        <v>2017</v>
      </c>
      <c r="R257" s="18" t="str">
        <f>TEXT(Table2[[#This Row],[Order Date]],"mmm")</f>
        <v>Nov</v>
      </c>
      <c r="S257" s="18"/>
    </row>
    <row r="258" spans="1:19" x14ac:dyDescent="0.2">
      <c r="A258" s="1">
        <v>257</v>
      </c>
      <c r="B258" s="1" t="s">
        <v>606</v>
      </c>
      <c r="C258" s="2">
        <v>43067</v>
      </c>
      <c r="D258" s="1" t="s">
        <v>36</v>
      </c>
      <c r="E258" s="1" t="s">
        <v>607</v>
      </c>
      <c r="F258" s="1" t="s">
        <v>200</v>
      </c>
      <c r="G258" s="1" t="s">
        <v>142</v>
      </c>
      <c r="H258" s="1" t="s">
        <v>74</v>
      </c>
      <c r="I258" s="1" t="s">
        <v>32</v>
      </c>
      <c r="J258" s="1" t="s">
        <v>42</v>
      </c>
      <c r="K258" s="1" t="s">
        <v>409</v>
      </c>
      <c r="L258" s="17">
        <v>53.92</v>
      </c>
      <c r="M258" s="1">
        <v>5</v>
      </c>
      <c r="N258" s="1">
        <v>0.2</v>
      </c>
      <c r="O258" s="17">
        <v>4.0439999999999969</v>
      </c>
      <c r="P258" s="17">
        <f>('Work File (2)'!$L258*'Work File (2)'!$M258)*(1-'Work File (2)'!$N258)</f>
        <v>215.68000000000004</v>
      </c>
      <c r="Q258" s="1">
        <f>YEAR(Table2[[#This Row],[Order Date]])</f>
        <v>2017</v>
      </c>
      <c r="R258" s="18" t="str">
        <f>TEXT(Table2[[#This Row],[Order Date]],"mmm")</f>
        <v>Nov</v>
      </c>
      <c r="S258" s="18"/>
    </row>
    <row r="259" spans="1:19" x14ac:dyDescent="0.2">
      <c r="A259" s="1">
        <v>258</v>
      </c>
      <c r="B259" s="1" t="s">
        <v>606</v>
      </c>
      <c r="C259" s="2">
        <v>43067</v>
      </c>
      <c r="D259" s="1" t="s">
        <v>36</v>
      </c>
      <c r="E259" s="1" t="s">
        <v>607</v>
      </c>
      <c r="F259" s="1" t="s">
        <v>200</v>
      </c>
      <c r="G259" s="1" t="s">
        <v>142</v>
      </c>
      <c r="H259" s="1" t="s">
        <v>74</v>
      </c>
      <c r="I259" s="1" t="s">
        <v>50</v>
      </c>
      <c r="J259" s="1" t="s">
        <v>51</v>
      </c>
      <c r="K259" s="1" t="s">
        <v>609</v>
      </c>
      <c r="L259" s="17">
        <v>647.904</v>
      </c>
      <c r="M259" s="1">
        <v>6</v>
      </c>
      <c r="N259" s="1">
        <v>0.2</v>
      </c>
      <c r="O259" s="17">
        <v>56.691599999999966</v>
      </c>
      <c r="P259" s="17">
        <f>('Work File (2)'!$L259*'Work File (2)'!$M259)*(1-'Work File (2)'!$N259)</f>
        <v>3109.9392000000003</v>
      </c>
      <c r="Q259" s="1">
        <f>YEAR(Table2[[#This Row],[Order Date]])</f>
        <v>2017</v>
      </c>
      <c r="R259" s="18" t="str">
        <f>TEXT(Table2[[#This Row],[Order Date]],"mmm")</f>
        <v>Nov</v>
      </c>
      <c r="S259" s="18"/>
    </row>
    <row r="260" spans="1:19" x14ac:dyDescent="0.2">
      <c r="A260" s="1">
        <v>259</v>
      </c>
      <c r="B260" s="1" t="s">
        <v>610</v>
      </c>
      <c r="C260" s="2">
        <v>43800</v>
      </c>
      <c r="D260" s="1" t="s">
        <v>17</v>
      </c>
      <c r="E260" s="1" t="s">
        <v>611</v>
      </c>
      <c r="F260" s="1" t="s">
        <v>178</v>
      </c>
      <c r="G260" s="1" t="s">
        <v>179</v>
      </c>
      <c r="H260" s="1" t="s">
        <v>103</v>
      </c>
      <c r="I260" s="1" t="s">
        <v>50</v>
      </c>
      <c r="J260" s="1" t="s">
        <v>111</v>
      </c>
      <c r="K260" s="1" t="s">
        <v>612</v>
      </c>
      <c r="L260" s="17">
        <v>20.37</v>
      </c>
      <c r="M260" s="1">
        <v>3</v>
      </c>
      <c r="N260" s="1">
        <v>0</v>
      </c>
      <c r="O260" s="17">
        <v>6.9258000000000006</v>
      </c>
      <c r="P260" s="17">
        <f>('Work File (2)'!$L260*'Work File (2)'!$M260)*(1-'Work File (2)'!$N260)</f>
        <v>61.11</v>
      </c>
      <c r="Q260" s="1">
        <f>YEAR(Table2[[#This Row],[Order Date]])</f>
        <v>2019</v>
      </c>
      <c r="R260" s="18" t="str">
        <f>TEXT(Table2[[#This Row],[Order Date]],"mmm")</f>
        <v>Dec</v>
      </c>
      <c r="S260" s="18"/>
    </row>
    <row r="261" spans="1:19" x14ac:dyDescent="0.2">
      <c r="A261" s="1">
        <v>260</v>
      </c>
      <c r="B261" s="1" t="s">
        <v>610</v>
      </c>
      <c r="C261" s="2">
        <v>43800</v>
      </c>
      <c r="D261" s="1" t="s">
        <v>17</v>
      </c>
      <c r="E261" s="1" t="s">
        <v>611</v>
      </c>
      <c r="F261" s="1" t="s">
        <v>178</v>
      </c>
      <c r="G261" s="1" t="s">
        <v>179</v>
      </c>
      <c r="H261" s="1" t="s">
        <v>103</v>
      </c>
      <c r="I261" s="1" t="s">
        <v>32</v>
      </c>
      <c r="J261" s="1" t="s">
        <v>42</v>
      </c>
      <c r="K261" s="1" t="s">
        <v>613</v>
      </c>
      <c r="L261" s="17">
        <v>221.54999999999998</v>
      </c>
      <c r="M261" s="1">
        <v>3</v>
      </c>
      <c r="N261" s="1">
        <v>0</v>
      </c>
      <c r="O261" s="17">
        <v>6.6465000000000174</v>
      </c>
      <c r="P261" s="17">
        <f>('Work File (2)'!$L261*'Work File (2)'!$M261)*(1-'Work File (2)'!$N261)</f>
        <v>664.65</v>
      </c>
      <c r="Q261" s="1">
        <f>YEAR(Table2[[#This Row],[Order Date]])</f>
        <v>2019</v>
      </c>
      <c r="R261" s="18" t="str">
        <f>TEXT(Table2[[#This Row],[Order Date]],"mmm")</f>
        <v>Dec</v>
      </c>
      <c r="S261" s="18"/>
    </row>
    <row r="262" spans="1:19" x14ac:dyDescent="0.2">
      <c r="A262" s="1">
        <v>261</v>
      </c>
      <c r="B262" s="1" t="s">
        <v>610</v>
      </c>
      <c r="C262" s="2">
        <v>43800</v>
      </c>
      <c r="D262" s="1" t="s">
        <v>17</v>
      </c>
      <c r="E262" s="1" t="s">
        <v>611</v>
      </c>
      <c r="F262" s="1" t="s">
        <v>178</v>
      </c>
      <c r="G262" s="1" t="s">
        <v>179</v>
      </c>
      <c r="H262" s="1" t="s">
        <v>103</v>
      </c>
      <c r="I262" s="1" t="s">
        <v>32</v>
      </c>
      <c r="J262" s="1" t="s">
        <v>53</v>
      </c>
      <c r="K262" s="1" t="s">
        <v>614</v>
      </c>
      <c r="L262" s="17">
        <v>17.52</v>
      </c>
      <c r="M262" s="1">
        <v>5</v>
      </c>
      <c r="N262" s="1">
        <v>0.2</v>
      </c>
      <c r="O262" s="17">
        <v>6.1319999999999988</v>
      </c>
      <c r="P262" s="17">
        <f>('Work File (2)'!$L262*'Work File (2)'!$M262)*(1-'Work File (2)'!$N262)</f>
        <v>70.08</v>
      </c>
      <c r="Q262" s="1">
        <f>YEAR(Table2[[#This Row],[Order Date]])</f>
        <v>2019</v>
      </c>
      <c r="R262" s="18" t="str">
        <f>TEXT(Table2[[#This Row],[Order Date]],"mmm")</f>
        <v>Dec</v>
      </c>
      <c r="S262" s="18"/>
    </row>
    <row r="263" spans="1:19" x14ac:dyDescent="0.2">
      <c r="A263" s="1">
        <v>262</v>
      </c>
      <c r="B263" s="1" t="s">
        <v>615</v>
      </c>
      <c r="C263" s="2">
        <v>43624</v>
      </c>
      <c r="D263" s="1" t="s">
        <v>36</v>
      </c>
      <c r="E263" s="1" t="s">
        <v>616</v>
      </c>
      <c r="F263" s="1" t="s">
        <v>388</v>
      </c>
      <c r="G263" s="1" t="s">
        <v>73</v>
      </c>
      <c r="H263" s="1" t="s">
        <v>74</v>
      </c>
      <c r="I263" s="1" t="s">
        <v>32</v>
      </c>
      <c r="J263" s="1" t="s">
        <v>55</v>
      </c>
      <c r="K263" s="1" t="s">
        <v>617</v>
      </c>
      <c r="L263" s="17">
        <v>1.6239999999999994</v>
      </c>
      <c r="M263" s="1">
        <v>2</v>
      </c>
      <c r="N263" s="1">
        <v>0.8</v>
      </c>
      <c r="O263" s="17">
        <v>-4.4660000000000002</v>
      </c>
      <c r="P263" s="17">
        <f>('Work File (2)'!$L263*'Work File (2)'!$M263)*(1-'Work File (2)'!$N263)</f>
        <v>0.64959999999999962</v>
      </c>
      <c r="Q263" s="1">
        <f>YEAR(Table2[[#This Row],[Order Date]])</f>
        <v>2019</v>
      </c>
      <c r="R263" s="18" t="str">
        <f>TEXT(Table2[[#This Row],[Order Date]],"mmm")</f>
        <v>Jun</v>
      </c>
      <c r="S263" s="18"/>
    </row>
    <row r="264" spans="1:19" x14ac:dyDescent="0.2">
      <c r="A264" s="1">
        <v>263</v>
      </c>
      <c r="B264" s="1" t="s">
        <v>618</v>
      </c>
      <c r="C264" s="2">
        <v>42632</v>
      </c>
      <c r="D264" s="1" t="s">
        <v>17</v>
      </c>
      <c r="E264" s="1" t="s">
        <v>619</v>
      </c>
      <c r="F264" s="1" t="s">
        <v>125</v>
      </c>
      <c r="G264" s="1" t="s">
        <v>73</v>
      </c>
      <c r="H264" s="1" t="s">
        <v>74</v>
      </c>
      <c r="I264" s="1" t="s">
        <v>50</v>
      </c>
      <c r="J264" s="1" t="s">
        <v>439</v>
      </c>
      <c r="K264" s="1" t="s">
        <v>440</v>
      </c>
      <c r="L264" s="17">
        <v>3059.982</v>
      </c>
      <c r="M264" s="1">
        <v>3</v>
      </c>
      <c r="N264" s="1">
        <v>0.4</v>
      </c>
      <c r="O264" s="17">
        <v>-509.99700000000075</v>
      </c>
      <c r="P264" s="17">
        <f>('Work File (2)'!$L264*'Work File (2)'!$M264)*(1-'Work File (2)'!$N264)</f>
        <v>5507.9675999999999</v>
      </c>
      <c r="Q264" s="1">
        <f>YEAR(Table2[[#This Row],[Order Date]])</f>
        <v>2016</v>
      </c>
      <c r="R264" s="18" t="str">
        <f>TEXT(Table2[[#This Row],[Order Date]],"mmm")</f>
        <v>Sep</v>
      </c>
      <c r="S264" s="18"/>
    </row>
    <row r="265" spans="1:19" x14ac:dyDescent="0.2">
      <c r="A265" s="1">
        <v>264</v>
      </c>
      <c r="B265" s="1" t="s">
        <v>618</v>
      </c>
      <c r="C265" s="2">
        <v>42632</v>
      </c>
      <c r="D265" s="1" t="s">
        <v>17</v>
      </c>
      <c r="E265" s="1" t="s">
        <v>619</v>
      </c>
      <c r="F265" s="1" t="s">
        <v>125</v>
      </c>
      <c r="G265" s="1" t="s">
        <v>73</v>
      </c>
      <c r="H265" s="1" t="s">
        <v>74</v>
      </c>
      <c r="I265" s="1" t="s">
        <v>50</v>
      </c>
      <c r="J265" s="1" t="s">
        <v>439</v>
      </c>
      <c r="K265" s="1" t="s">
        <v>620</v>
      </c>
      <c r="L265" s="17">
        <v>2519.9579999999996</v>
      </c>
      <c r="M265" s="1">
        <v>7</v>
      </c>
      <c r="N265" s="1">
        <v>0.4</v>
      </c>
      <c r="O265" s="17">
        <v>-251.99579999999992</v>
      </c>
      <c r="P265" s="17">
        <f>('Work File (2)'!$L265*'Work File (2)'!$M265)*(1-'Work File (2)'!$N265)</f>
        <v>10583.823599999998</v>
      </c>
      <c r="Q265" s="1">
        <f>YEAR(Table2[[#This Row],[Order Date]])</f>
        <v>2016</v>
      </c>
      <c r="R265" s="18" t="str">
        <f>TEXT(Table2[[#This Row],[Order Date]],"mmm")</f>
        <v>Sep</v>
      </c>
      <c r="S265" s="18"/>
    </row>
    <row r="266" spans="1:19" x14ac:dyDescent="0.2">
      <c r="A266" s="1">
        <v>265</v>
      </c>
      <c r="B266" s="1" t="s">
        <v>621</v>
      </c>
      <c r="C266" s="2">
        <v>43257</v>
      </c>
      <c r="D266" s="1" t="s">
        <v>36</v>
      </c>
      <c r="E266" s="1" t="s">
        <v>622</v>
      </c>
      <c r="F266" s="1" t="s">
        <v>200</v>
      </c>
      <c r="G266" s="1" t="s">
        <v>142</v>
      </c>
      <c r="H266" s="1" t="s">
        <v>74</v>
      </c>
      <c r="I266" s="1" t="s">
        <v>50</v>
      </c>
      <c r="J266" s="1" t="s">
        <v>51</v>
      </c>
      <c r="K266" s="1" t="s">
        <v>623</v>
      </c>
      <c r="L266" s="17">
        <v>328.22399999999999</v>
      </c>
      <c r="M266" s="1">
        <v>4</v>
      </c>
      <c r="N266" s="1">
        <v>0.2</v>
      </c>
      <c r="O266" s="17">
        <v>28.7196</v>
      </c>
      <c r="P266" s="17">
        <f>('Work File (2)'!$L266*'Work File (2)'!$M266)*(1-'Work File (2)'!$N266)</f>
        <v>1050.3168000000001</v>
      </c>
      <c r="Q266" s="1">
        <f>YEAR(Table2[[#This Row],[Order Date]])</f>
        <v>2018</v>
      </c>
      <c r="R266" s="18" t="str">
        <f>TEXT(Table2[[#This Row],[Order Date]],"mmm")</f>
        <v>Jun</v>
      </c>
      <c r="S266" s="18"/>
    </row>
    <row r="267" spans="1:19" x14ac:dyDescent="0.2">
      <c r="A267" s="1">
        <v>266</v>
      </c>
      <c r="B267" s="1" t="s">
        <v>624</v>
      </c>
      <c r="C267" s="2">
        <v>43049</v>
      </c>
      <c r="D267" s="1" t="s">
        <v>36</v>
      </c>
      <c r="E267" s="1" t="s">
        <v>625</v>
      </c>
      <c r="F267" s="1" t="s">
        <v>626</v>
      </c>
      <c r="G267" s="1" t="s">
        <v>30</v>
      </c>
      <c r="H267" s="1" t="s">
        <v>31</v>
      </c>
      <c r="I267" s="1" t="s">
        <v>50</v>
      </c>
      <c r="J267" s="1" t="s">
        <v>111</v>
      </c>
      <c r="K267" s="1" t="s">
        <v>627</v>
      </c>
      <c r="L267" s="17">
        <v>79.900000000000006</v>
      </c>
      <c r="M267" s="1">
        <v>2</v>
      </c>
      <c r="N267" s="1">
        <v>0</v>
      </c>
      <c r="O267" s="17">
        <v>35.156000000000006</v>
      </c>
      <c r="P267" s="17">
        <f>('Work File (2)'!$L267*'Work File (2)'!$M267)*(1-'Work File (2)'!$N267)</f>
        <v>159.80000000000001</v>
      </c>
      <c r="Q267" s="1">
        <f>YEAR(Table2[[#This Row],[Order Date]])</f>
        <v>2017</v>
      </c>
      <c r="R267" s="18" t="str">
        <f>TEXT(Table2[[#This Row],[Order Date]],"mmm")</f>
        <v>Nov</v>
      </c>
      <c r="S267" s="18"/>
    </row>
    <row r="268" spans="1:19" x14ac:dyDescent="0.2">
      <c r="A268" s="1">
        <v>267</v>
      </c>
      <c r="B268" s="1" t="s">
        <v>628</v>
      </c>
      <c r="C268" s="2">
        <v>43632</v>
      </c>
      <c r="D268" s="1" t="s">
        <v>36</v>
      </c>
      <c r="E268" s="1" t="s">
        <v>629</v>
      </c>
      <c r="F268" s="1" t="s">
        <v>630</v>
      </c>
      <c r="G268" s="1" t="s">
        <v>62</v>
      </c>
      <c r="H268" s="1" t="s">
        <v>21</v>
      </c>
      <c r="I268" s="1" t="s">
        <v>32</v>
      </c>
      <c r="J268" s="1" t="s">
        <v>48</v>
      </c>
      <c r="K268" s="1" t="s">
        <v>631</v>
      </c>
      <c r="L268" s="17">
        <v>14.015999999999998</v>
      </c>
      <c r="M268" s="1">
        <v>3</v>
      </c>
      <c r="N268" s="1">
        <v>0.2</v>
      </c>
      <c r="O268" s="17">
        <v>4.7303999999999995</v>
      </c>
      <c r="P268" s="17">
        <f>('Work File (2)'!$L268*'Work File (2)'!$M268)*(1-'Work File (2)'!$N268)</f>
        <v>33.638399999999997</v>
      </c>
      <c r="Q268" s="1">
        <f>YEAR(Table2[[#This Row],[Order Date]])</f>
        <v>2019</v>
      </c>
      <c r="R268" s="18" t="str">
        <f>TEXT(Table2[[#This Row],[Order Date]],"mmm")</f>
        <v>Jun</v>
      </c>
      <c r="S268" s="18"/>
    </row>
    <row r="269" spans="1:19" x14ac:dyDescent="0.2">
      <c r="A269" s="1">
        <v>268</v>
      </c>
      <c r="B269" s="1" t="s">
        <v>632</v>
      </c>
      <c r="C269" s="2">
        <v>43122</v>
      </c>
      <c r="D269" s="1" t="s">
        <v>36</v>
      </c>
      <c r="E269" s="1" t="s">
        <v>255</v>
      </c>
      <c r="F269" s="1" t="s">
        <v>633</v>
      </c>
      <c r="G269" s="1" t="s">
        <v>504</v>
      </c>
      <c r="H269" s="1" t="s">
        <v>103</v>
      </c>
      <c r="I269" s="1" t="s">
        <v>32</v>
      </c>
      <c r="J269" s="1" t="s">
        <v>180</v>
      </c>
      <c r="K269" s="1" t="s">
        <v>634</v>
      </c>
      <c r="L269" s="17">
        <v>7.5600000000000005</v>
      </c>
      <c r="M269" s="1">
        <v>6</v>
      </c>
      <c r="N269" s="1">
        <v>0</v>
      </c>
      <c r="O269" s="17">
        <v>0.3024</v>
      </c>
      <c r="P269" s="17">
        <f>('Work File (2)'!$L269*'Work File (2)'!$M269)*(1-'Work File (2)'!$N269)</f>
        <v>45.36</v>
      </c>
      <c r="Q269" s="1">
        <f>YEAR(Table2[[#This Row],[Order Date]])</f>
        <v>2018</v>
      </c>
      <c r="R269" s="18" t="str">
        <f>TEXT(Table2[[#This Row],[Order Date]],"mmm")</f>
        <v>Jan</v>
      </c>
      <c r="S269" s="18"/>
    </row>
    <row r="270" spans="1:19" x14ac:dyDescent="0.2">
      <c r="A270" s="1">
        <v>269</v>
      </c>
      <c r="B270" s="1" t="s">
        <v>635</v>
      </c>
      <c r="C270" s="2">
        <v>43808</v>
      </c>
      <c r="D270" s="1" t="s">
        <v>36</v>
      </c>
      <c r="E270" s="1" t="s">
        <v>636</v>
      </c>
      <c r="F270" s="1" t="s">
        <v>637</v>
      </c>
      <c r="G270" s="1" t="s">
        <v>324</v>
      </c>
      <c r="H270" s="1" t="s">
        <v>103</v>
      </c>
      <c r="I270" s="1" t="s">
        <v>32</v>
      </c>
      <c r="J270" s="1" t="s">
        <v>42</v>
      </c>
      <c r="K270" s="1" t="s">
        <v>638</v>
      </c>
      <c r="L270" s="17">
        <v>37.207999999999998</v>
      </c>
      <c r="M270" s="1">
        <v>1</v>
      </c>
      <c r="N270" s="1">
        <v>0.2</v>
      </c>
      <c r="O270" s="17">
        <v>-7.4416000000000011</v>
      </c>
      <c r="P270" s="17">
        <f>('Work File (2)'!$L270*'Work File (2)'!$M270)*(1-'Work File (2)'!$N270)</f>
        <v>29.766400000000001</v>
      </c>
      <c r="Q270" s="1">
        <f>YEAR(Table2[[#This Row],[Order Date]])</f>
        <v>2019</v>
      </c>
      <c r="R270" s="18" t="str">
        <f>TEXT(Table2[[#This Row],[Order Date]],"mmm")</f>
        <v>Dec</v>
      </c>
      <c r="S270" s="18"/>
    </row>
    <row r="271" spans="1:19" x14ac:dyDescent="0.2">
      <c r="A271" s="1">
        <v>270</v>
      </c>
      <c r="B271" s="1" t="s">
        <v>635</v>
      </c>
      <c r="C271" s="2">
        <v>43808</v>
      </c>
      <c r="D271" s="1" t="s">
        <v>36</v>
      </c>
      <c r="E271" s="1" t="s">
        <v>636</v>
      </c>
      <c r="F271" s="1" t="s">
        <v>637</v>
      </c>
      <c r="G271" s="1" t="s">
        <v>324</v>
      </c>
      <c r="H271" s="1" t="s">
        <v>103</v>
      </c>
      <c r="I271" s="1" t="s">
        <v>32</v>
      </c>
      <c r="J271" s="1" t="s">
        <v>118</v>
      </c>
      <c r="K271" s="1" t="s">
        <v>639</v>
      </c>
      <c r="L271" s="17">
        <v>57.576000000000001</v>
      </c>
      <c r="M271" s="1">
        <v>3</v>
      </c>
      <c r="N271" s="1">
        <v>0.2</v>
      </c>
      <c r="O271" s="17">
        <v>21.591000000000001</v>
      </c>
      <c r="P271" s="17">
        <f>('Work File (2)'!$L271*'Work File (2)'!$M271)*(1-'Work File (2)'!$N271)</f>
        <v>138.1824</v>
      </c>
      <c r="Q271" s="1">
        <f>YEAR(Table2[[#This Row],[Order Date]])</f>
        <v>2019</v>
      </c>
      <c r="R271" s="18" t="str">
        <f>TEXT(Table2[[#This Row],[Order Date]],"mmm")</f>
        <v>Dec</v>
      </c>
      <c r="S271" s="18"/>
    </row>
    <row r="272" spans="1:19" x14ac:dyDescent="0.2">
      <c r="A272" s="1">
        <v>271</v>
      </c>
      <c r="B272" s="1" t="s">
        <v>640</v>
      </c>
      <c r="C272" s="2">
        <v>43827</v>
      </c>
      <c r="D272" s="1" t="s">
        <v>17</v>
      </c>
      <c r="E272" s="1" t="s">
        <v>641</v>
      </c>
      <c r="F272" s="1" t="s">
        <v>89</v>
      </c>
      <c r="G272" s="1" t="s">
        <v>30</v>
      </c>
      <c r="H272" s="1" t="s">
        <v>31</v>
      </c>
      <c r="I272" s="1" t="s">
        <v>32</v>
      </c>
      <c r="J272" s="1" t="s">
        <v>42</v>
      </c>
      <c r="K272" s="1" t="s">
        <v>642</v>
      </c>
      <c r="L272" s="17">
        <v>725.84</v>
      </c>
      <c r="M272" s="1">
        <v>4</v>
      </c>
      <c r="N272" s="1">
        <v>0</v>
      </c>
      <c r="O272" s="17">
        <v>210.4935999999999</v>
      </c>
      <c r="P272" s="17">
        <f>('Work File (2)'!$L272*'Work File (2)'!$M272)*(1-'Work File (2)'!$N272)</f>
        <v>2903.36</v>
      </c>
      <c r="Q272" s="1">
        <f>YEAR(Table2[[#This Row],[Order Date]])</f>
        <v>2019</v>
      </c>
      <c r="R272" s="18" t="str">
        <f>TEXT(Table2[[#This Row],[Order Date]],"mmm")</f>
        <v>Dec</v>
      </c>
      <c r="S272" s="18"/>
    </row>
    <row r="273" spans="1:19" x14ac:dyDescent="0.2">
      <c r="A273" s="1">
        <v>272</v>
      </c>
      <c r="B273" s="1" t="s">
        <v>643</v>
      </c>
      <c r="C273" s="2">
        <v>42946</v>
      </c>
      <c r="D273" s="1" t="s">
        <v>128</v>
      </c>
      <c r="E273" s="1" t="s">
        <v>387</v>
      </c>
      <c r="F273" s="1" t="s">
        <v>89</v>
      </c>
      <c r="G273" s="1" t="s">
        <v>30</v>
      </c>
      <c r="H273" s="1" t="s">
        <v>31</v>
      </c>
      <c r="I273" s="1" t="s">
        <v>50</v>
      </c>
      <c r="J273" s="1" t="s">
        <v>111</v>
      </c>
      <c r="K273" s="1" t="s">
        <v>644</v>
      </c>
      <c r="L273" s="17">
        <v>209.92999999999998</v>
      </c>
      <c r="M273" s="1">
        <v>7</v>
      </c>
      <c r="N273" s="1">
        <v>0</v>
      </c>
      <c r="O273" s="17">
        <v>92.369200000000021</v>
      </c>
      <c r="P273" s="17">
        <f>('Work File (2)'!$L273*'Work File (2)'!$M273)*(1-'Work File (2)'!$N273)</f>
        <v>1469.5099999999998</v>
      </c>
      <c r="Q273" s="1">
        <f>YEAR(Table2[[#This Row],[Order Date]])</f>
        <v>2017</v>
      </c>
      <c r="R273" s="18" t="str">
        <f>TEXT(Table2[[#This Row],[Order Date]],"mmm")</f>
        <v>Jul</v>
      </c>
      <c r="S273" s="18"/>
    </row>
    <row r="274" spans="1:19" x14ac:dyDescent="0.2">
      <c r="A274" s="1">
        <v>273</v>
      </c>
      <c r="B274" s="1" t="s">
        <v>643</v>
      </c>
      <c r="C274" s="2">
        <v>42946</v>
      </c>
      <c r="D274" s="1" t="s">
        <v>128</v>
      </c>
      <c r="E274" s="1" t="s">
        <v>387</v>
      </c>
      <c r="F274" s="1" t="s">
        <v>89</v>
      </c>
      <c r="G274" s="1" t="s">
        <v>30</v>
      </c>
      <c r="H274" s="1" t="s">
        <v>31</v>
      </c>
      <c r="I274" s="1" t="s">
        <v>22</v>
      </c>
      <c r="J274" s="1" t="s">
        <v>46</v>
      </c>
      <c r="K274" s="1" t="s">
        <v>645</v>
      </c>
      <c r="L274" s="17">
        <v>5.28</v>
      </c>
      <c r="M274" s="1">
        <v>3</v>
      </c>
      <c r="N274" s="1">
        <v>0</v>
      </c>
      <c r="O274" s="17">
        <v>2.3232000000000004</v>
      </c>
      <c r="P274" s="17">
        <f>('Work File (2)'!$L274*'Work File (2)'!$M274)*(1-'Work File (2)'!$N274)</f>
        <v>15.84</v>
      </c>
      <c r="Q274" s="1">
        <f>YEAR(Table2[[#This Row],[Order Date]])</f>
        <v>2017</v>
      </c>
      <c r="R274" s="18" t="str">
        <f>TEXT(Table2[[#This Row],[Order Date]],"mmm")</f>
        <v>Jul</v>
      </c>
      <c r="S274" s="18"/>
    </row>
    <row r="275" spans="1:19" x14ac:dyDescent="0.2">
      <c r="A275" s="1">
        <v>274</v>
      </c>
      <c r="B275" s="1" t="s">
        <v>643</v>
      </c>
      <c r="C275" s="2">
        <v>42946</v>
      </c>
      <c r="D275" s="1" t="s">
        <v>128</v>
      </c>
      <c r="E275" s="1" t="s">
        <v>387</v>
      </c>
      <c r="F275" s="1" t="s">
        <v>89</v>
      </c>
      <c r="G275" s="1" t="s">
        <v>30</v>
      </c>
      <c r="H275" s="1" t="s">
        <v>31</v>
      </c>
      <c r="I275" s="1" t="s">
        <v>32</v>
      </c>
      <c r="J275" s="1" t="s">
        <v>53</v>
      </c>
      <c r="K275" s="1" t="s">
        <v>646</v>
      </c>
      <c r="L275" s="17">
        <v>10.92</v>
      </c>
      <c r="M275" s="1">
        <v>3</v>
      </c>
      <c r="N275" s="1">
        <v>0.2</v>
      </c>
      <c r="O275" s="17">
        <v>4.0949999999999989</v>
      </c>
      <c r="P275" s="17">
        <f>('Work File (2)'!$L275*'Work File (2)'!$M275)*(1-'Work File (2)'!$N275)</f>
        <v>26.207999999999998</v>
      </c>
      <c r="Q275" s="1">
        <f>YEAR(Table2[[#This Row],[Order Date]])</f>
        <v>2017</v>
      </c>
      <c r="R275" s="18" t="str">
        <f>TEXT(Table2[[#This Row],[Order Date]],"mmm")</f>
        <v>Jul</v>
      </c>
      <c r="S275" s="18"/>
    </row>
    <row r="276" spans="1:19" x14ac:dyDescent="0.2">
      <c r="A276" s="1">
        <v>275</v>
      </c>
      <c r="B276" s="1" t="s">
        <v>647</v>
      </c>
      <c r="C276" s="2">
        <v>43724</v>
      </c>
      <c r="D276" s="1" t="s">
        <v>128</v>
      </c>
      <c r="E276" s="1" t="s">
        <v>648</v>
      </c>
      <c r="F276" s="1" t="s">
        <v>649</v>
      </c>
      <c r="G276" s="1" t="s">
        <v>30</v>
      </c>
      <c r="H276" s="1" t="s">
        <v>31</v>
      </c>
      <c r="I276" s="1" t="s">
        <v>32</v>
      </c>
      <c r="J276" s="1" t="s">
        <v>63</v>
      </c>
      <c r="K276" s="1" t="s">
        <v>650</v>
      </c>
      <c r="L276" s="17">
        <v>8.82</v>
      </c>
      <c r="M276" s="1">
        <v>2</v>
      </c>
      <c r="N276" s="1">
        <v>0</v>
      </c>
      <c r="O276" s="17">
        <v>4.0571999999999999</v>
      </c>
      <c r="P276" s="17">
        <f>('Work File (2)'!$L276*'Work File (2)'!$M276)*(1-'Work File (2)'!$N276)</f>
        <v>17.64</v>
      </c>
      <c r="Q276" s="1">
        <f>YEAR(Table2[[#This Row],[Order Date]])</f>
        <v>2019</v>
      </c>
      <c r="R276" s="18" t="str">
        <f>TEXT(Table2[[#This Row],[Order Date]],"mmm")</f>
        <v>Sep</v>
      </c>
      <c r="S276" s="18"/>
    </row>
    <row r="277" spans="1:19" x14ac:dyDescent="0.2">
      <c r="A277" s="1">
        <v>276</v>
      </c>
      <c r="B277" s="1" t="s">
        <v>647</v>
      </c>
      <c r="C277" s="2">
        <v>43724</v>
      </c>
      <c r="D277" s="1" t="s">
        <v>128</v>
      </c>
      <c r="E277" s="1" t="s">
        <v>648</v>
      </c>
      <c r="F277" s="1" t="s">
        <v>649</v>
      </c>
      <c r="G277" s="1" t="s">
        <v>30</v>
      </c>
      <c r="H277" s="1" t="s">
        <v>31</v>
      </c>
      <c r="I277" s="1" t="s">
        <v>32</v>
      </c>
      <c r="J277" s="1" t="s">
        <v>48</v>
      </c>
      <c r="K277" s="1" t="s">
        <v>651</v>
      </c>
      <c r="L277" s="17">
        <v>5.98</v>
      </c>
      <c r="M277" s="1">
        <v>1</v>
      </c>
      <c r="N277" s="1">
        <v>0</v>
      </c>
      <c r="O277" s="17">
        <v>1.5548000000000002</v>
      </c>
      <c r="P277" s="17">
        <f>('Work File (2)'!$L277*'Work File (2)'!$M277)*(1-'Work File (2)'!$N277)</f>
        <v>5.98</v>
      </c>
      <c r="Q277" s="1">
        <f>YEAR(Table2[[#This Row],[Order Date]])</f>
        <v>2019</v>
      </c>
      <c r="R277" s="18" t="str">
        <f>TEXT(Table2[[#This Row],[Order Date]],"mmm")</f>
        <v>Sep</v>
      </c>
      <c r="S277" s="18"/>
    </row>
    <row r="278" spans="1:19" x14ac:dyDescent="0.2">
      <c r="A278" s="1">
        <v>277</v>
      </c>
      <c r="B278" s="1" t="s">
        <v>652</v>
      </c>
      <c r="C278" s="2">
        <v>43751</v>
      </c>
      <c r="D278" s="1" t="s">
        <v>36</v>
      </c>
      <c r="E278" s="1" t="s">
        <v>653</v>
      </c>
      <c r="F278" s="1" t="s">
        <v>101</v>
      </c>
      <c r="G278" s="1" t="s">
        <v>102</v>
      </c>
      <c r="H278" s="1" t="s">
        <v>103</v>
      </c>
      <c r="I278" s="1" t="s">
        <v>32</v>
      </c>
      <c r="J278" s="1" t="s">
        <v>63</v>
      </c>
      <c r="K278" s="1" t="s">
        <v>654</v>
      </c>
      <c r="L278" s="17">
        <v>11.648000000000001</v>
      </c>
      <c r="M278" s="1">
        <v>2</v>
      </c>
      <c r="N278" s="1">
        <v>0.2</v>
      </c>
      <c r="O278" s="17">
        <v>4.0768000000000004</v>
      </c>
      <c r="P278" s="17">
        <f>('Work File (2)'!$L278*'Work File (2)'!$M278)*(1-'Work File (2)'!$N278)</f>
        <v>18.636800000000004</v>
      </c>
      <c r="Q278" s="1">
        <f>YEAR(Table2[[#This Row],[Order Date]])</f>
        <v>2019</v>
      </c>
      <c r="R278" s="18" t="str">
        <f>TEXT(Table2[[#This Row],[Order Date]],"mmm")</f>
        <v>Oct</v>
      </c>
      <c r="S278" s="18"/>
    </row>
    <row r="279" spans="1:19" x14ac:dyDescent="0.2">
      <c r="A279" s="1">
        <v>278</v>
      </c>
      <c r="B279" s="1" t="s">
        <v>652</v>
      </c>
      <c r="C279" s="2">
        <v>43751</v>
      </c>
      <c r="D279" s="1" t="s">
        <v>36</v>
      </c>
      <c r="E279" s="1" t="s">
        <v>653</v>
      </c>
      <c r="F279" s="1" t="s">
        <v>101</v>
      </c>
      <c r="G279" s="1" t="s">
        <v>102</v>
      </c>
      <c r="H279" s="1" t="s">
        <v>103</v>
      </c>
      <c r="I279" s="1" t="s">
        <v>32</v>
      </c>
      <c r="J279" s="1" t="s">
        <v>63</v>
      </c>
      <c r="K279" s="1" t="s">
        <v>655</v>
      </c>
      <c r="L279" s="17">
        <v>18.175999999999998</v>
      </c>
      <c r="M279" s="1">
        <v>4</v>
      </c>
      <c r="N279" s="1">
        <v>0.2</v>
      </c>
      <c r="O279" s="17">
        <v>5.9071999999999987</v>
      </c>
      <c r="P279" s="17">
        <f>('Work File (2)'!$L279*'Work File (2)'!$M279)*(1-'Work File (2)'!$N279)</f>
        <v>58.163199999999996</v>
      </c>
      <c r="Q279" s="1">
        <f>YEAR(Table2[[#This Row],[Order Date]])</f>
        <v>2019</v>
      </c>
      <c r="R279" s="18" t="str">
        <f>TEXT(Table2[[#This Row],[Order Date]],"mmm")</f>
        <v>Oct</v>
      </c>
      <c r="S279" s="18"/>
    </row>
    <row r="280" spans="1:19" x14ac:dyDescent="0.2">
      <c r="A280" s="1">
        <v>279</v>
      </c>
      <c r="B280" s="1" t="s">
        <v>652</v>
      </c>
      <c r="C280" s="2">
        <v>43751</v>
      </c>
      <c r="D280" s="1" t="s">
        <v>36</v>
      </c>
      <c r="E280" s="1" t="s">
        <v>653</v>
      </c>
      <c r="F280" s="1" t="s">
        <v>101</v>
      </c>
      <c r="G280" s="1" t="s">
        <v>102</v>
      </c>
      <c r="H280" s="1" t="s">
        <v>103</v>
      </c>
      <c r="I280" s="1" t="s">
        <v>32</v>
      </c>
      <c r="J280" s="1" t="s">
        <v>42</v>
      </c>
      <c r="K280" s="1" t="s">
        <v>656</v>
      </c>
      <c r="L280" s="17">
        <v>59.712000000000003</v>
      </c>
      <c r="M280" s="1">
        <v>6</v>
      </c>
      <c r="N280" s="1">
        <v>0.2</v>
      </c>
      <c r="O280" s="17">
        <v>5.9711999999999996</v>
      </c>
      <c r="P280" s="17">
        <f>('Work File (2)'!$L280*'Work File (2)'!$M280)*(1-'Work File (2)'!$N280)</f>
        <v>286.61760000000004</v>
      </c>
      <c r="Q280" s="1">
        <f>YEAR(Table2[[#This Row],[Order Date]])</f>
        <v>2019</v>
      </c>
      <c r="R280" s="18" t="str">
        <f>TEXT(Table2[[#This Row],[Order Date]],"mmm")</f>
        <v>Oct</v>
      </c>
      <c r="S280" s="18"/>
    </row>
    <row r="281" spans="1:19" x14ac:dyDescent="0.2">
      <c r="A281" s="1">
        <v>280</v>
      </c>
      <c r="B281" s="1" t="s">
        <v>652</v>
      </c>
      <c r="C281" s="2">
        <v>43751</v>
      </c>
      <c r="D281" s="1" t="s">
        <v>36</v>
      </c>
      <c r="E281" s="1" t="s">
        <v>653</v>
      </c>
      <c r="F281" s="1" t="s">
        <v>101</v>
      </c>
      <c r="G281" s="1" t="s">
        <v>102</v>
      </c>
      <c r="H281" s="1" t="s">
        <v>103</v>
      </c>
      <c r="I281" s="1" t="s">
        <v>32</v>
      </c>
      <c r="J281" s="1" t="s">
        <v>33</v>
      </c>
      <c r="K281" s="1" t="s">
        <v>657</v>
      </c>
      <c r="L281" s="17">
        <v>24.839999999999996</v>
      </c>
      <c r="M281" s="1">
        <v>3</v>
      </c>
      <c r="N281" s="1">
        <v>0.2</v>
      </c>
      <c r="O281" s="17">
        <v>8.6940000000000008</v>
      </c>
      <c r="P281" s="17">
        <f>('Work File (2)'!$L281*'Work File (2)'!$M281)*(1-'Work File (2)'!$N281)</f>
        <v>59.615999999999985</v>
      </c>
      <c r="Q281" s="1">
        <f>YEAR(Table2[[#This Row],[Order Date]])</f>
        <v>2019</v>
      </c>
      <c r="R281" s="18" t="str">
        <f>TEXT(Table2[[#This Row],[Order Date]],"mmm")</f>
        <v>Oct</v>
      </c>
      <c r="S281" s="18"/>
    </row>
    <row r="282" spans="1:19" x14ac:dyDescent="0.2">
      <c r="A282" s="1">
        <v>281</v>
      </c>
      <c r="B282" s="1" t="s">
        <v>658</v>
      </c>
      <c r="C282" s="2">
        <v>43004</v>
      </c>
      <c r="D282" s="1" t="s">
        <v>17</v>
      </c>
      <c r="E282" s="1" t="s">
        <v>337</v>
      </c>
      <c r="F282" s="1" t="s">
        <v>125</v>
      </c>
      <c r="G282" s="1" t="s">
        <v>73</v>
      </c>
      <c r="H282" s="1" t="s">
        <v>74</v>
      </c>
      <c r="I282" s="1" t="s">
        <v>32</v>
      </c>
      <c r="J282" s="1" t="s">
        <v>53</v>
      </c>
      <c r="K282" s="1" t="s">
        <v>659</v>
      </c>
      <c r="L282" s="17">
        <v>2.0799999999999996</v>
      </c>
      <c r="M282" s="1">
        <v>5</v>
      </c>
      <c r="N282" s="1">
        <v>0.8</v>
      </c>
      <c r="O282" s="17">
        <v>-3.4320000000000004</v>
      </c>
      <c r="P282" s="17">
        <f>('Work File (2)'!$L282*'Work File (2)'!$M282)*(1-'Work File (2)'!$N282)</f>
        <v>2.0799999999999992</v>
      </c>
      <c r="Q282" s="1">
        <f>YEAR(Table2[[#This Row],[Order Date]])</f>
        <v>2017</v>
      </c>
      <c r="R282" s="18" t="str">
        <f>TEXT(Table2[[#This Row],[Order Date]],"mmm")</f>
        <v>Sep</v>
      </c>
      <c r="S282" s="18"/>
    </row>
    <row r="283" spans="1:19" x14ac:dyDescent="0.2">
      <c r="A283" s="1">
        <v>282</v>
      </c>
      <c r="B283" s="1" t="s">
        <v>658</v>
      </c>
      <c r="C283" s="2">
        <v>43004</v>
      </c>
      <c r="D283" s="1" t="s">
        <v>17</v>
      </c>
      <c r="E283" s="1" t="s">
        <v>337</v>
      </c>
      <c r="F283" s="1" t="s">
        <v>125</v>
      </c>
      <c r="G283" s="1" t="s">
        <v>73</v>
      </c>
      <c r="H283" s="1" t="s">
        <v>74</v>
      </c>
      <c r="I283" s="1" t="s">
        <v>50</v>
      </c>
      <c r="J283" s="1" t="s">
        <v>51</v>
      </c>
      <c r="K283" s="1" t="s">
        <v>660</v>
      </c>
      <c r="L283" s="17">
        <v>1114.4000000000001</v>
      </c>
      <c r="M283" s="1">
        <v>7</v>
      </c>
      <c r="N283" s="1">
        <v>0.2</v>
      </c>
      <c r="O283" s="17">
        <v>376.11</v>
      </c>
      <c r="P283" s="17">
        <f>('Work File (2)'!$L283*'Work File (2)'!$M283)*(1-'Work File (2)'!$N283)</f>
        <v>6240.6400000000012</v>
      </c>
      <c r="Q283" s="1">
        <f>YEAR(Table2[[#This Row],[Order Date]])</f>
        <v>2017</v>
      </c>
      <c r="R283" s="18" t="str">
        <f>TEXT(Table2[[#This Row],[Order Date]],"mmm")</f>
        <v>Sep</v>
      </c>
      <c r="S283" s="18"/>
    </row>
    <row r="284" spans="1:19" x14ac:dyDescent="0.2">
      <c r="A284" s="1">
        <v>283</v>
      </c>
      <c r="B284" s="1" t="s">
        <v>661</v>
      </c>
      <c r="C284" s="2">
        <v>43041</v>
      </c>
      <c r="D284" s="1" t="s">
        <v>36</v>
      </c>
      <c r="E284" s="1" t="s">
        <v>662</v>
      </c>
      <c r="F284" s="1" t="s">
        <v>29</v>
      </c>
      <c r="G284" s="1" t="s">
        <v>30</v>
      </c>
      <c r="H284" s="1" t="s">
        <v>31</v>
      </c>
      <c r="I284" s="1" t="s">
        <v>22</v>
      </c>
      <c r="J284" s="1" t="s">
        <v>40</v>
      </c>
      <c r="K284" s="1" t="s">
        <v>663</v>
      </c>
      <c r="L284" s="17">
        <v>1038.8399999999999</v>
      </c>
      <c r="M284" s="1">
        <v>5</v>
      </c>
      <c r="N284" s="1">
        <v>0.2</v>
      </c>
      <c r="O284" s="17">
        <v>51.942000000000007</v>
      </c>
      <c r="P284" s="17">
        <f>('Work File (2)'!$L284*'Work File (2)'!$M284)*(1-'Work File (2)'!$N284)</f>
        <v>4155.3599999999997</v>
      </c>
      <c r="Q284" s="1">
        <f>YEAR(Table2[[#This Row],[Order Date]])</f>
        <v>2017</v>
      </c>
      <c r="R284" s="18" t="str">
        <f>TEXT(Table2[[#This Row],[Order Date]],"mmm")</f>
        <v>Nov</v>
      </c>
      <c r="S284" s="18"/>
    </row>
    <row r="285" spans="1:19" x14ac:dyDescent="0.2">
      <c r="A285" s="1">
        <v>284</v>
      </c>
      <c r="B285" s="1" t="s">
        <v>664</v>
      </c>
      <c r="C285" s="2">
        <v>43004</v>
      </c>
      <c r="D285" s="1" t="s">
        <v>36</v>
      </c>
      <c r="E285" s="1" t="s">
        <v>114</v>
      </c>
      <c r="F285" s="1" t="s">
        <v>274</v>
      </c>
      <c r="G285" s="1" t="s">
        <v>275</v>
      </c>
      <c r="H285" s="1" t="s">
        <v>31</v>
      </c>
      <c r="I285" s="1" t="s">
        <v>32</v>
      </c>
      <c r="J285" s="1" t="s">
        <v>63</v>
      </c>
      <c r="K285" s="1" t="s">
        <v>126</v>
      </c>
      <c r="L285" s="17">
        <v>141.76</v>
      </c>
      <c r="M285" s="1">
        <v>5</v>
      </c>
      <c r="N285" s="1">
        <v>0.2</v>
      </c>
      <c r="O285" s="17">
        <v>47.843999999999994</v>
      </c>
      <c r="P285" s="17">
        <f>('Work File (2)'!$L285*'Work File (2)'!$M285)*(1-'Work File (2)'!$N285)</f>
        <v>567.04</v>
      </c>
      <c r="Q285" s="1">
        <f>YEAR(Table2[[#This Row],[Order Date]])</f>
        <v>2017</v>
      </c>
      <c r="R285" s="18" t="str">
        <f>TEXT(Table2[[#This Row],[Order Date]],"mmm")</f>
        <v>Sep</v>
      </c>
      <c r="S285" s="18"/>
    </row>
    <row r="286" spans="1:19" x14ac:dyDescent="0.2">
      <c r="A286" s="1">
        <v>285</v>
      </c>
      <c r="B286" s="1" t="s">
        <v>664</v>
      </c>
      <c r="C286" s="2">
        <v>43004</v>
      </c>
      <c r="D286" s="1" t="s">
        <v>36</v>
      </c>
      <c r="E286" s="1" t="s">
        <v>114</v>
      </c>
      <c r="F286" s="1" t="s">
        <v>274</v>
      </c>
      <c r="G286" s="1" t="s">
        <v>275</v>
      </c>
      <c r="H286" s="1" t="s">
        <v>31</v>
      </c>
      <c r="I286" s="1" t="s">
        <v>50</v>
      </c>
      <c r="J286" s="1" t="s">
        <v>111</v>
      </c>
      <c r="K286" s="1" t="s">
        <v>665</v>
      </c>
      <c r="L286" s="17">
        <v>239.80000000000004</v>
      </c>
      <c r="M286" s="1">
        <v>5</v>
      </c>
      <c r="N286" s="1">
        <v>0.2</v>
      </c>
      <c r="O286" s="17">
        <v>47.959999999999987</v>
      </c>
      <c r="P286" s="17">
        <f>('Work File (2)'!$L286*'Work File (2)'!$M286)*(1-'Work File (2)'!$N286)</f>
        <v>959.20000000000027</v>
      </c>
      <c r="Q286" s="1">
        <f>YEAR(Table2[[#This Row],[Order Date]])</f>
        <v>2017</v>
      </c>
      <c r="R286" s="18" t="str">
        <f>TEXT(Table2[[#This Row],[Order Date]],"mmm")</f>
        <v>Sep</v>
      </c>
      <c r="S286" s="18"/>
    </row>
    <row r="287" spans="1:19" x14ac:dyDescent="0.2">
      <c r="A287" s="1">
        <v>286</v>
      </c>
      <c r="B287" s="1" t="s">
        <v>664</v>
      </c>
      <c r="C287" s="2">
        <v>43004</v>
      </c>
      <c r="D287" s="1" t="s">
        <v>36</v>
      </c>
      <c r="E287" s="1" t="s">
        <v>114</v>
      </c>
      <c r="F287" s="1" t="s">
        <v>274</v>
      </c>
      <c r="G287" s="1" t="s">
        <v>275</v>
      </c>
      <c r="H287" s="1" t="s">
        <v>31</v>
      </c>
      <c r="I287" s="1" t="s">
        <v>32</v>
      </c>
      <c r="J287" s="1" t="s">
        <v>63</v>
      </c>
      <c r="K287" s="1" t="s">
        <v>666</v>
      </c>
      <c r="L287" s="17">
        <v>31.104000000000006</v>
      </c>
      <c r="M287" s="1">
        <v>6</v>
      </c>
      <c r="N287" s="1">
        <v>0.2</v>
      </c>
      <c r="O287" s="17">
        <v>10.8864</v>
      </c>
      <c r="P287" s="17">
        <f>('Work File (2)'!$L287*'Work File (2)'!$M287)*(1-'Work File (2)'!$N287)</f>
        <v>149.29920000000001</v>
      </c>
      <c r="Q287" s="1">
        <f>YEAR(Table2[[#This Row],[Order Date]])</f>
        <v>2017</v>
      </c>
      <c r="R287" s="18" t="str">
        <f>TEXT(Table2[[#This Row],[Order Date]],"mmm")</f>
        <v>Sep</v>
      </c>
      <c r="S287" s="18"/>
    </row>
    <row r="288" spans="1:19" x14ac:dyDescent="0.2">
      <c r="A288" s="1">
        <v>287</v>
      </c>
      <c r="B288" s="1" t="s">
        <v>667</v>
      </c>
      <c r="C288" s="2">
        <v>43452</v>
      </c>
      <c r="D288" s="1" t="s">
        <v>17</v>
      </c>
      <c r="E288" s="1" t="s">
        <v>668</v>
      </c>
      <c r="F288" s="1" t="s">
        <v>669</v>
      </c>
      <c r="G288" s="1" t="s">
        <v>39</v>
      </c>
      <c r="H288" s="1" t="s">
        <v>21</v>
      </c>
      <c r="I288" s="1" t="s">
        <v>32</v>
      </c>
      <c r="J288" s="1" t="s">
        <v>53</v>
      </c>
      <c r="K288" s="1" t="s">
        <v>670</v>
      </c>
      <c r="L288" s="17">
        <v>254.05800000000002</v>
      </c>
      <c r="M288" s="1">
        <v>7</v>
      </c>
      <c r="N288" s="1">
        <v>0.7</v>
      </c>
      <c r="O288" s="17">
        <v>-169.3719999999999</v>
      </c>
      <c r="P288" s="17">
        <f>('Work File (2)'!$L288*'Work File (2)'!$M288)*(1-'Work File (2)'!$N288)</f>
        <v>533.5218000000001</v>
      </c>
      <c r="Q288" s="1">
        <f>YEAR(Table2[[#This Row],[Order Date]])</f>
        <v>2018</v>
      </c>
      <c r="R288" s="18" t="str">
        <f>TEXT(Table2[[#This Row],[Order Date]],"mmm")</f>
        <v>Dec</v>
      </c>
      <c r="S288" s="18"/>
    </row>
    <row r="289" spans="1:19" x14ac:dyDescent="0.2">
      <c r="A289" s="1">
        <v>288</v>
      </c>
      <c r="B289" s="1" t="s">
        <v>667</v>
      </c>
      <c r="C289" s="2">
        <v>43452</v>
      </c>
      <c r="D289" s="1" t="s">
        <v>17</v>
      </c>
      <c r="E289" s="1" t="s">
        <v>668</v>
      </c>
      <c r="F289" s="1" t="s">
        <v>669</v>
      </c>
      <c r="G289" s="1" t="s">
        <v>39</v>
      </c>
      <c r="H289" s="1" t="s">
        <v>21</v>
      </c>
      <c r="I289" s="1" t="s">
        <v>32</v>
      </c>
      <c r="J289" s="1" t="s">
        <v>55</v>
      </c>
      <c r="K289" s="1" t="s">
        <v>457</v>
      </c>
      <c r="L289" s="17">
        <v>194.52800000000002</v>
      </c>
      <c r="M289" s="1">
        <v>2</v>
      </c>
      <c r="N289" s="1">
        <v>0.2</v>
      </c>
      <c r="O289" s="17">
        <v>24.315999999999974</v>
      </c>
      <c r="P289" s="17">
        <f>('Work File (2)'!$L289*'Work File (2)'!$M289)*(1-'Work File (2)'!$N289)</f>
        <v>311.24480000000005</v>
      </c>
      <c r="Q289" s="1">
        <f>YEAR(Table2[[#This Row],[Order Date]])</f>
        <v>2018</v>
      </c>
      <c r="R289" s="18" t="str">
        <f>TEXT(Table2[[#This Row],[Order Date]],"mmm")</f>
        <v>Dec</v>
      </c>
      <c r="S289" s="18"/>
    </row>
    <row r="290" spans="1:19" x14ac:dyDescent="0.2">
      <c r="A290" s="1">
        <v>289</v>
      </c>
      <c r="B290" s="1" t="s">
        <v>667</v>
      </c>
      <c r="C290" s="2">
        <v>43452</v>
      </c>
      <c r="D290" s="1" t="s">
        <v>17</v>
      </c>
      <c r="E290" s="1" t="s">
        <v>668</v>
      </c>
      <c r="F290" s="1" t="s">
        <v>669</v>
      </c>
      <c r="G290" s="1" t="s">
        <v>39</v>
      </c>
      <c r="H290" s="1" t="s">
        <v>21</v>
      </c>
      <c r="I290" s="1" t="s">
        <v>32</v>
      </c>
      <c r="J290" s="1" t="s">
        <v>372</v>
      </c>
      <c r="K290" s="1" t="s">
        <v>671</v>
      </c>
      <c r="L290" s="17">
        <v>961.48000000000013</v>
      </c>
      <c r="M290" s="1">
        <v>5</v>
      </c>
      <c r="N290" s="1">
        <v>0.2</v>
      </c>
      <c r="O290" s="17">
        <v>-204.31449999999995</v>
      </c>
      <c r="P290" s="17">
        <f>('Work File (2)'!$L290*'Work File (2)'!$M290)*(1-'Work File (2)'!$N290)</f>
        <v>3845.9200000000005</v>
      </c>
      <c r="Q290" s="1">
        <f>YEAR(Table2[[#This Row],[Order Date]])</f>
        <v>2018</v>
      </c>
      <c r="R290" s="18" t="str">
        <f>TEXT(Table2[[#This Row],[Order Date]],"mmm")</f>
        <v>Dec</v>
      </c>
      <c r="S290" s="18"/>
    </row>
    <row r="291" spans="1:19" x14ac:dyDescent="0.2">
      <c r="A291" s="1">
        <v>290</v>
      </c>
      <c r="B291" s="1" t="s">
        <v>672</v>
      </c>
      <c r="C291" s="2">
        <v>43424</v>
      </c>
      <c r="D291" s="1" t="s">
        <v>17</v>
      </c>
      <c r="E291" s="1" t="s">
        <v>673</v>
      </c>
      <c r="F291" s="1" t="s">
        <v>323</v>
      </c>
      <c r="G291" s="1" t="s">
        <v>324</v>
      </c>
      <c r="H291" s="1" t="s">
        <v>103</v>
      </c>
      <c r="I291" s="1" t="s">
        <v>32</v>
      </c>
      <c r="J291" s="1" t="s">
        <v>180</v>
      </c>
      <c r="K291" s="1" t="s">
        <v>674</v>
      </c>
      <c r="L291" s="17">
        <v>19.096</v>
      </c>
      <c r="M291" s="1">
        <v>7</v>
      </c>
      <c r="N291" s="1">
        <v>0.2</v>
      </c>
      <c r="O291" s="17">
        <v>6.6835999999999993</v>
      </c>
      <c r="P291" s="17">
        <f>('Work File (2)'!$L291*'Work File (2)'!$M291)*(1-'Work File (2)'!$N291)</f>
        <v>106.9376</v>
      </c>
      <c r="Q291" s="1">
        <f>YEAR(Table2[[#This Row],[Order Date]])</f>
        <v>2018</v>
      </c>
      <c r="R291" s="18" t="str">
        <f>TEXT(Table2[[#This Row],[Order Date]],"mmm")</f>
        <v>Nov</v>
      </c>
      <c r="S291" s="18"/>
    </row>
    <row r="292" spans="1:19" x14ac:dyDescent="0.2">
      <c r="A292" s="1">
        <v>291</v>
      </c>
      <c r="B292" s="1" t="s">
        <v>672</v>
      </c>
      <c r="C292" s="2">
        <v>43424</v>
      </c>
      <c r="D292" s="1" t="s">
        <v>17</v>
      </c>
      <c r="E292" s="1" t="s">
        <v>673</v>
      </c>
      <c r="F292" s="1" t="s">
        <v>323</v>
      </c>
      <c r="G292" s="1" t="s">
        <v>324</v>
      </c>
      <c r="H292" s="1" t="s">
        <v>103</v>
      </c>
      <c r="I292" s="1" t="s">
        <v>32</v>
      </c>
      <c r="J292" s="1" t="s">
        <v>33</v>
      </c>
      <c r="K292" s="1" t="s">
        <v>675</v>
      </c>
      <c r="L292" s="17">
        <v>18.496000000000002</v>
      </c>
      <c r="M292" s="1">
        <v>8</v>
      </c>
      <c r="N292" s="1">
        <v>0.2</v>
      </c>
      <c r="O292" s="17">
        <v>6.2423999999999999</v>
      </c>
      <c r="P292" s="17">
        <f>('Work File (2)'!$L292*'Work File (2)'!$M292)*(1-'Work File (2)'!$N292)</f>
        <v>118.37440000000002</v>
      </c>
      <c r="Q292" s="1">
        <f>YEAR(Table2[[#This Row],[Order Date]])</f>
        <v>2018</v>
      </c>
      <c r="R292" s="18" t="str">
        <f>TEXT(Table2[[#This Row],[Order Date]],"mmm")</f>
        <v>Nov</v>
      </c>
      <c r="S292" s="18"/>
    </row>
    <row r="293" spans="1:19" x14ac:dyDescent="0.2">
      <c r="A293" s="1">
        <v>292</v>
      </c>
      <c r="B293" s="1" t="s">
        <v>672</v>
      </c>
      <c r="C293" s="2">
        <v>43424</v>
      </c>
      <c r="D293" s="1" t="s">
        <v>17</v>
      </c>
      <c r="E293" s="1" t="s">
        <v>673</v>
      </c>
      <c r="F293" s="1" t="s">
        <v>323</v>
      </c>
      <c r="G293" s="1" t="s">
        <v>324</v>
      </c>
      <c r="H293" s="1" t="s">
        <v>103</v>
      </c>
      <c r="I293" s="1" t="s">
        <v>50</v>
      </c>
      <c r="J293" s="1" t="s">
        <v>111</v>
      </c>
      <c r="K293" s="1" t="s">
        <v>676</v>
      </c>
      <c r="L293" s="17">
        <v>255.98400000000004</v>
      </c>
      <c r="M293" s="1">
        <v>2</v>
      </c>
      <c r="N293" s="1">
        <v>0.2</v>
      </c>
      <c r="O293" s="17">
        <v>54.396600000000007</v>
      </c>
      <c r="P293" s="17">
        <f>('Work File (2)'!$L293*'Work File (2)'!$M293)*(1-'Work File (2)'!$N293)</f>
        <v>409.57440000000008</v>
      </c>
      <c r="Q293" s="1">
        <f>YEAR(Table2[[#This Row],[Order Date]])</f>
        <v>2018</v>
      </c>
      <c r="R293" s="18" t="str">
        <f>TEXT(Table2[[#This Row],[Order Date]],"mmm")</f>
        <v>Nov</v>
      </c>
      <c r="S293" s="18"/>
    </row>
    <row r="294" spans="1:19" x14ac:dyDescent="0.2">
      <c r="A294" s="1">
        <v>293</v>
      </c>
      <c r="B294" s="1" t="s">
        <v>672</v>
      </c>
      <c r="C294" s="2">
        <v>43424</v>
      </c>
      <c r="D294" s="1" t="s">
        <v>17</v>
      </c>
      <c r="E294" s="1" t="s">
        <v>673</v>
      </c>
      <c r="F294" s="1" t="s">
        <v>323</v>
      </c>
      <c r="G294" s="1" t="s">
        <v>324</v>
      </c>
      <c r="H294" s="1" t="s">
        <v>103</v>
      </c>
      <c r="I294" s="1" t="s">
        <v>22</v>
      </c>
      <c r="J294" s="1" t="s">
        <v>23</v>
      </c>
      <c r="K294" s="1" t="s">
        <v>677</v>
      </c>
      <c r="L294" s="17">
        <v>86.97</v>
      </c>
      <c r="M294" s="1">
        <v>3</v>
      </c>
      <c r="N294" s="1">
        <v>0.5</v>
      </c>
      <c r="O294" s="17">
        <v>-48.703199999999995</v>
      </c>
      <c r="P294" s="17">
        <f>('Work File (2)'!$L294*'Work File (2)'!$M294)*(1-'Work File (2)'!$N294)</f>
        <v>130.45499999999998</v>
      </c>
      <c r="Q294" s="1">
        <f>YEAR(Table2[[#This Row],[Order Date]])</f>
        <v>2018</v>
      </c>
      <c r="R294" s="18" t="str">
        <f>TEXT(Table2[[#This Row],[Order Date]],"mmm")</f>
        <v>Nov</v>
      </c>
      <c r="S294" s="18"/>
    </row>
    <row r="295" spans="1:19" x14ac:dyDescent="0.2">
      <c r="A295" s="1">
        <v>294</v>
      </c>
      <c r="B295" s="1" t="s">
        <v>678</v>
      </c>
      <c r="C295" s="2">
        <v>42730</v>
      </c>
      <c r="D295" s="1" t="s">
        <v>128</v>
      </c>
      <c r="E295" s="1" t="s">
        <v>679</v>
      </c>
      <c r="F295" s="1" t="s">
        <v>680</v>
      </c>
      <c r="G295" s="1" t="s">
        <v>298</v>
      </c>
      <c r="H295" s="1" t="s">
        <v>31</v>
      </c>
      <c r="I295" s="1" t="s">
        <v>22</v>
      </c>
      <c r="J295" s="1" t="s">
        <v>46</v>
      </c>
      <c r="K295" s="1" t="s">
        <v>681</v>
      </c>
      <c r="L295" s="17">
        <v>300.416</v>
      </c>
      <c r="M295" s="1">
        <v>8</v>
      </c>
      <c r="N295" s="1">
        <v>0.2</v>
      </c>
      <c r="O295" s="17">
        <v>78.859200000000001</v>
      </c>
      <c r="P295" s="17">
        <f>('Work File (2)'!$L295*'Work File (2)'!$M295)*(1-'Work File (2)'!$N295)</f>
        <v>1922.6624000000002</v>
      </c>
      <c r="Q295" s="1">
        <f>YEAR(Table2[[#This Row],[Order Date]])</f>
        <v>2016</v>
      </c>
      <c r="R295" s="18" t="str">
        <f>TEXT(Table2[[#This Row],[Order Date]],"mmm")</f>
        <v>Dec</v>
      </c>
      <c r="S295" s="18"/>
    </row>
    <row r="296" spans="1:19" x14ac:dyDescent="0.2">
      <c r="A296" s="1">
        <v>295</v>
      </c>
      <c r="B296" s="1" t="s">
        <v>678</v>
      </c>
      <c r="C296" s="2">
        <v>42730</v>
      </c>
      <c r="D296" s="1" t="s">
        <v>128</v>
      </c>
      <c r="E296" s="1" t="s">
        <v>679</v>
      </c>
      <c r="F296" s="1" t="s">
        <v>680</v>
      </c>
      <c r="G296" s="1" t="s">
        <v>298</v>
      </c>
      <c r="H296" s="1" t="s">
        <v>31</v>
      </c>
      <c r="I296" s="1" t="s">
        <v>22</v>
      </c>
      <c r="J296" s="1" t="s">
        <v>25</v>
      </c>
      <c r="K296" s="1" t="s">
        <v>682</v>
      </c>
      <c r="L296" s="17">
        <v>230.35200000000003</v>
      </c>
      <c r="M296" s="1">
        <v>3</v>
      </c>
      <c r="N296" s="1">
        <v>0.2</v>
      </c>
      <c r="O296" s="17">
        <v>20.155800000000013</v>
      </c>
      <c r="P296" s="17">
        <f>('Work File (2)'!$L296*'Work File (2)'!$M296)*(1-'Work File (2)'!$N296)</f>
        <v>552.84480000000008</v>
      </c>
      <c r="Q296" s="1">
        <f>YEAR(Table2[[#This Row],[Order Date]])</f>
        <v>2016</v>
      </c>
      <c r="R296" s="18" t="str">
        <f>TEXT(Table2[[#This Row],[Order Date]],"mmm")</f>
        <v>Dec</v>
      </c>
      <c r="S296" s="18"/>
    </row>
    <row r="297" spans="1:19" x14ac:dyDescent="0.2">
      <c r="A297" s="1">
        <v>296</v>
      </c>
      <c r="B297" s="1" t="s">
        <v>678</v>
      </c>
      <c r="C297" s="2">
        <v>42730</v>
      </c>
      <c r="D297" s="1" t="s">
        <v>128</v>
      </c>
      <c r="E297" s="1" t="s">
        <v>679</v>
      </c>
      <c r="F297" s="1" t="s">
        <v>680</v>
      </c>
      <c r="G297" s="1" t="s">
        <v>298</v>
      </c>
      <c r="H297" s="1" t="s">
        <v>31</v>
      </c>
      <c r="I297" s="1" t="s">
        <v>22</v>
      </c>
      <c r="J297" s="1" t="s">
        <v>46</v>
      </c>
      <c r="K297" s="1" t="s">
        <v>683</v>
      </c>
      <c r="L297" s="17">
        <v>218.35200000000003</v>
      </c>
      <c r="M297" s="1">
        <v>3</v>
      </c>
      <c r="N297" s="1">
        <v>0.2</v>
      </c>
      <c r="O297" s="17">
        <v>-24.564599999999999</v>
      </c>
      <c r="P297" s="17">
        <f>('Work File (2)'!$L297*'Work File (2)'!$M297)*(1-'Work File (2)'!$N297)</f>
        <v>524.04480000000001</v>
      </c>
      <c r="Q297" s="1">
        <f>YEAR(Table2[[#This Row],[Order Date]])</f>
        <v>2016</v>
      </c>
      <c r="R297" s="18" t="str">
        <f>TEXT(Table2[[#This Row],[Order Date]],"mmm")</f>
        <v>Dec</v>
      </c>
      <c r="S297" s="18"/>
    </row>
    <row r="298" spans="1:19" x14ac:dyDescent="0.2">
      <c r="A298" s="1">
        <v>297</v>
      </c>
      <c r="B298" s="1" t="s">
        <v>678</v>
      </c>
      <c r="C298" s="2">
        <v>42730</v>
      </c>
      <c r="D298" s="1" t="s">
        <v>128</v>
      </c>
      <c r="E298" s="1" t="s">
        <v>679</v>
      </c>
      <c r="F298" s="1" t="s">
        <v>680</v>
      </c>
      <c r="G298" s="1" t="s">
        <v>298</v>
      </c>
      <c r="H298" s="1" t="s">
        <v>31</v>
      </c>
      <c r="I298" s="1" t="s">
        <v>32</v>
      </c>
      <c r="J298" s="1" t="s">
        <v>53</v>
      </c>
      <c r="K298" s="1" t="s">
        <v>684</v>
      </c>
      <c r="L298" s="17">
        <v>78.600000000000009</v>
      </c>
      <c r="M298" s="1">
        <v>5</v>
      </c>
      <c r="N298" s="1">
        <v>0.7</v>
      </c>
      <c r="O298" s="17">
        <v>-62.88000000000001</v>
      </c>
      <c r="P298" s="17">
        <f>('Work File (2)'!$L298*'Work File (2)'!$M298)*(1-'Work File (2)'!$N298)</f>
        <v>117.90000000000003</v>
      </c>
      <c r="Q298" s="1">
        <f>YEAR(Table2[[#This Row],[Order Date]])</f>
        <v>2016</v>
      </c>
      <c r="R298" s="18" t="str">
        <f>TEXT(Table2[[#This Row],[Order Date]],"mmm")</f>
        <v>Dec</v>
      </c>
      <c r="S298" s="18"/>
    </row>
    <row r="299" spans="1:19" x14ac:dyDescent="0.2">
      <c r="A299" s="1">
        <v>298</v>
      </c>
      <c r="B299" s="1" t="s">
        <v>678</v>
      </c>
      <c r="C299" s="2">
        <v>42730</v>
      </c>
      <c r="D299" s="1" t="s">
        <v>128</v>
      </c>
      <c r="E299" s="1" t="s">
        <v>679</v>
      </c>
      <c r="F299" s="1" t="s">
        <v>680</v>
      </c>
      <c r="G299" s="1" t="s">
        <v>298</v>
      </c>
      <c r="H299" s="1" t="s">
        <v>31</v>
      </c>
      <c r="I299" s="1" t="s">
        <v>32</v>
      </c>
      <c r="J299" s="1" t="s">
        <v>180</v>
      </c>
      <c r="K299" s="1" t="s">
        <v>685</v>
      </c>
      <c r="L299" s="17">
        <v>27.552000000000003</v>
      </c>
      <c r="M299" s="1">
        <v>3</v>
      </c>
      <c r="N299" s="1">
        <v>0.2</v>
      </c>
      <c r="O299" s="17">
        <v>9.2987999999999964</v>
      </c>
      <c r="P299" s="17">
        <f>('Work File (2)'!$L299*'Work File (2)'!$M299)*(1-'Work File (2)'!$N299)</f>
        <v>66.124800000000008</v>
      </c>
      <c r="Q299" s="1">
        <f>YEAR(Table2[[#This Row],[Order Date]])</f>
        <v>2016</v>
      </c>
      <c r="R299" s="18" t="str">
        <f>TEXT(Table2[[#This Row],[Order Date]],"mmm")</f>
        <v>Dec</v>
      </c>
      <c r="S299" s="18"/>
    </row>
    <row r="300" spans="1:19" x14ac:dyDescent="0.2">
      <c r="A300" s="1">
        <v>299</v>
      </c>
      <c r="B300" s="1" t="s">
        <v>686</v>
      </c>
      <c r="C300" s="2">
        <v>43401</v>
      </c>
      <c r="D300" s="1" t="s">
        <v>36</v>
      </c>
      <c r="E300" s="1" t="s">
        <v>375</v>
      </c>
      <c r="F300" s="1" t="s">
        <v>687</v>
      </c>
      <c r="G300" s="1" t="s">
        <v>504</v>
      </c>
      <c r="H300" s="1" t="s">
        <v>103</v>
      </c>
      <c r="I300" s="1" t="s">
        <v>32</v>
      </c>
      <c r="J300" s="1" t="s">
        <v>63</v>
      </c>
      <c r="K300" s="1" t="s">
        <v>688</v>
      </c>
      <c r="L300" s="17">
        <v>32.400000000000006</v>
      </c>
      <c r="M300" s="1">
        <v>5</v>
      </c>
      <c r="N300" s="1">
        <v>0</v>
      </c>
      <c r="O300" s="17">
        <v>15.552000000000001</v>
      </c>
      <c r="P300" s="17">
        <f>('Work File (2)'!$L300*'Work File (2)'!$M300)*(1-'Work File (2)'!$N300)</f>
        <v>162.00000000000003</v>
      </c>
      <c r="Q300" s="1">
        <f>YEAR(Table2[[#This Row],[Order Date]])</f>
        <v>2018</v>
      </c>
      <c r="R300" s="18" t="str">
        <f>TEXT(Table2[[#This Row],[Order Date]],"mmm")</f>
        <v>Oct</v>
      </c>
      <c r="S300" s="18"/>
    </row>
    <row r="301" spans="1:19" x14ac:dyDescent="0.2">
      <c r="A301" s="1">
        <v>300</v>
      </c>
      <c r="B301" s="1" t="s">
        <v>686</v>
      </c>
      <c r="C301" s="2">
        <v>43401</v>
      </c>
      <c r="D301" s="1" t="s">
        <v>36</v>
      </c>
      <c r="E301" s="1" t="s">
        <v>375</v>
      </c>
      <c r="F301" s="1" t="s">
        <v>687</v>
      </c>
      <c r="G301" s="1" t="s">
        <v>504</v>
      </c>
      <c r="H301" s="1" t="s">
        <v>103</v>
      </c>
      <c r="I301" s="1" t="s">
        <v>32</v>
      </c>
      <c r="J301" s="1" t="s">
        <v>42</v>
      </c>
      <c r="K301" s="1" t="s">
        <v>689</v>
      </c>
      <c r="L301" s="17">
        <v>1082.48</v>
      </c>
      <c r="M301" s="1">
        <v>8</v>
      </c>
      <c r="N301" s="1">
        <v>0</v>
      </c>
      <c r="O301" s="17">
        <v>10.824800000000096</v>
      </c>
      <c r="P301" s="17">
        <f>('Work File (2)'!$L301*'Work File (2)'!$M301)*(1-'Work File (2)'!$N301)</f>
        <v>8659.84</v>
      </c>
      <c r="Q301" s="1">
        <f>YEAR(Table2[[#This Row],[Order Date]])</f>
        <v>2018</v>
      </c>
      <c r="R301" s="18" t="str">
        <f>TEXT(Table2[[#This Row],[Order Date]],"mmm")</f>
        <v>Oct</v>
      </c>
      <c r="S301" s="18"/>
    </row>
    <row r="302" spans="1:19" x14ac:dyDescent="0.2">
      <c r="A302" s="1">
        <v>301</v>
      </c>
      <c r="B302" s="1" t="s">
        <v>686</v>
      </c>
      <c r="C302" s="2">
        <v>43401</v>
      </c>
      <c r="D302" s="1" t="s">
        <v>36</v>
      </c>
      <c r="E302" s="1" t="s">
        <v>375</v>
      </c>
      <c r="F302" s="1" t="s">
        <v>687</v>
      </c>
      <c r="G302" s="1" t="s">
        <v>504</v>
      </c>
      <c r="H302" s="1" t="s">
        <v>103</v>
      </c>
      <c r="I302" s="1" t="s">
        <v>32</v>
      </c>
      <c r="J302" s="1" t="s">
        <v>63</v>
      </c>
      <c r="K302" s="1" t="s">
        <v>690</v>
      </c>
      <c r="L302" s="17">
        <v>56.91</v>
      </c>
      <c r="M302" s="1">
        <v>3</v>
      </c>
      <c r="N302" s="1">
        <v>0</v>
      </c>
      <c r="O302" s="17">
        <v>27.316799999999997</v>
      </c>
      <c r="P302" s="17">
        <f>('Work File (2)'!$L302*'Work File (2)'!$M302)*(1-'Work File (2)'!$N302)</f>
        <v>170.73</v>
      </c>
      <c r="Q302" s="1">
        <f>YEAR(Table2[[#This Row],[Order Date]])</f>
        <v>2018</v>
      </c>
      <c r="R302" s="18" t="str">
        <f>TEXT(Table2[[#This Row],[Order Date]],"mmm")</f>
        <v>Oct</v>
      </c>
      <c r="S302" s="18"/>
    </row>
    <row r="303" spans="1:19" x14ac:dyDescent="0.2">
      <c r="A303" s="1">
        <v>302</v>
      </c>
      <c r="B303" s="1" t="s">
        <v>686</v>
      </c>
      <c r="C303" s="2">
        <v>43401</v>
      </c>
      <c r="D303" s="1" t="s">
        <v>36</v>
      </c>
      <c r="E303" s="1" t="s">
        <v>375</v>
      </c>
      <c r="F303" s="1" t="s">
        <v>687</v>
      </c>
      <c r="G303" s="1" t="s">
        <v>504</v>
      </c>
      <c r="H303" s="1" t="s">
        <v>103</v>
      </c>
      <c r="I303" s="1" t="s">
        <v>22</v>
      </c>
      <c r="J303" s="1" t="s">
        <v>46</v>
      </c>
      <c r="K303" s="1" t="s">
        <v>691</v>
      </c>
      <c r="L303" s="17">
        <v>77.599999999999994</v>
      </c>
      <c r="M303" s="1">
        <v>4</v>
      </c>
      <c r="N303" s="1">
        <v>0</v>
      </c>
      <c r="O303" s="17">
        <v>38.023999999999994</v>
      </c>
      <c r="P303" s="17">
        <f>('Work File (2)'!$L303*'Work File (2)'!$M303)*(1-'Work File (2)'!$N303)</f>
        <v>310.39999999999998</v>
      </c>
      <c r="Q303" s="1">
        <f>YEAR(Table2[[#This Row],[Order Date]])</f>
        <v>2018</v>
      </c>
      <c r="R303" s="18" t="str">
        <f>TEXT(Table2[[#This Row],[Order Date]],"mmm")</f>
        <v>Oct</v>
      </c>
      <c r="S303" s="18"/>
    </row>
    <row r="304" spans="1:19" x14ac:dyDescent="0.2">
      <c r="A304" s="1">
        <v>303</v>
      </c>
      <c r="B304" s="1" t="s">
        <v>686</v>
      </c>
      <c r="C304" s="2">
        <v>43401</v>
      </c>
      <c r="D304" s="1" t="s">
        <v>36</v>
      </c>
      <c r="E304" s="1" t="s">
        <v>375</v>
      </c>
      <c r="F304" s="1" t="s">
        <v>687</v>
      </c>
      <c r="G304" s="1" t="s">
        <v>504</v>
      </c>
      <c r="H304" s="1" t="s">
        <v>103</v>
      </c>
      <c r="I304" s="1" t="s">
        <v>32</v>
      </c>
      <c r="J304" s="1" t="s">
        <v>53</v>
      </c>
      <c r="K304" s="1" t="s">
        <v>692</v>
      </c>
      <c r="L304" s="17">
        <v>14.28</v>
      </c>
      <c r="M304" s="1">
        <v>1</v>
      </c>
      <c r="N304" s="1">
        <v>0</v>
      </c>
      <c r="O304" s="17">
        <v>6.5687999999999995</v>
      </c>
      <c r="P304" s="17">
        <f>('Work File (2)'!$L304*'Work File (2)'!$M304)*(1-'Work File (2)'!$N304)</f>
        <v>14.28</v>
      </c>
      <c r="Q304" s="1">
        <f>YEAR(Table2[[#This Row],[Order Date]])</f>
        <v>2018</v>
      </c>
      <c r="R304" s="18" t="str">
        <f>TEXT(Table2[[#This Row],[Order Date]],"mmm")</f>
        <v>Oct</v>
      </c>
      <c r="S304" s="18"/>
    </row>
    <row r="305" spans="1:19" x14ac:dyDescent="0.2">
      <c r="A305" s="1">
        <v>304</v>
      </c>
      <c r="B305" s="1" t="s">
        <v>693</v>
      </c>
      <c r="C305" s="2">
        <v>43788</v>
      </c>
      <c r="D305" s="1" t="s">
        <v>36</v>
      </c>
      <c r="E305" s="1" t="s">
        <v>548</v>
      </c>
      <c r="F305" s="1" t="s">
        <v>200</v>
      </c>
      <c r="G305" s="1" t="s">
        <v>142</v>
      </c>
      <c r="H305" s="1" t="s">
        <v>74</v>
      </c>
      <c r="I305" s="1" t="s">
        <v>22</v>
      </c>
      <c r="J305" s="1" t="s">
        <v>40</v>
      </c>
      <c r="K305" s="1" t="s">
        <v>694</v>
      </c>
      <c r="L305" s="17">
        <v>219.07500000000002</v>
      </c>
      <c r="M305" s="1">
        <v>3</v>
      </c>
      <c r="N305" s="1">
        <v>0.5</v>
      </c>
      <c r="O305" s="17">
        <v>-131.44500000000005</v>
      </c>
      <c r="P305" s="17">
        <f>('Work File (2)'!$L305*'Work File (2)'!$M305)*(1-'Work File (2)'!$N305)</f>
        <v>328.61250000000001</v>
      </c>
      <c r="Q305" s="1">
        <f>YEAR(Table2[[#This Row],[Order Date]])</f>
        <v>2019</v>
      </c>
      <c r="R305" s="18" t="str">
        <f>TEXT(Table2[[#This Row],[Order Date]],"mmm")</f>
        <v>Nov</v>
      </c>
      <c r="S305" s="18"/>
    </row>
    <row r="306" spans="1:19" x14ac:dyDescent="0.2">
      <c r="A306" s="1">
        <v>305</v>
      </c>
      <c r="B306" s="1" t="s">
        <v>695</v>
      </c>
      <c r="C306" s="2">
        <v>42859</v>
      </c>
      <c r="D306" s="1" t="s">
        <v>17</v>
      </c>
      <c r="E306" s="1" t="s">
        <v>696</v>
      </c>
      <c r="F306" s="1" t="s">
        <v>178</v>
      </c>
      <c r="G306" s="1" t="s">
        <v>179</v>
      </c>
      <c r="H306" s="1" t="s">
        <v>103</v>
      </c>
      <c r="I306" s="1" t="s">
        <v>22</v>
      </c>
      <c r="J306" s="1" t="s">
        <v>46</v>
      </c>
      <c r="K306" s="1" t="s">
        <v>697</v>
      </c>
      <c r="L306" s="17">
        <v>26.8</v>
      </c>
      <c r="M306" s="1">
        <v>2</v>
      </c>
      <c r="N306" s="1">
        <v>0</v>
      </c>
      <c r="O306" s="17">
        <v>12.863999999999999</v>
      </c>
      <c r="P306" s="17">
        <f>('Work File (2)'!$L306*'Work File (2)'!$M306)*(1-'Work File (2)'!$N306)</f>
        <v>53.6</v>
      </c>
      <c r="Q306" s="1">
        <f>YEAR(Table2[[#This Row],[Order Date]])</f>
        <v>2017</v>
      </c>
      <c r="R306" s="18" t="str">
        <f>TEXT(Table2[[#This Row],[Order Date]],"mmm")</f>
        <v>May</v>
      </c>
      <c r="S306" s="18"/>
    </row>
    <row r="307" spans="1:19" x14ac:dyDescent="0.2">
      <c r="A307" s="1">
        <v>306</v>
      </c>
      <c r="B307" s="1" t="s">
        <v>698</v>
      </c>
      <c r="C307" s="2">
        <v>42734</v>
      </c>
      <c r="D307" s="1" t="s">
        <v>36</v>
      </c>
      <c r="E307" s="1" t="s">
        <v>227</v>
      </c>
      <c r="F307" s="1" t="s">
        <v>699</v>
      </c>
      <c r="G307" s="1" t="s">
        <v>160</v>
      </c>
      <c r="H307" s="1" t="s">
        <v>74</v>
      </c>
      <c r="I307" s="1" t="s">
        <v>32</v>
      </c>
      <c r="J307" s="1" t="s">
        <v>48</v>
      </c>
      <c r="K307" s="1" t="s">
        <v>700</v>
      </c>
      <c r="L307" s="17">
        <v>9.84</v>
      </c>
      <c r="M307" s="1">
        <v>3</v>
      </c>
      <c r="N307" s="1">
        <v>0</v>
      </c>
      <c r="O307" s="17">
        <v>2.8535999999999988</v>
      </c>
      <c r="P307" s="17">
        <f>('Work File (2)'!$L307*'Work File (2)'!$M307)*(1-'Work File (2)'!$N307)</f>
        <v>29.52</v>
      </c>
      <c r="Q307" s="1">
        <f>YEAR(Table2[[#This Row],[Order Date]])</f>
        <v>2016</v>
      </c>
      <c r="R307" s="18" t="str">
        <f>TEXT(Table2[[#This Row],[Order Date]],"mmm")</f>
        <v>Dec</v>
      </c>
      <c r="S307" s="18"/>
    </row>
    <row r="308" spans="1:19" x14ac:dyDescent="0.2">
      <c r="A308" s="1">
        <v>307</v>
      </c>
      <c r="B308" s="1" t="s">
        <v>701</v>
      </c>
      <c r="C308" s="2">
        <v>42522</v>
      </c>
      <c r="D308" s="1" t="s">
        <v>36</v>
      </c>
      <c r="E308" s="1" t="s">
        <v>702</v>
      </c>
      <c r="F308" s="1" t="s">
        <v>703</v>
      </c>
      <c r="G308" s="1" t="s">
        <v>504</v>
      </c>
      <c r="H308" s="1" t="s">
        <v>103</v>
      </c>
      <c r="I308" s="1" t="s">
        <v>32</v>
      </c>
      <c r="J308" s="1" t="s">
        <v>53</v>
      </c>
      <c r="K308" s="1" t="s">
        <v>704</v>
      </c>
      <c r="L308" s="17">
        <v>45.480000000000004</v>
      </c>
      <c r="M308" s="1">
        <v>3</v>
      </c>
      <c r="N308" s="1">
        <v>0</v>
      </c>
      <c r="O308" s="17">
        <v>20.9208</v>
      </c>
      <c r="P308" s="17">
        <f>('Work File (2)'!$L308*'Work File (2)'!$M308)*(1-'Work File (2)'!$N308)</f>
        <v>136.44</v>
      </c>
      <c r="Q308" s="1">
        <f>YEAR(Table2[[#This Row],[Order Date]])</f>
        <v>2016</v>
      </c>
      <c r="R308" s="18" t="str">
        <f>TEXT(Table2[[#This Row],[Order Date]],"mmm")</f>
        <v>Jun</v>
      </c>
      <c r="S308" s="18"/>
    </row>
    <row r="309" spans="1:19" x14ac:dyDescent="0.2">
      <c r="A309" s="1">
        <v>308</v>
      </c>
      <c r="B309" s="1" t="s">
        <v>701</v>
      </c>
      <c r="C309" s="2">
        <v>42522</v>
      </c>
      <c r="D309" s="1" t="s">
        <v>36</v>
      </c>
      <c r="E309" s="1" t="s">
        <v>702</v>
      </c>
      <c r="F309" s="1" t="s">
        <v>703</v>
      </c>
      <c r="G309" s="1" t="s">
        <v>504</v>
      </c>
      <c r="H309" s="1" t="s">
        <v>103</v>
      </c>
      <c r="I309" s="1" t="s">
        <v>32</v>
      </c>
      <c r="J309" s="1" t="s">
        <v>48</v>
      </c>
      <c r="K309" s="1" t="s">
        <v>705</v>
      </c>
      <c r="L309" s="17">
        <v>289.20000000000005</v>
      </c>
      <c r="M309" s="1">
        <v>6</v>
      </c>
      <c r="N309" s="1">
        <v>0</v>
      </c>
      <c r="O309" s="17">
        <v>83.867999999999967</v>
      </c>
      <c r="P309" s="17">
        <f>('Work File (2)'!$L309*'Work File (2)'!$M309)*(1-'Work File (2)'!$N309)</f>
        <v>1735.2000000000003</v>
      </c>
      <c r="Q309" s="1">
        <f>YEAR(Table2[[#This Row],[Order Date]])</f>
        <v>2016</v>
      </c>
      <c r="R309" s="18" t="str">
        <f>TEXT(Table2[[#This Row],[Order Date]],"mmm")</f>
        <v>Jun</v>
      </c>
      <c r="S309" s="18"/>
    </row>
    <row r="310" spans="1:19" x14ac:dyDescent="0.2">
      <c r="A310" s="1">
        <v>309</v>
      </c>
      <c r="B310" s="1" t="s">
        <v>706</v>
      </c>
      <c r="C310" s="2">
        <v>43570</v>
      </c>
      <c r="D310" s="1" t="s">
        <v>128</v>
      </c>
      <c r="E310" s="1" t="s">
        <v>707</v>
      </c>
      <c r="F310" s="1" t="s">
        <v>708</v>
      </c>
      <c r="G310" s="1" t="s">
        <v>211</v>
      </c>
      <c r="H310" s="1" t="s">
        <v>21</v>
      </c>
      <c r="I310" s="1" t="s">
        <v>32</v>
      </c>
      <c r="J310" s="1" t="s">
        <v>48</v>
      </c>
      <c r="K310" s="1" t="s">
        <v>709</v>
      </c>
      <c r="L310" s="17">
        <v>4.8899999999999997</v>
      </c>
      <c r="M310" s="1">
        <v>1</v>
      </c>
      <c r="N310" s="1">
        <v>0</v>
      </c>
      <c r="O310" s="17">
        <v>2.0049000000000001</v>
      </c>
      <c r="P310" s="17">
        <f>('Work File (2)'!$L310*'Work File (2)'!$M310)*(1-'Work File (2)'!$N310)</f>
        <v>4.8899999999999997</v>
      </c>
      <c r="Q310" s="1">
        <f>YEAR(Table2[[#This Row],[Order Date]])</f>
        <v>2019</v>
      </c>
      <c r="R310" s="18" t="str">
        <f>TEXT(Table2[[#This Row],[Order Date]],"mmm")</f>
        <v>Apr</v>
      </c>
      <c r="S310" s="18"/>
    </row>
    <row r="311" spans="1:19" x14ac:dyDescent="0.2">
      <c r="A311" s="1">
        <v>310</v>
      </c>
      <c r="B311" s="1" t="s">
        <v>710</v>
      </c>
      <c r="C311" s="2">
        <v>43355</v>
      </c>
      <c r="D311" s="1" t="s">
        <v>17</v>
      </c>
      <c r="E311" s="1" t="s">
        <v>711</v>
      </c>
      <c r="F311" s="1" t="s">
        <v>712</v>
      </c>
      <c r="G311" s="1" t="s">
        <v>298</v>
      </c>
      <c r="H311" s="1" t="s">
        <v>31</v>
      </c>
      <c r="I311" s="1" t="s">
        <v>22</v>
      </c>
      <c r="J311" s="1" t="s">
        <v>46</v>
      </c>
      <c r="K311" s="1" t="s">
        <v>713</v>
      </c>
      <c r="L311" s="17">
        <v>15.136000000000003</v>
      </c>
      <c r="M311" s="1">
        <v>4</v>
      </c>
      <c r="N311" s="1">
        <v>0.2</v>
      </c>
      <c r="O311" s="17">
        <v>3.5948000000000011</v>
      </c>
      <c r="P311" s="17">
        <f>('Work File (2)'!$L311*'Work File (2)'!$M311)*(1-'Work File (2)'!$N311)</f>
        <v>48.435200000000009</v>
      </c>
      <c r="Q311" s="1">
        <f>YEAR(Table2[[#This Row],[Order Date]])</f>
        <v>2018</v>
      </c>
      <c r="R311" s="18" t="str">
        <f>TEXT(Table2[[#This Row],[Order Date]],"mmm")</f>
        <v>Sep</v>
      </c>
      <c r="S311" s="18"/>
    </row>
    <row r="312" spans="1:19" x14ac:dyDescent="0.2">
      <c r="A312" s="1">
        <v>311</v>
      </c>
      <c r="B312" s="1" t="s">
        <v>710</v>
      </c>
      <c r="C312" s="2">
        <v>43355</v>
      </c>
      <c r="D312" s="1" t="s">
        <v>17</v>
      </c>
      <c r="E312" s="1" t="s">
        <v>711</v>
      </c>
      <c r="F312" s="1" t="s">
        <v>712</v>
      </c>
      <c r="G312" s="1" t="s">
        <v>298</v>
      </c>
      <c r="H312" s="1" t="s">
        <v>31</v>
      </c>
      <c r="I312" s="1" t="s">
        <v>22</v>
      </c>
      <c r="J312" s="1" t="s">
        <v>25</v>
      </c>
      <c r="K312" s="1" t="s">
        <v>714</v>
      </c>
      <c r="L312" s="17">
        <v>466.76800000000003</v>
      </c>
      <c r="M312" s="1">
        <v>2</v>
      </c>
      <c r="N312" s="1">
        <v>0.2</v>
      </c>
      <c r="O312" s="17">
        <v>52.511399999999981</v>
      </c>
      <c r="P312" s="17">
        <f>('Work File (2)'!$L312*'Work File (2)'!$M312)*(1-'Work File (2)'!$N312)</f>
        <v>746.82880000000011</v>
      </c>
      <c r="Q312" s="1">
        <f>YEAR(Table2[[#This Row],[Order Date]])</f>
        <v>2018</v>
      </c>
      <c r="R312" s="18" t="str">
        <f>TEXT(Table2[[#This Row],[Order Date]],"mmm")</f>
        <v>Sep</v>
      </c>
      <c r="S312" s="18"/>
    </row>
    <row r="313" spans="1:19" x14ac:dyDescent="0.2">
      <c r="A313" s="1">
        <v>312</v>
      </c>
      <c r="B313" s="1" t="s">
        <v>710</v>
      </c>
      <c r="C313" s="2">
        <v>43355</v>
      </c>
      <c r="D313" s="1" t="s">
        <v>17</v>
      </c>
      <c r="E313" s="1" t="s">
        <v>711</v>
      </c>
      <c r="F313" s="1" t="s">
        <v>712</v>
      </c>
      <c r="G313" s="1" t="s">
        <v>298</v>
      </c>
      <c r="H313" s="1" t="s">
        <v>31</v>
      </c>
      <c r="I313" s="1" t="s">
        <v>22</v>
      </c>
      <c r="J313" s="1" t="s">
        <v>46</v>
      </c>
      <c r="K313" s="1" t="s">
        <v>715</v>
      </c>
      <c r="L313" s="17">
        <v>15.231999999999999</v>
      </c>
      <c r="M313" s="1">
        <v>1</v>
      </c>
      <c r="N313" s="1">
        <v>0.2</v>
      </c>
      <c r="O313" s="17">
        <v>1.7135999999999978</v>
      </c>
      <c r="P313" s="17">
        <f>('Work File (2)'!$L313*'Work File (2)'!$M313)*(1-'Work File (2)'!$N313)</f>
        <v>12.185600000000001</v>
      </c>
      <c r="Q313" s="1">
        <f>YEAR(Table2[[#This Row],[Order Date]])</f>
        <v>2018</v>
      </c>
      <c r="R313" s="18" t="str">
        <f>TEXT(Table2[[#This Row],[Order Date]],"mmm")</f>
        <v>Sep</v>
      </c>
      <c r="S313" s="18"/>
    </row>
    <row r="314" spans="1:19" x14ac:dyDescent="0.2">
      <c r="A314" s="1">
        <v>313</v>
      </c>
      <c r="B314" s="1" t="s">
        <v>710</v>
      </c>
      <c r="C314" s="2">
        <v>43355</v>
      </c>
      <c r="D314" s="1" t="s">
        <v>17</v>
      </c>
      <c r="E314" s="1" t="s">
        <v>711</v>
      </c>
      <c r="F314" s="1" t="s">
        <v>712</v>
      </c>
      <c r="G314" s="1" t="s">
        <v>298</v>
      </c>
      <c r="H314" s="1" t="s">
        <v>31</v>
      </c>
      <c r="I314" s="1" t="s">
        <v>32</v>
      </c>
      <c r="J314" s="1" t="s">
        <v>33</v>
      </c>
      <c r="K314" s="1" t="s">
        <v>716</v>
      </c>
      <c r="L314" s="17">
        <v>6.2640000000000002</v>
      </c>
      <c r="M314" s="1">
        <v>3</v>
      </c>
      <c r="N314" s="1">
        <v>0.2</v>
      </c>
      <c r="O314" s="17">
        <v>2.0358000000000001</v>
      </c>
      <c r="P314" s="17">
        <f>('Work File (2)'!$L314*'Work File (2)'!$M314)*(1-'Work File (2)'!$N314)</f>
        <v>15.033600000000002</v>
      </c>
      <c r="Q314" s="1">
        <f>YEAR(Table2[[#This Row],[Order Date]])</f>
        <v>2018</v>
      </c>
      <c r="R314" s="18" t="str">
        <f>TEXT(Table2[[#This Row],[Order Date]],"mmm")</f>
        <v>Sep</v>
      </c>
      <c r="S314" s="18"/>
    </row>
    <row r="315" spans="1:19" x14ac:dyDescent="0.2">
      <c r="A315" s="1">
        <v>314</v>
      </c>
      <c r="B315" s="1" t="s">
        <v>717</v>
      </c>
      <c r="C315" s="2">
        <v>42640</v>
      </c>
      <c r="D315" s="1" t="s">
        <v>36</v>
      </c>
      <c r="E315" s="1" t="s">
        <v>718</v>
      </c>
      <c r="F315" s="1" t="s">
        <v>719</v>
      </c>
      <c r="G315" s="1" t="s">
        <v>504</v>
      </c>
      <c r="H315" s="1" t="s">
        <v>103</v>
      </c>
      <c r="I315" s="1" t="s">
        <v>22</v>
      </c>
      <c r="J315" s="1" t="s">
        <v>46</v>
      </c>
      <c r="K315" s="1" t="s">
        <v>720</v>
      </c>
      <c r="L315" s="17">
        <v>87.539999999999992</v>
      </c>
      <c r="M315" s="1">
        <v>3</v>
      </c>
      <c r="N315" s="1">
        <v>0</v>
      </c>
      <c r="O315" s="17">
        <v>37.642200000000003</v>
      </c>
      <c r="P315" s="17">
        <f>('Work File (2)'!$L315*'Work File (2)'!$M315)*(1-'Work File (2)'!$N315)</f>
        <v>262.62</v>
      </c>
      <c r="Q315" s="1">
        <f>YEAR(Table2[[#This Row],[Order Date]])</f>
        <v>2016</v>
      </c>
      <c r="R315" s="18" t="str">
        <f>TEXT(Table2[[#This Row],[Order Date]],"mmm")</f>
        <v>Sep</v>
      </c>
      <c r="S315" s="18"/>
    </row>
    <row r="316" spans="1:19" x14ac:dyDescent="0.2">
      <c r="A316" s="1">
        <v>315</v>
      </c>
      <c r="B316" s="1" t="s">
        <v>721</v>
      </c>
      <c r="C316" s="2">
        <v>42591</v>
      </c>
      <c r="D316" s="1" t="s">
        <v>36</v>
      </c>
      <c r="E316" s="1" t="s">
        <v>722</v>
      </c>
      <c r="F316" s="1" t="s">
        <v>723</v>
      </c>
      <c r="G316" s="1" t="s">
        <v>39</v>
      </c>
      <c r="H316" s="1" t="s">
        <v>21</v>
      </c>
      <c r="I316" s="1" t="s">
        <v>50</v>
      </c>
      <c r="J316" s="1" t="s">
        <v>51</v>
      </c>
      <c r="K316" s="1" t="s">
        <v>724</v>
      </c>
      <c r="L316" s="17">
        <v>178.38400000000001</v>
      </c>
      <c r="M316" s="1">
        <v>2</v>
      </c>
      <c r="N316" s="1">
        <v>0.2</v>
      </c>
      <c r="O316" s="17">
        <v>22.297999999999973</v>
      </c>
      <c r="P316" s="17">
        <f>('Work File (2)'!$L316*'Work File (2)'!$M316)*(1-'Work File (2)'!$N316)</f>
        <v>285.41440000000006</v>
      </c>
      <c r="Q316" s="1">
        <f>YEAR(Table2[[#This Row],[Order Date]])</f>
        <v>2016</v>
      </c>
      <c r="R316" s="18" t="str">
        <f>TEXT(Table2[[#This Row],[Order Date]],"mmm")</f>
        <v>Aug</v>
      </c>
      <c r="S316" s="18"/>
    </row>
    <row r="317" spans="1:19" x14ac:dyDescent="0.2">
      <c r="A317" s="1">
        <v>316</v>
      </c>
      <c r="B317" s="1" t="s">
        <v>721</v>
      </c>
      <c r="C317" s="2">
        <v>42591</v>
      </c>
      <c r="D317" s="1" t="s">
        <v>36</v>
      </c>
      <c r="E317" s="1" t="s">
        <v>722</v>
      </c>
      <c r="F317" s="1" t="s">
        <v>723</v>
      </c>
      <c r="G317" s="1" t="s">
        <v>39</v>
      </c>
      <c r="H317" s="1" t="s">
        <v>21</v>
      </c>
      <c r="I317" s="1" t="s">
        <v>32</v>
      </c>
      <c r="J317" s="1" t="s">
        <v>63</v>
      </c>
      <c r="K317" s="1" t="s">
        <v>725</v>
      </c>
      <c r="L317" s="17">
        <v>15.552000000000003</v>
      </c>
      <c r="M317" s="1">
        <v>3</v>
      </c>
      <c r="N317" s="1">
        <v>0.2</v>
      </c>
      <c r="O317" s="17">
        <v>5.4432</v>
      </c>
      <c r="P317" s="17">
        <f>('Work File (2)'!$L317*'Work File (2)'!$M317)*(1-'Work File (2)'!$N317)</f>
        <v>37.324800000000003</v>
      </c>
      <c r="Q317" s="1">
        <f>YEAR(Table2[[#This Row],[Order Date]])</f>
        <v>2016</v>
      </c>
      <c r="R317" s="18" t="str">
        <f>TEXT(Table2[[#This Row],[Order Date]],"mmm")</f>
        <v>Aug</v>
      </c>
      <c r="S317" s="18"/>
    </row>
    <row r="318" spans="1:19" x14ac:dyDescent="0.2">
      <c r="A318" s="1">
        <v>317</v>
      </c>
      <c r="B318" s="1" t="s">
        <v>726</v>
      </c>
      <c r="C318" s="2">
        <v>42732</v>
      </c>
      <c r="D318" s="1" t="s">
        <v>128</v>
      </c>
      <c r="E318" s="1" t="s">
        <v>727</v>
      </c>
      <c r="F318" s="1" t="s">
        <v>101</v>
      </c>
      <c r="G318" s="1" t="s">
        <v>102</v>
      </c>
      <c r="H318" s="1" t="s">
        <v>103</v>
      </c>
      <c r="I318" s="1" t="s">
        <v>32</v>
      </c>
      <c r="J318" s="1" t="s">
        <v>48</v>
      </c>
      <c r="K318" s="1" t="s">
        <v>728</v>
      </c>
      <c r="L318" s="17">
        <v>99.13600000000001</v>
      </c>
      <c r="M318" s="1">
        <v>4</v>
      </c>
      <c r="N318" s="1">
        <v>0.2</v>
      </c>
      <c r="O318" s="17">
        <v>8.674399999999995</v>
      </c>
      <c r="P318" s="17">
        <f>('Work File (2)'!$L318*'Work File (2)'!$M318)*(1-'Work File (2)'!$N318)</f>
        <v>317.23520000000008</v>
      </c>
      <c r="Q318" s="1">
        <f>YEAR(Table2[[#This Row],[Order Date]])</f>
        <v>2016</v>
      </c>
      <c r="R318" s="18" t="str">
        <f>TEXT(Table2[[#This Row],[Order Date]],"mmm")</f>
        <v>Dec</v>
      </c>
      <c r="S318" s="18"/>
    </row>
    <row r="319" spans="1:19" x14ac:dyDescent="0.2">
      <c r="A319" s="1">
        <v>318</v>
      </c>
      <c r="B319" s="1" t="s">
        <v>729</v>
      </c>
      <c r="C319" s="2">
        <v>42678</v>
      </c>
      <c r="D319" s="1" t="s">
        <v>36</v>
      </c>
      <c r="E319" s="1" t="s">
        <v>730</v>
      </c>
      <c r="F319" s="1" t="s">
        <v>178</v>
      </c>
      <c r="G319" s="1" t="s">
        <v>179</v>
      </c>
      <c r="H319" s="1" t="s">
        <v>103</v>
      </c>
      <c r="I319" s="1" t="s">
        <v>22</v>
      </c>
      <c r="J319" s="1" t="s">
        <v>25</v>
      </c>
      <c r="K319" s="1" t="s">
        <v>731</v>
      </c>
      <c r="L319" s="17">
        <v>135.88200000000001</v>
      </c>
      <c r="M319" s="1">
        <v>1</v>
      </c>
      <c r="N319" s="1">
        <v>0.1</v>
      </c>
      <c r="O319" s="17">
        <v>24.156800000000004</v>
      </c>
      <c r="P319" s="17">
        <f>('Work File (2)'!$L319*'Work File (2)'!$M319)*(1-'Work File (2)'!$N319)</f>
        <v>122.2938</v>
      </c>
      <c r="Q319" s="1">
        <f>YEAR(Table2[[#This Row],[Order Date]])</f>
        <v>2016</v>
      </c>
      <c r="R319" s="18" t="str">
        <f>TEXT(Table2[[#This Row],[Order Date]],"mmm")</f>
        <v>Nov</v>
      </c>
      <c r="S319" s="18"/>
    </row>
    <row r="320" spans="1:19" x14ac:dyDescent="0.2">
      <c r="A320" s="1">
        <v>319</v>
      </c>
      <c r="B320" s="1" t="s">
        <v>729</v>
      </c>
      <c r="C320" s="2">
        <v>42678</v>
      </c>
      <c r="D320" s="1" t="s">
        <v>36</v>
      </c>
      <c r="E320" s="1" t="s">
        <v>730</v>
      </c>
      <c r="F320" s="1" t="s">
        <v>178</v>
      </c>
      <c r="G320" s="1" t="s">
        <v>179</v>
      </c>
      <c r="H320" s="1" t="s">
        <v>103</v>
      </c>
      <c r="I320" s="1" t="s">
        <v>50</v>
      </c>
      <c r="J320" s="1" t="s">
        <v>439</v>
      </c>
      <c r="K320" s="1" t="s">
        <v>732</v>
      </c>
      <c r="L320" s="17">
        <v>3991.98</v>
      </c>
      <c r="M320" s="1">
        <v>2</v>
      </c>
      <c r="N320" s="1">
        <v>0</v>
      </c>
      <c r="O320" s="17">
        <v>1995.99</v>
      </c>
      <c r="P320" s="17">
        <f>('Work File (2)'!$L320*'Work File (2)'!$M320)*(1-'Work File (2)'!$N320)</f>
        <v>7983.96</v>
      </c>
      <c r="Q320" s="1">
        <f>YEAR(Table2[[#This Row],[Order Date]])</f>
        <v>2016</v>
      </c>
      <c r="R320" s="18" t="str">
        <f>TEXT(Table2[[#This Row],[Order Date]],"mmm")</f>
        <v>Nov</v>
      </c>
      <c r="S320" s="18"/>
    </row>
    <row r="321" spans="1:19" x14ac:dyDescent="0.2">
      <c r="A321" s="1">
        <v>320</v>
      </c>
      <c r="B321" s="1" t="s">
        <v>729</v>
      </c>
      <c r="C321" s="2">
        <v>42678</v>
      </c>
      <c r="D321" s="1" t="s">
        <v>36</v>
      </c>
      <c r="E321" s="1" t="s">
        <v>730</v>
      </c>
      <c r="F321" s="1" t="s">
        <v>178</v>
      </c>
      <c r="G321" s="1" t="s">
        <v>179</v>
      </c>
      <c r="H321" s="1" t="s">
        <v>103</v>
      </c>
      <c r="I321" s="1" t="s">
        <v>50</v>
      </c>
      <c r="J321" s="1" t="s">
        <v>51</v>
      </c>
      <c r="K321" s="1" t="s">
        <v>143</v>
      </c>
      <c r="L321" s="17">
        <v>275.94</v>
      </c>
      <c r="M321" s="1">
        <v>6</v>
      </c>
      <c r="N321" s="1">
        <v>0</v>
      </c>
      <c r="O321" s="17">
        <v>80.022599999999997</v>
      </c>
      <c r="P321" s="17">
        <f>('Work File (2)'!$L321*'Work File (2)'!$M321)*(1-'Work File (2)'!$N321)</f>
        <v>1655.6399999999999</v>
      </c>
      <c r="Q321" s="1">
        <f>YEAR(Table2[[#This Row],[Order Date]])</f>
        <v>2016</v>
      </c>
      <c r="R321" s="18" t="str">
        <f>TEXT(Table2[[#This Row],[Order Date]],"mmm")</f>
        <v>Nov</v>
      </c>
      <c r="S321" s="18"/>
    </row>
    <row r="322" spans="1:19" x14ac:dyDescent="0.2">
      <c r="A322" s="1">
        <v>321</v>
      </c>
      <c r="B322" s="1" t="s">
        <v>729</v>
      </c>
      <c r="C322" s="2">
        <v>42678</v>
      </c>
      <c r="D322" s="1" t="s">
        <v>36</v>
      </c>
      <c r="E322" s="1" t="s">
        <v>730</v>
      </c>
      <c r="F322" s="1" t="s">
        <v>178</v>
      </c>
      <c r="G322" s="1" t="s">
        <v>179</v>
      </c>
      <c r="H322" s="1" t="s">
        <v>103</v>
      </c>
      <c r="I322" s="1" t="s">
        <v>50</v>
      </c>
      <c r="J322" s="1" t="s">
        <v>111</v>
      </c>
      <c r="K322" s="1" t="s">
        <v>733</v>
      </c>
      <c r="L322" s="17">
        <v>360</v>
      </c>
      <c r="M322" s="1">
        <v>4</v>
      </c>
      <c r="N322" s="1">
        <v>0</v>
      </c>
      <c r="O322" s="17">
        <v>129.6</v>
      </c>
      <c r="P322" s="17">
        <f>('Work File (2)'!$L322*'Work File (2)'!$M322)*(1-'Work File (2)'!$N322)</f>
        <v>1440</v>
      </c>
      <c r="Q322" s="1">
        <f>YEAR(Table2[[#This Row],[Order Date]])</f>
        <v>2016</v>
      </c>
      <c r="R322" s="18" t="str">
        <f>TEXT(Table2[[#This Row],[Order Date]],"mmm")</f>
        <v>Nov</v>
      </c>
      <c r="S322" s="18"/>
    </row>
    <row r="323" spans="1:19" x14ac:dyDescent="0.2">
      <c r="A323" s="1">
        <v>322</v>
      </c>
      <c r="B323" s="1" t="s">
        <v>729</v>
      </c>
      <c r="C323" s="2">
        <v>42678</v>
      </c>
      <c r="D323" s="1" t="s">
        <v>36</v>
      </c>
      <c r="E323" s="1" t="s">
        <v>730</v>
      </c>
      <c r="F323" s="1" t="s">
        <v>178</v>
      </c>
      <c r="G323" s="1" t="s">
        <v>179</v>
      </c>
      <c r="H323" s="1" t="s">
        <v>103</v>
      </c>
      <c r="I323" s="1" t="s">
        <v>32</v>
      </c>
      <c r="J323" s="1" t="s">
        <v>42</v>
      </c>
      <c r="K323" s="1" t="s">
        <v>354</v>
      </c>
      <c r="L323" s="17">
        <v>43.57</v>
      </c>
      <c r="M323" s="1">
        <v>1</v>
      </c>
      <c r="N323" s="1">
        <v>0</v>
      </c>
      <c r="O323" s="17">
        <v>13.070999999999998</v>
      </c>
      <c r="P323" s="17">
        <f>('Work File (2)'!$L323*'Work File (2)'!$M323)*(1-'Work File (2)'!$N323)</f>
        <v>43.57</v>
      </c>
      <c r="Q323" s="1">
        <f>YEAR(Table2[[#This Row],[Order Date]])</f>
        <v>2016</v>
      </c>
      <c r="R323" s="18" t="str">
        <f>TEXT(Table2[[#This Row],[Order Date]],"mmm")</f>
        <v>Nov</v>
      </c>
      <c r="S323" s="18"/>
    </row>
    <row r="324" spans="1:19" x14ac:dyDescent="0.2">
      <c r="A324" s="1">
        <v>323</v>
      </c>
      <c r="B324" s="1" t="s">
        <v>734</v>
      </c>
      <c r="C324" s="2">
        <v>42632</v>
      </c>
      <c r="D324" s="1" t="s">
        <v>36</v>
      </c>
      <c r="E324" s="1" t="s">
        <v>735</v>
      </c>
      <c r="F324" s="1" t="s">
        <v>736</v>
      </c>
      <c r="G324" s="1" t="s">
        <v>30</v>
      </c>
      <c r="H324" s="1" t="s">
        <v>31</v>
      </c>
      <c r="I324" s="1" t="s">
        <v>32</v>
      </c>
      <c r="J324" s="1" t="s">
        <v>180</v>
      </c>
      <c r="K324" s="1" t="s">
        <v>737</v>
      </c>
      <c r="L324" s="17">
        <v>7.16</v>
      </c>
      <c r="M324" s="1">
        <v>2</v>
      </c>
      <c r="N324" s="1">
        <v>0</v>
      </c>
      <c r="O324" s="17">
        <v>3.58</v>
      </c>
      <c r="P324" s="17">
        <f>('Work File (2)'!$L324*'Work File (2)'!$M324)*(1-'Work File (2)'!$N324)</f>
        <v>14.32</v>
      </c>
      <c r="Q324" s="1">
        <f>YEAR(Table2[[#This Row],[Order Date]])</f>
        <v>2016</v>
      </c>
      <c r="R324" s="18" t="str">
        <f>TEXT(Table2[[#This Row],[Order Date]],"mmm")</f>
        <v>Sep</v>
      </c>
      <c r="S324" s="18"/>
    </row>
    <row r="325" spans="1:19" x14ac:dyDescent="0.2">
      <c r="A325" s="1">
        <v>324</v>
      </c>
      <c r="B325" s="1" t="s">
        <v>738</v>
      </c>
      <c r="C325" s="2">
        <v>43213</v>
      </c>
      <c r="D325" s="1" t="s">
        <v>36</v>
      </c>
      <c r="E325" s="1" t="s">
        <v>739</v>
      </c>
      <c r="F325" s="1" t="s">
        <v>740</v>
      </c>
      <c r="G325" s="1" t="s">
        <v>30</v>
      </c>
      <c r="H325" s="1" t="s">
        <v>31</v>
      </c>
      <c r="I325" s="1" t="s">
        <v>32</v>
      </c>
      <c r="J325" s="1" t="s">
        <v>53</v>
      </c>
      <c r="K325" s="1" t="s">
        <v>684</v>
      </c>
      <c r="L325" s="17">
        <v>251.52</v>
      </c>
      <c r="M325" s="1">
        <v>6</v>
      </c>
      <c r="N325" s="1">
        <v>0.2</v>
      </c>
      <c r="O325" s="17">
        <v>81.744</v>
      </c>
      <c r="P325" s="17">
        <f>('Work File (2)'!$L325*'Work File (2)'!$M325)*(1-'Work File (2)'!$N325)</f>
        <v>1207.296</v>
      </c>
      <c r="Q325" s="1">
        <f>YEAR(Table2[[#This Row],[Order Date]])</f>
        <v>2018</v>
      </c>
      <c r="R325" s="18" t="str">
        <f>TEXT(Table2[[#This Row],[Order Date]],"mmm")</f>
        <v>Apr</v>
      </c>
      <c r="S325" s="18"/>
    </row>
    <row r="326" spans="1:19" x14ac:dyDescent="0.2">
      <c r="A326" s="1">
        <v>325</v>
      </c>
      <c r="B326" s="1" t="s">
        <v>738</v>
      </c>
      <c r="C326" s="2">
        <v>43213</v>
      </c>
      <c r="D326" s="1" t="s">
        <v>36</v>
      </c>
      <c r="E326" s="1" t="s">
        <v>739</v>
      </c>
      <c r="F326" s="1" t="s">
        <v>740</v>
      </c>
      <c r="G326" s="1" t="s">
        <v>30</v>
      </c>
      <c r="H326" s="1" t="s">
        <v>31</v>
      </c>
      <c r="I326" s="1" t="s">
        <v>50</v>
      </c>
      <c r="J326" s="1" t="s">
        <v>111</v>
      </c>
      <c r="K326" s="1" t="s">
        <v>741</v>
      </c>
      <c r="L326" s="17">
        <v>99.99</v>
      </c>
      <c r="M326" s="1">
        <v>1</v>
      </c>
      <c r="N326" s="1">
        <v>0</v>
      </c>
      <c r="O326" s="17">
        <v>34.996499999999997</v>
      </c>
      <c r="P326" s="17">
        <f>('Work File (2)'!$L326*'Work File (2)'!$M326)*(1-'Work File (2)'!$N326)</f>
        <v>99.99</v>
      </c>
      <c r="Q326" s="1">
        <f>YEAR(Table2[[#This Row],[Order Date]])</f>
        <v>2018</v>
      </c>
      <c r="R326" s="18" t="str">
        <f>TEXT(Table2[[#This Row],[Order Date]],"mmm")</f>
        <v>Apr</v>
      </c>
      <c r="S326" s="18"/>
    </row>
    <row r="327" spans="1:19" x14ac:dyDescent="0.2">
      <c r="A327" s="1">
        <v>326</v>
      </c>
      <c r="B327" s="1" t="s">
        <v>742</v>
      </c>
      <c r="C327" s="2">
        <v>43772</v>
      </c>
      <c r="D327" s="1" t="s">
        <v>17</v>
      </c>
      <c r="E327" s="1" t="s">
        <v>743</v>
      </c>
      <c r="F327" s="1" t="s">
        <v>744</v>
      </c>
      <c r="G327" s="1" t="s">
        <v>222</v>
      </c>
      <c r="H327" s="1" t="s">
        <v>21</v>
      </c>
      <c r="I327" s="1" t="s">
        <v>22</v>
      </c>
      <c r="J327" s="1" t="s">
        <v>46</v>
      </c>
      <c r="K327" s="1" t="s">
        <v>745</v>
      </c>
      <c r="L327" s="17">
        <v>15.991999999999999</v>
      </c>
      <c r="M327" s="1">
        <v>1</v>
      </c>
      <c r="N327" s="1">
        <v>0.2</v>
      </c>
      <c r="O327" s="17">
        <v>0.99949999999999894</v>
      </c>
      <c r="P327" s="17">
        <f>('Work File (2)'!$L327*'Work File (2)'!$M327)*(1-'Work File (2)'!$N327)</f>
        <v>12.7936</v>
      </c>
      <c r="Q327" s="1">
        <f>YEAR(Table2[[#This Row],[Order Date]])</f>
        <v>2019</v>
      </c>
      <c r="R327" s="18" t="str">
        <f>TEXT(Table2[[#This Row],[Order Date]],"mmm")</f>
        <v>Nov</v>
      </c>
      <c r="S327" s="18"/>
    </row>
    <row r="328" spans="1:19" x14ac:dyDescent="0.2">
      <c r="A328" s="1">
        <v>327</v>
      </c>
      <c r="B328" s="1" t="s">
        <v>746</v>
      </c>
      <c r="C328" s="2">
        <v>43342</v>
      </c>
      <c r="D328" s="1" t="s">
        <v>128</v>
      </c>
      <c r="E328" s="1" t="s">
        <v>747</v>
      </c>
      <c r="F328" s="1" t="s">
        <v>101</v>
      </c>
      <c r="G328" s="1" t="s">
        <v>102</v>
      </c>
      <c r="H328" s="1" t="s">
        <v>103</v>
      </c>
      <c r="I328" s="1" t="s">
        <v>50</v>
      </c>
      <c r="J328" s="1" t="s">
        <v>51</v>
      </c>
      <c r="K328" s="1" t="s">
        <v>748</v>
      </c>
      <c r="L328" s="17">
        <v>290.89800000000002</v>
      </c>
      <c r="M328" s="1">
        <v>3</v>
      </c>
      <c r="N328" s="1">
        <v>0.4</v>
      </c>
      <c r="O328" s="17">
        <v>-67.876199999999997</v>
      </c>
      <c r="P328" s="17">
        <f>('Work File (2)'!$L328*'Work File (2)'!$M328)*(1-'Work File (2)'!$N328)</f>
        <v>523.6164</v>
      </c>
      <c r="Q328" s="1">
        <f>YEAR(Table2[[#This Row],[Order Date]])</f>
        <v>2018</v>
      </c>
      <c r="R328" s="18" t="str">
        <f>TEXT(Table2[[#This Row],[Order Date]],"mmm")</f>
        <v>Aug</v>
      </c>
      <c r="S328" s="18"/>
    </row>
    <row r="329" spans="1:19" x14ac:dyDescent="0.2">
      <c r="A329" s="1">
        <v>328</v>
      </c>
      <c r="B329" s="1" t="s">
        <v>746</v>
      </c>
      <c r="C329" s="2">
        <v>43342</v>
      </c>
      <c r="D329" s="1" t="s">
        <v>128</v>
      </c>
      <c r="E329" s="1" t="s">
        <v>747</v>
      </c>
      <c r="F329" s="1" t="s">
        <v>101</v>
      </c>
      <c r="G329" s="1" t="s">
        <v>102</v>
      </c>
      <c r="H329" s="1" t="s">
        <v>103</v>
      </c>
      <c r="I329" s="1" t="s">
        <v>32</v>
      </c>
      <c r="J329" s="1" t="s">
        <v>42</v>
      </c>
      <c r="K329" s="1" t="s">
        <v>749</v>
      </c>
      <c r="L329" s="17">
        <v>54.224000000000004</v>
      </c>
      <c r="M329" s="1">
        <v>2</v>
      </c>
      <c r="N329" s="1">
        <v>0.2</v>
      </c>
      <c r="O329" s="17">
        <v>3.3889999999999993</v>
      </c>
      <c r="P329" s="17">
        <f>('Work File (2)'!$L329*'Work File (2)'!$M329)*(1-'Work File (2)'!$N329)</f>
        <v>86.758400000000009</v>
      </c>
      <c r="Q329" s="1">
        <f>YEAR(Table2[[#This Row],[Order Date]])</f>
        <v>2018</v>
      </c>
      <c r="R329" s="18" t="str">
        <f>TEXT(Table2[[#This Row],[Order Date]],"mmm")</f>
        <v>Aug</v>
      </c>
      <c r="S329" s="18"/>
    </row>
    <row r="330" spans="1:19" x14ac:dyDescent="0.2">
      <c r="A330" s="1">
        <v>329</v>
      </c>
      <c r="B330" s="1" t="s">
        <v>746</v>
      </c>
      <c r="C330" s="2">
        <v>43342</v>
      </c>
      <c r="D330" s="1" t="s">
        <v>128</v>
      </c>
      <c r="E330" s="1" t="s">
        <v>747</v>
      </c>
      <c r="F330" s="1" t="s">
        <v>101</v>
      </c>
      <c r="G330" s="1" t="s">
        <v>102</v>
      </c>
      <c r="H330" s="1" t="s">
        <v>103</v>
      </c>
      <c r="I330" s="1" t="s">
        <v>22</v>
      </c>
      <c r="J330" s="1" t="s">
        <v>25</v>
      </c>
      <c r="K330" s="1" t="s">
        <v>750</v>
      </c>
      <c r="L330" s="17">
        <v>786.74400000000003</v>
      </c>
      <c r="M330" s="1">
        <v>4</v>
      </c>
      <c r="N330" s="1">
        <v>0.3</v>
      </c>
      <c r="O330" s="17">
        <v>-258.50160000000011</v>
      </c>
      <c r="P330" s="17">
        <f>('Work File (2)'!$L330*'Work File (2)'!$M330)*(1-'Work File (2)'!$N330)</f>
        <v>2202.8831999999998</v>
      </c>
      <c r="Q330" s="1">
        <f>YEAR(Table2[[#This Row],[Order Date]])</f>
        <v>2018</v>
      </c>
      <c r="R330" s="18" t="str">
        <f>TEXT(Table2[[#This Row],[Order Date]],"mmm")</f>
        <v>Aug</v>
      </c>
      <c r="S330" s="18"/>
    </row>
    <row r="331" spans="1:19" x14ac:dyDescent="0.2">
      <c r="A331" s="1">
        <v>330</v>
      </c>
      <c r="B331" s="1" t="s">
        <v>746</v>
      </c>
      <c r="C331" s="2">
        <v>43342</v>
      </c>
      <c r="D331" s="1" t="s">
        <v>128</v>
      </c>
      <c r="E331" s="1" t="s">
        <v>747</v>
      </c>
      <c r="F331" s="1" t="s">
        <v>101</v>
      </c>
      <c r="G331" s="1" t="s">
        <v>102</v>
      </c>
      <c r="H331" s="1" t="s">
        <v>103</v>
      </c>
      <c r="I331" s="1" t="s">
        <v>32</v>
      </c>
      <c r="J331" s="1" t="s">
        <v>33</v>
      </c>
      <c r="K331" s="1" t="s">
        <v>751</v>
      </c>
      <c r="L331" s="17">
        <v>100.24000000000001</v>
      </c>
      <c r="M331" s="1">
        <v>10</v>
      </c>
      <c r="N331" s="1">
        <v>0.2</v>
      </c>
      <c r="O331" s="17">
        <v>33.830999999999989</v>
      </c>
      <c r="P331" s="17">
        <f>('Work File (2)'!$L331*'Work File (2)'!$M331)*(1-'Work File (2)'!$N331)</f>
        <v>801.92000000000007</v>
      </c>
      <c r="Q331" s="1">
        <f>YEAR(Table2[[#This Row],[Order Date]])</f>
        <v>2018</v>
      </c>
      <c r="R331" s="18" t="str">
        <f>TEXT(Table2[[#This Row],[Order Date]],"mmm")</f>
        <v>Aug</v>
      </c>
      <c r="S331" s="18"/>
    </row>
    <row r="332" spans="1:19" x14ac:dyDescent="0.2">
      <c r="A332" s="1">
        <v>331</v>
      </c>
      <c r="B332" s="1" t="s">
        <v>746</v>
      </c>
      <c r="C332" s="2">
        <v>43342</v>
      </c>
      <c r="D332" s="1" t="s">
        <v>128</v>
      </c>
      <c r="E332" s="1" t="s">
        <v>747</v>
      </c>
      <c r="F332" s="1" t="s">
        <v>101</v>
      </c>
      <c r="G332" s="1" t="s">
        <v>102</v>
      </c>
      <c r="H332" s="1" t="s">
        <v>103</v>
      </c>
      <c r="I332" s="1" t="s">
        <v>32</v>
      </c>
      <c r="J332" s="1" t="s">
        <v>53</v>
      </c>
      <c r="K332" s="1" t="s">
        <v>752</v>
      </c>
      <c r="L332" s="17">
        <v>37.76400000000001</v>
      </c>
      <c r="M332" s="1">
        <v>6</v>
      </c>
      <c r="N332" s="1">
        <v>0.7</v>
      </c>
      <c r="O332" s="17">
        <v>-27.693600000000004</v>
      </c>
      <c r="P332" s="17">
        <f>('Work File (2)'!$L332*'Work File (2)'!$M332)*(1-'Work File (2)'!$N332)</f>
        <v>67.975200000000029</v>
      </c>
      <c r="Q332" s="1">
        <f>YEAR(Table2[[#This Row],[Order Date]])</f>
        <v>2018</v>
      </c>
      <c r="R332" s="18" t="str">
        <f>TEXT(Table2[[#This Row],[Order Date]],"mmm")</f>
        <v>Aug</v>
      </c>
      <c r="S332" s="18"/>
    </row>
    <row r="333" spans="1:19" x14ac:dyDescent="0.2">
      <c r="A333" s="1">
        <v>332</v>
      </c>
      <c r="B333" s="1" t="s">
        <v>753</v>
      </c>
      <c r="C333" s="2">
        <v>43215</v>
      </c>
      <c r="D333" s="1" t="s">
        <v>17</v>
      </c>
      <c r="E333" s="1" t="s">
        <v>754</v>
      </c>
      <c r="F333" s="1" t="s">
        <v>101</v>
      </c>
      <c r="G333" s="1" t="s">
        <v>102</v>
      </c>
      <c r="H333" s="1" t="s">
        <v>103</v>
      </c>
      <c r="I333" s="1" t="s">
        <v>50</v>
      </c>
      <c r="J333" s="1" t="s">
        <v>51</v>
      </c>
      <c r="K333" s="1" t="s">
        <v>755</v>
      </c>
      <c r="L333" s="17">
        <v>82.8</v>
      </c>
      <c r="M333" s="1">
        <v>2</v>
      </c>
      <c r="N333" s="1">
        <v>0.4</v>
      </c>
      <c r="O333" s="17">
        <v>-20.700000000000003</v>
      </c>
      <c r="P333" s="17">
        <f>('Work File (2)'!$L333*'Work File (2)'!$M333)*(1-'Work File (2)'!$N333)</f>
        <v>99.36</v>
      </c>
      <c r="Q333" s="1">
        <f>YEAR(Table2[[#This Row],[Order Date]])</f>
        <v>2018</v>
      </c>
      <c r="R333" s="18" t="str">
        <f>TEXT(Table2[[#This Row],[Order Date]],"mmm")</f>
        <v>Apr</v>
      </c>
      <c r="S333" s="18"/>
    </row>
    <row r="334" spans="1:19" x14ac:dyDescent="0.2">
      <c r="A334" s="1">
        <v>333</v>
      </c>
      <c r="B334" s="1" t="s">
        <v>753</v>
      </c>
      <c r="C334" s="2">
        <v>43215</v>
      </c>
      <c r="D334" s="1" t="s">
        <v>17</v>
      </c>
      <c r="E334" s="1" t="s">
        <v>754</v>
      </c>
      <c r="F334" s="1" t="s">
        <v>101</v>
      </c>
      <c r="G334" s="1" t="s">
        <v>102</v>
      </c>
      <c r="H334" s="1" t="s">
        <v>103</v>
      </c>
      <c r="I334" s="1" t="s">
        <v>32</v>
      </c>
      <c r="J334" s="1" t="s">
        <v>53</v>
      </c>
      <c r="K334" s="1" t="s">
        <v>756</v>
      </c>
      <c r="L334" s="17">
        <v>20.724000000000004</v>
      </c>
      <c r="M334" s="1">
        <v>2</v>
      </c>
      <c r="N334" s="1">
        <v>0.7</v>
      </c>
      <c r="O334" s="17">
        <v>-13.815999999999995</v>
      </c>
      <c r="P334" s="17">
        <f>('Work File (2)'!$L334*'Work File (2)'!$M334)*(1-'Work File (2)'!$N334)</f>
        <v>12.434400000000004</v>
      </c>
      <c r="Q334" s="1">
        <f>YEAR(Table2[[#This Row],[Order Date]])</f>
        <v>2018</v>
      </c>
      <c r="R334" s="18" t="str">
        <f>TEXT(Table2[[#This Row],[Order Date]],"mmm")</f>
        <v>Apr</v>
      </c>
      <c r="S334" s="18"/>
    </row>
    <row r="335" spans="1:19" x14ac:dyDescent="0.2">
      <c r="A335" s="1">
        <v>334</v>
      </c>
      <c r="B335" s="1" t="s">
        <v>753</v>
      </c>
      <c r="C335" s="2">
        <v>43215</v>
      </c>
      <c r="D335" s="1" t="s">
        <v>17</v>
      </c>
      <c r="E335" s="1" t="s">
        <v>754</v>
      </c>
      <c r="F335" s="1" t="s">
        <v>101</v>
      </c>
      <c r="G335" s="1" t="s">
        <v>102</v>
      </c>
      <c r="H335" s="1" t="s">
        <v>103</v>
      </c>
      <c r="I335" s="1" t="s">
        <v>32</v>
      </c>
      <c r="J335" s="1" t="s">
        <v>53</v>
      </c>
      <c r="K335" s="1" t="s">
        <v>757</v>
      </c>
      <c r="L335" s="17">
        <v>4.8960000000000008</v>
      </c>
      <c r="M335" s="1">
        <v>3</v>
      </c>
      <c r="N335" s="1">
        <v>0.7</v>
      </c>
      <c r="O335" s="17">
        <v>-3.4271999999999991</v>
      </c>
      <c r="P335" s="17">
        <f>('Work File (2)'!$L335*'Work File (2)'!$M335)*(1-'Work File (2)'!$N335)</f>
        <v>4.4064000000000014</v>
      </c>
      <c r="Q335" s="1">
        <f>YEAR(Table2[[#This Row],[Order Date]])</f>
        <v>2018</v>
      </c>
      <c r="R335" s="18" t="str">
        <f>TEXT(Table2[[#This Row],[Order Date]],"mmm")</f>
        <v>Apr</v>
      </c>
      <c r="S335" s="18"/>
    </row>
    <row r="336" spans="1:19" x14ac:dyDescent="0.2">
      <c r="A336" s="1">
        <v>335</v>
      </c>
      <c r="B336" s="1" t="s">
        <v>758</v>
      </c>
      <c r="C336" s="2">
        <v>42979</v>
      </c>
      <c r="D336" s="1" t="s">
        <v>17</v>
      </c>
      <c r="E336" s="1" t="s">
        <v>759</v>
      </c>
      <c r="F336" s="1" t="s">
        <v>29</v>
      </c>
      <c r="G336" s="1" t="s">
        <v>30</v>
      </c>
      <c r="H336" s="1" t="s">
        <v>31</v>
      </c>
      <c r="I336" s="1" t="s">
        <v>32</v>
      </c>
      <c r="J336" s="1" t="s">
        <v>53</v>
      </c>
      <c r="K336" s="1" t="s">
        <v>760</v>
      </c>
      <c r="L336" s="17">
        <v>4.7520000000000007</v>
      </c>
      <c r="M336" s="1">
        <v>1</v>
      </c>
      <c r="N336" s="1">
        <v>0.2</v>
      </c>
      <c r="O336" s="17">
        <v>1.6037999999999997</v>
      </c>
      <c r="P336" s="17">
        <f>('Work File (2)'!$L336*'Work File (2)'!$M336)*(1-'Work File (2)'!$N336)</f>
        <v>3.8016000000000005</v>
      </c>
      <c r="Q336" s="1">
        <f>YEAR(Table2[[#This Row],[Order Date]])</f>
        <v>2017</v>
      </c>
      <c r="R336" s="18" t="str">
        <f>TEXT(Table2[[#This Row],[Order Date]],"mmm")</f>
        <v>Sep</v>
      </c>
      <c r="S336" s="18"/>
    </row>
    <row r="337" spans="1:19" x14ac:dyDescent="0.2">
      <c r="A337" s="1">
        <v>336</v>
      </c>
      <c r="B337" s="1" t="s">
        <v>758</v>
      </c>
      <c r="C337" s="2">
        <v>42979</v>
      </c>
      <c r="D337" s="1" t="s">
        <v>17</v>
      </c>
      <c r="E337" s="1" t="s">
        <v>759</v>
      </c>
      <c r="F337" s="1" t="s">
        <v>29</v>
      </c>
      <c r="G337" s="1" t="s">
        <v>30</v>
      </c>
      <c r="H337" s="1" t="s">
        <v>31</v>
      </c>
      <c r="I337" s="1" t="s">
        <v>50</v>
      </c>
      <c r="J337" s="1" t="s">
        <v>761</v>
      </c>
      <c r="K337" s="1" t="s">
        <v>762</v>
      </c>
      <c r="L337" s="17">
        <v>959.98400000000004</v>
      </c>
      <c r="M337" s="1">
        <v>2</v>
      </c>
      <c r="N337" s="1">
        <v>0.2</v>
      </c>
      <c r="O337" s="17">
        <v>335.99440000000004</v>
      </c>
      <c r="P337" s="17">
        <f>('Work File (2)'!$L337*'Work File (2)'!$M337)*(1-'Work File (2)'!$N337)</f>
        <v>1535.9744000000001</v>
      </c>
      <c r="Q337" s="1">
        <f>YEAR(Table2[[#This Row],[Order Date]])</f>
        <v>2017</v>
      </c>
      <c r="R337" s="18" t="str">
        <f>TEXT(Table2[[#This Row],[Order Date]],"mmm")</f>
        <v>Sep</v>
      </c>
      <c r="S337" s="18"/>
    </row>
    <row r="338" spans="1:19" x14ac:dyDescent="0.2">
      <c r="A338" s="1">
        <v>337</v>
      </c>
      <c r="B338" s="1" t="s">
        <v>758</v>
      </c>
      <c r="C338" s="2">
        <v>42979</v>
      </c>
      <c r="D338" s="1" t="s">
        <v>17</v>
      </c>
      <c r="E338" s="1" t="s">
        <v>759</v>
      </c>
      <c r="F338" s="1" t="s">
        <v>29</v>
      </c>
      <c r="G338" s="1" t="s">
        <v>30</v>
      </c>
      <c r="H338" s="1" t="s">
        <v>31</v>
      </c>
      <c r="I338" s="1" t="s">
        <v>32</v>
      </c>
      <c r="J338" s="1" t="s">
        <v>53</v>
      </c>
      <c r="K338" s="1" t="s">
        <v>763</v>
      </c>
      <c r="L338" s="17">
        <v>14.368000000000002</v>
      </c>
      <c r="M338" s="1">
        <v>4</v>
      </c>
      <c r="N338" s="1">
        <v>0.2</v>
      </c>
      <c r="O338" s="17">
        <v>4.4899999999999984</v>
      </c>
      <c r="P338" s="17">
        <f>('Work File (2)'!$L338*'Work File (2)'!$M338)*(1-'Work File (2)'!$N338)</f>
        <v>45.97760000000001</v>
      </c>
      <c r="Q338" s="1">
        <f>YEAR(Table2[[#This Row],[Order Date]])</f>
        <v>2017</v>
      </c>
      <c r="R338" s="18" t="str">
        <f>TEXT(Table2[[#This Row],[Order Date]],"mmm")</f>
        <v>Sep</v>
      </c>
      <c r="S338" s="18"/>
    </row>
    <row r="339" spans="1:19" x14ac:dyDescent="0.2">
      <c r="A339" s="1">
        <v>338</v>
      </c>
      <c r="B339" s="1" t="s">
        <v>764</v>
      </c>
      <c r="C339" s="2">
        <v>42563</v>
      </c>
      <c r="D339" s="1" t="s">
        <v>36</v>
      </c>
      <c r="E339" s="1" t="s">
        <v>765</v>
      </c>
      <c r="F339" s="1" t="s">
        <v>89</v>
      </c>
      <c r="G339" s="1" t="s">
        <v>30</v>
      </c>
      <c r="H339" s="1" t="s">
        <v>31</v>
      </c>
      <c r="I339" s="1" t="s">
        <v>32</v>
      </c>
      <c r="J339" s="1" t="s">
        <v>53</v>
      </c>
      <c r="K339" s="1" t="s">
        <v>766</v>
      </c>
      <c r="L339" s="17">
        <v>7.7120000000000006</v>
      </c>
      <c r="M339" s="1">
        <v>2</v>
      </c>
      <c r="N339" s="1">
        <v>0.2</v>
      </c>
      <c r="O339" s="17">
        <v>2.7956000000000003</v>
      </c>
      <c r="P339" s="17">
        <f>('Work File (2)'!$L339*'Work File (2)'!$M339)*(1-'Work File (2)'!$N339)</f>
        <v>12.339200000000002</v>
      </c>
      <c r="Q339" s="1">
        <f>YEAR(Table2[[#This Row],[Order Date]])</f>
        <v>2016</v>
      </c>
      <c r="R339" s="18" t="str">
        <f>TEXT(Table2[[#This Row],[Order Date]],"mmm")</f>
        <v>Jul</v>
      </c>
      <c r="S339" s="18"/>
    </row>
    <row r="340" spans="1:19" x14ac:dyDescent="0.2">
      <c r="A340" s="1">
        <v>339</v>
      </c>
      <c r="B340" s="1" t="s">
        <v>764</v>
      </c>
      <c r="C340" s="2">
        <v>42563</v>
      </c>
      <c r="D340" s="1" t="s">
        <v>36</v>
      </c>
      <c r="E340" s="1" t="s">
        <v>765</v>
      </c>
      <c r="F340" s="1" t="s">
        <v>89</v>
      </c>
      <c r="G340" s="1" t="s">
        <v>30</v>
      </c>
      <c r="H340" s="1" t="s">
        <v>31</v>
      </c>
      <c r="I340" s="1" t="s">
        <v>22</v>
      </c>
      <c r="J340" s="1" t="s">
        <v>40</v>
      </c>
      <c r="K340" s="1" t="s">
        <v>767</v>
      </c>
      <c r="L340" s="17">
        <v>698.35200000000009</v>
      </c>
      <c r="M340" s="1">
        <v>3</v>
      </c>
      <c r="N340" s="1">
        <v>0.2</v>
      </c>
      <c r="O340" s="17">
        <v>-17.458800000000053</v>
      </c>
      <c r="P340" s="17">
        <f>('Work File (2)'!$L340*'Work File (2)'!$M340)*(1-'Work File (2)'!$N340)</f>
        <v>1676.0448000000006</v>
      </c>
      <c r="Q340" s="1">
        <f>YEAR(Table2[[#This Row],[Order Date]])</f>
        <v>2016</v>
      </c>
      <c r="R340" s="18" t="str">
        <f>TEXT(Table2[[#This Row],[Order Date]],"mmm")</f>
        <v>Jul</v>
      </c>
      <c r="S340" s="18"/>
    </row>
    <row r="341" spans="1:19" x14ac:dyDescent="0.2">
      <c r="A341" s="1">
        <v>340</v>
      </c>
      <c r="B341" s="1" t="s">
        <v>768</v>
      </c>
      <c r="C341" s="2">
        <v>42908</v>
      </c>
      <c r="D341" s="1" t="s">
        <v>17</v>
      </c>
      <c r="E341" s="1" t="s">
        <v>582</v>
      </c>
      <c r="F341" s="1" t="s">
        <v>769</v>
      </c>
      <c r="G341" s="1" t="s">
        <v>85</v>
      </c>
      <c r="H341" s="1" t="s">
        <v>31</v>
      </c>
      <c r="I341" s="1" t="s">
        <v>32</v>
      </c>
      <c r="J341" s="1" t="s">
        <v>180</v>
      </c>
      <c r="K341" s="1" t="s">
        <v>770</v>
      </c>
      <c r="L341" s="17">
        <v>4.96</v>
      </c>
      <c r="M341" s="1">
        <v>4</v>
      </c>
      <c r="N341" s="1">
        <v>0</v>
      </c>
      <c r="O341" s="17">
        <v>2.3311999999999999</v>
      </c>
      <c r="P341" s="17">
        <f>('Work File (2)'!$L341*'Work File (2)'!$M341)*(1-'Work File (2)'!$N341)</f>
        <v>19.84</v>
      </c>
      <c r="Q341" s="1">
        <f>YEAR(Table2[[#This Row],[Order Date]])</f>
        <v>2017</v>
      </c>
      <c r="R341" s="18" t="str">
        <f>TEXT(Table2[[#This Row],[Order Date]],"mmm")</f>
        <v>Jun</v>
      </c>
      <c r="S341" s="18"/>
    </row>
    <row r="342" spans="1:19" x14ac:dyDescent="0.2">
      <c r="A342" s="1">
        <v>341</v>
      </c>
      <c r="B342" s="1" t="s">
        <v>771</v>
      </c>
      <c r="C342" s="2">
        <v>42473</v>
      </c>
      <c r="D342" s="1" t="s">
        <v>17</v>
      </c>
      <c r="E342" s="1" t="s">
        <v>375</v>
      </c>
      <c r="F342" s="1" t="s">
        <v>101</v>
      </c>
      <c r="G342" s="1" t="s">
        <v>102</v>
      </c>
      <c r="H342" s="1" t="s">
        <v>103</v>
      </c>
      <c r="I342" s="1" t="s">
        <v>32</v>
      </c>
      <c r="J342" s="1" t="s">
        <v>48</v>
      </c>
      <c r="K342" s="1" t="s">
        <v>772</v>
      </c>
      <c r="L342" s="17">
        <v>17.856000000000002</v>
      </c>
      <c r="M342" s="1">
        <v>4</v>
      </c>
      <c r="N342" s="1">
        <v>0.2</v>
      </c>
      <c r="O342" s="17">
        <v>1.1159999999999979</v>
      </c>
      <c r="P342" s="17">
        <f>('Work File (2)'!$L342*'Work File (2)'!$M342)*(1-'Work File (2)'!$N342)</f>
        <v>57.13920000000001</v>
      </c>
      <c r="Q342" s="1">
        <f>YEAR(Table2[[#This Row],[Order Date]])</f>
        <v>2016</v>
      </c>
      <c r="R342" s="18" t="str">
        <f>TEXT(Table2[[#This Row],[Order Date]],"mmm")</f>
        <v>Apr</v>
      </c>
      <c r="S342" s="18"/>
    </row>
    <row r="343" spans="1:19" x14ac:dyDescent="0.2">
      <c r="A343" s="1">
        <v>342</v>
      </c>
      <c r="B343" s="1" t="s">
        <v>771</v>
      </c>
      <c r="C343" s="2">
        <v>42473</v>
      </c>
      <c r="D343" s="1" t="s">
        <v>17</v>
      </c>
      <c r="E343" s="1" t="s">
        <v>375</v>
      </c>
      <c r="F343" s="1" t="s">
        <v>101</v>
      </c>
      <c r="G343" s="1" t="s">
        <v>102</v>
      </c>
      <c r="H343" s="1" t="s">
        <v>103</v>
      </c>
      <c r="I343" s="1" t="s">
        <v>32</v>
      </c>
      <c r="J343" s="1" t="s">
        <v>53</v>
      </c>
      <c r="K343" s="1" t="s">
        <v>69</v>
      </c>
      <c r="L343" s="17">
        <v>509.97000000000008</v>
      </c>
      <c r="M343" s="1">
        <v>10</v>
      </c>
      <c r="N343" s="1">
        <v>0.7</v>
      </c>
      <c r="O343" s="17">
        <v>-407.97599999999989</v>
      </c>
      <c r="P343" s="17">
        <f>('Work File (2)'!$L343*'Work File (2)'!$M343)*(1-'Work File (2)'!$N343)</f>
        <v>1529.9100000000005</v>
      </c>
      <c r="Q343" s="1">
        <f>YEAR(Table2[[#This Row],[Order Date]])</f>
        <v>2016</v>
      </c>
      <c r="R343" s="18" t="str">
        <f>TEXT(Table2[[#This Row],[Order Date]],"mmm")</f>
        <v>Apr</v>
      </c>
      <c r="S343" s="18"/>
    </row>
    <row r="344" spans="1:19" x14ac:dyDescent="0.2">
      <c r="A344" s="1">
        <v>343</v>
      </c>
      <c r="B344" s="1" t="s">
        <v>771</v>
      </c>
      <c r="C344" s="2">
        <v>42473</v>
      </c>
      <c r="D344" s="1" t="s">
        <v>17</v>
      </c>
      <c r="E344" s="1" t="s">
        <v>375</v>
      </c>
      <c r="F344" s="1" t="s">
        <v>101</v>
      </c>
      <c r="G344" s="1" t="s">
        <v>102</v>
      </c>
      <c r="H344" s="1" t="s">
        <v>103</v>
      </c>
      <c r="I344" s="1" t="s">
        <v>32</v>
      </c>
      <c r="J344" s="1" t="s">
        <v>180</v>
      </c>
      <c r="K344" s="1" t="s">
        <v>363</v>
      </c>
      <c r="L344" s="17">
        <v>30.991999999999997</v>
      </c>
      <c r="M344" s="1">
        <v>13</v>
      </c>
      <c r="N344" s="1">
        <v>0.2</v>
      </c>
      <c r="O344" s="17">
        <v>10.072399999999996</v>
      </c>
      <c r="P344" s="17">
        <f>('Work File (2)'!$L344*'Work File (2)'!$M344)*(1-'Work File (2)'!$N344)</f>
        <v>322.3168</v>
      </c>
      <c r="Q344" s="1">
        <f>YEAR(Table2[[#This Row],[Order Date]])</f>
        <v>2016</v>
      </c>
      <c r="R344" s="18" t="str">
        <f>TEXT(Table2[[#This Row],[Order Date]],"mmm")</f>
        <v>Apr</v>
      </c>
      <c r="S344" s="18"/>
    </row>
    <row r="345" spans="1:19" x14ac:dyDescent="0.2">
      <c r="A345" s="1">
        <v>344</v>
      </c>
      <c r="B345" s="1" t="s">
        <v>771</v>
      </c>
      <c r="C345" s="2">
        <v>42473</v>
      </c>
      <c r="D345" s="1" t="s">
        <v>17</v>
      </c>
      <c r="E345" s="1" t="s">
        <v>375</v>
      </c>
      <c r="F345" s="1" t="s">
        <v>101</v>
      </c>
      <c r="G345" s="1" t="s">
        <v>102</v>
      </c>
      <c r="H345" s="1" t="s">
        <v>103</v>
      </c>
      <c r="I345" s="1" t="s">
        <v>50</v>
      </c>
      <c r="J345" s="1" t="s">
        <v>51</v>
      </c>
      <c r="K345" s="1" t="s">
        <v>773</v>
      </c>
      <c r="L345" s="17">
        <v>71.927999999999997</v>
      </c>
      <c r="M345" s="1">
        <v>12</v>
      </c>
      <c r="N345" s="1">
        <v>0.4</v>
      </c>
      <c r="O345" s="17">
        <v>8.3915999999999897</v>
      </c>
      <c r="P345" s="17">
        <f>('Work File (2)'!$L345*'Work File (2)'!$M345)*(1-'Work File (2)'!$N345)</f>
        <v>517.88159999999993</v>
      </c>
      <c r="Q345" s="1">
        <f>YEAR(Table2[[#This Row],[Order Date]])</f>
        <v>2016</v>
      </c>
      <c r="R345" s="18" t="str">
        <f>TEXT(Table2[[#This Row],[Order Date]],"mmm")</f>
        <v>Apr</v>
      </c>
      <c r="S345" s="18"/>
    </row>
    <row r="346" spans="1:19" x14ac:dyDescent="0.2">
      <c r="A346" s="1">
        <v>345</v>
      </c>
      <c r="B346" s="1" t="s">
        <v>774</v>
      </c>
      <c r="C346" s="2">
        <v>43089</v>
      </c>
      <c r="D346" s="1" t="s">
        <v>36</v>
      </c>
      <c r="E346" s="1" t="s">
        <v>447</v>
      </c>
      <c r="F346" s="1" t="s">
        <v>775</v>
      </c>
      <c r="G346" s="1" t="s">
        <v>73</v>
      </c>
      <c r="H346" s="1" t="s">
        <v>74</v>
      </c>
      <c r="I346" s="1" t="s">
        <v>32</v>
      </c>
      <c r="J346" s="1" t="s">
        <v>42</v>
      </c>
      <c r="K346" s="1" t="s">
        <v>86</v>
      </c>
      <c r="L346" s="17">
        <v>88.800000000000011</v>
      </c>
      <c r="M346" s="1">
        <v>4</v>
      </c>
      <c r="N346" s="1">
        <v>0.2</v>
      </c>
      <c r="O346" s="17">
        <v>-2.2200000000000131</v>
      </c>
      <c r="P346" s="17">
        <f>('Work File (2)'!$L346*'Work File (2)'!$M346)*(1-'Work File (2)'!$N346)</f>
        <v>284.16000000000003</v>
      </c>
      <c r="Q346" s="1">
        <f>YEAR(Table2[[#This Row],[Order Date]])</f>
        <v>2017</v>
      </c>
      <c r="R346" s="18" t="str">
        <f>TEXT(Table2[[#This Row],[Order Date]],"mmm")</f>
        <v>Dec</v>
      </c>
      <c r="S346" s="18"/>
    </row>
    <row r="347" spans="1:19" x14ac:dyDescent="0.2">
      <c r="A347" s="1">
        <v>346</v>
      </c>
      <c r="B347" s="1" t="s">
        <v>776</v>
      </c>
      <c r="C347" s="2">
        <v>43631</v>
      </c>
      <c r="D347" s="1" t="s">
        <v>36</v>
      </c>
      <c r="E347" s="1" t="s">
        <v>777</v>
      </c>
      <c r="F347" s="1" t="s">
        <v>89</v>
      </c>
      <c r="G347" s="1" t="s">
        <v>30</v>
      </c>
      <c r="H347" s="1" t="s">
        <v>31</v>
      </c>
      <c r="I347" s="1" t="s">
        <v>50</v>
      </c>
      <c r="J347" s="1" t="s">
        <v>51</v>
      </c>
      <c r="K347" s="1" t="s">
        <v>361</v>
      </c>
      <c r="L347" s="17">
        <v>47.975999999999999</v>
      </c>
      <c r="M347" s="1">
        <v>3</v>
      </c>
      <c r="N347" s="1">
        <v>0.2</v>
      </c>
      <c r="O347" s="17">
        <v>4.7976000000000028</v>
      </c>
      <c r="P347" s="17">
        <f>('Work File (2)'!$L347*'Work File (2)'!$M347)*(1-'Work File (2)'!$N347)</f>
        <v>115.14240000000001</v>
      </c>
      <c r="Q347" s="1">
        <f>YEAR(Table2[[#This Row],[Order Date]])</f>
        <v>2019</v>
      </c>
      <c r="R347" s="18" t="str">
        <f>TEXT(Table2[[#This Row],[Order Date]],"mmm")</f>
        <v>Jun</v>
      </c>
      <c r="S347" s="18"/>
    </row>
    <row r="348" spans="1:19" x14ac:dyDescent="0.2">
      <c r="A348" s="1">
        <v>347</v>
      </c>
      <c r="B348" s="1" t="s">
        <v>778</v>
      </c>
      <c r="C348" s="2">
        <v>43654</v>
      </c>
      <c r="D348" s="1" t="s">
        <v>36</v>
      </c>
      <c r="E348" s="1" t="s">
        <v>779</v>
      </c>
      <c r="F348" s="1" t="s">
        <v>780</v>
      </c>
      <c r="G348" s="1" t="s">
        <v>781</v>
      </c>
      <c r="H348" s="1" t="s">
        <v>103</v>
      </c>
      <c r="I348" s="1" t="s">
        <v>32</v>
      </c>
      <c r="J348" s="1" t="s">
        <v>48</v>
      </c>
      <c r="K348" s="1" t="s">
        <v>500</v>
      </c>
      <c r="L348" s="17">
        <v>7.5600000000000005</v>
      </c>
      <c r="M348" s="1">
        <v>3</v>
      </c>
      <c r="N348" s="1">
        <v>0</v>
      </c>
      <c r="O348" s="17">
        <v>3.0996000000000006</v>
      </c>
      <c r="P348" s="17">
        <f>('Work File (2)'!$L348*'Work File (2)'!$M348)*(1-'Work File (2)'!$N348)</f>
        <v>22.68</v>
      </c>
      <c r="Q348" s="1">
        <f>YEAR(Table2[[#This Row],[Order Date]])</f>
        <v>2019</v>
      </c>
      <c r="R348" s="18" t="str">
        <f>TEXT(Table2[[#This Row],[Order Date]],"mmm")</f>
        <v>Jul</v>
      </c>
      <c r="S348" s="18"/>
    </row>
    <row r="349" spans="1:19" x14ac:dyDescent="0.2">
      <c r="A349" s="1">
        <v>348</v>
      </c>
      <c r="B349" s="1" t="s">
        <v>778</v>
      </c>
      <c r="C349" s="2">
        <v>43654</v>
      </c>
      <c r="D349" s="1" t="s">
        <v>36</v>
      </c>
      <c r="E349" s="1" t="s">
        <v>779</v>
      </c>
      <c r="F349" s="1" t="s">
        <v>780</v>
      </c>
      <c r="G349" s="1" t="s">
        <v>781</v>
      </c>
      <c r="H349" s="1" t="s">
        <v>103</v>
      </c>
      <c r="I349" s="1" t="s">
        <v>32</v>
      </c>
      <c r="J349" s="1" t="s">
        <v>63</v>
      </c>
      <c r="K349" s="1" t="s">
        <v>126</v>
      </c>
      <c r="L349" s="17">
        <v>24.56</v>
      </c>
      <c r="M349" s="1">
        <v>2</v>
      </c>
      <c r="N349" s="1">
        <v>0</v>
      </c>
      <c r="O349" s="17">
        <v>11.543199999999999</v>
      </c>
      <c r="P349" s="17">
        <f>('Work File (2)'!$L349*'Work File (2)'!$M349)*(1-'Work File (2)'!$N349)</f>
        <v>49.12</v>
      </c>
      <c r="Q349" s="1">
        <f>YEAR(Table2[[#This Row],[Order Date]])</f>
        <v>2019</v>
      </c>
      <c r="R349" s="18" t="str">
        <f>TEXT(Table2[[#This Row],[Order Date]],"mmm")</f>
        <v>Jul</v>
      </c>
      <c r="S349" s="18"/>
    </row>
    <row r="350" spans="1:19" x14ac:dyDescent="0.2">
      <c r="A350" s="1">
        <v>349</v>
      </c>
      <c r="B350" s="1" t="s">
        <v>778</v>
      </c>
      <c r="C350" s="2">
        <v>43654</v>
      </c>
      <c r="D350" s="1" t="s">
        <v>36</v>
      </c>
      <c r="E350" s="1" t="s">
        <v>779</v>
      </c>
      <c r="F350" s="1" t="s">
        <v>780</v>
      </c>
      <c r="G350" s="1" t="s">
        <v>781</v>
      </c>
      <c r="H350" s="1" t="s">
        <v>103</v>
      </c>
      <c r="I350" s="1" t="s">
        <v>32</v>
      </c>
      <c r="J350" s="1" t="s">
        <v>48</v>
      </c>
      <c r="K350" s="1" t="s">
        <v>782</v>
      </c>
      <c r="L350" s="17">
        <v>12.96</v>
      </c>
      <c r="M350" s="1">
        <v>2</v>
      </c>
      <c r="N350" s="1">
        <v>0</v>
      </c>
      <c r="O350" s="17">
        <v>4.1471999999999998</v>
      </c>
      <c r="P350" s="17">
        <f>('Work File (2)'!$L350*'Work File (2)'!$M350)*(1-'Work File (2)'!$N350)</f>
        <v>25.92</v>
      </c>
      <c r="Q350" s="1">
        <f>YEAR(Table2[[#This Row],[Order Date]])</f>
        <v>2019</v>
      </c>
      <c r="R350" s="18" t="str">
        <f>TEXT(Table2[[#This Row],[Order Date]],"mmm")</f>
        <v>Jul</v>
      </c>
      <c r="S350" s="18"/>
    </row>
    <row r="351" spans="1:19" x14ac:dyDescent="0.2">
      <c r="A351" s="1">
        <v>350</v>
      </c>
      <c r="B351" s="1" t="s">
        <v>783</v>
      </c>
      <c r="C351" s="2">
        <v>43344</v>
      </c>
      <c r="D351" s="1" t="s">
        <v>128</v>
      </c>
      <c r="E351" s="1" t="s">
        <v>784</v>
      </c>
      <c r="F351" s="1" t="s">
        <v>178</v>
      </c>
      <c r="G351" s="1" t="s">
        <v>179</v>
      </c>
      <c r="H351" s="1" t="s">
        <v>103</v>
      </c>
      <c r="I351" s="1" t="s">
        <v>50</v>
      </c>
      <c r="J351" s="1" t="s">
        <v>111</v>
      </c>
      <c r="K351" s="1" t="s">
        <v>612</v>
      </c>
      <c r="L351" s="17">
        <v>6.79</v>
      </c>
      <c r="M351" s="1">
        <v>1</v>
      </c>
      <c r="N351" s="1">
        <v>0</v>
      </c>
      <c r="O351" s="17">
        <v>2.3086000000000002</v>
      </c>
      <c r="P351" s="17">
        <f>('Work File (2)'!$L351*'Work File (2)'!$M351)*(1-'Work File (2)'!$N351)</f>
        <v>6.79</v>
      </c>
      <c r="Q351" s="1">
        <f>YEAR(Table2[[#This Row],[Order Date]])</f>
        <v>2018</v>
      </c>
      <c r="R351" s="18" t="str">
        <f>TEXT(Table2[[#This Row],[Order Date]],"mmm")</f>
        <v>Sep</v>
      </c>
      <c r="S351" s="18"/>
    </row>
    <row r="352" spans="1:19" x14ac:dyDescent="0.2">
      <c r="A352" s="1">
        <v>351</v>
      </c>
      <c r="B352" s="1" t="s">
        <v>783</v>
      </c>
      <c r="C352" s="2">
        <v>43344</v>
      </c>
      <c r="D352" s="1" t="s">
        <v>128</v>
      </c>
      <c r="E352" s="1" t="s">
        <v>784</v>
      </c>
      <c r="F352" s="1" t="s">
        <v>178</v>
      </c>
      <c r="G352" s="1" t="s">
        <v>179</v>
      </c>
      <c r="H352" s="1" t="s">
        <v>103</v>
      </c>
      <c r="I352" s="1" t="s">
        <v>32</v>
      </c>
      <c r="J352" s="1" t="s">
        <v>63</v>
      </c>
      <c r="K352" s="1" t="s">
        <v>785</v>
      </c>
      <c r="L352" s="17">
        <v>24.56</v>
      </c>
      <c r="M352" s="1">
        <v>2</v>
      </c>
      <c r="N352" s="1">
        <v>0</v>
      </c>
      <c r="O352" s="17">
        <v>11.543199999999999</v>
      </c>
      <c r="P352" s="17">
        <f>('Work File (2)'!$L352*'Work File (2)'!$M352)*(1-'Work File (2)'!$N352)</f>
        <v>49.12</v>
      </c>
      <c r="Q352" s="1">
        <f>YEAR(Table2[[#This Row],[Order Date]])</f>
        <v>2018</v>
      </c>
      <c r="R352" s="18" t="str">
        <f>TEXT(Table2[[#This Row],[Order Date]],"mmm")</f>
        <v>Sep</v>
      </c>
      <c r="S352" s="18"/>
    </row>
    <row r="353" spans="1:19" x14ac:dyDescent="0.2">
      <c r="A353" s="1">
        <v>352</v>
      </c>
      <c r="B353" s="1" t="s">
        <v>783</v>
      </c>
      <c r="C353" s="2">
        <v>43344</v>
      </c>
      <c r="D353" s="1" t="s">
        <v>128</v>
      </c>
      <c r="E353" s="1" t="s">
        <v>784</v>
      </c>
      <c r="F353" s="1" t="s">
        <v>178</v>
      </c>
      <c r="G353" s="1" t="s">
        <v>179</v>
      </c>
      <c r="H353" s="1" t="s">
        <v>103</v>
      </c>
      <c r="I353" s="1" t="s">
        <v>32</v>
      </c>
      <c r="J353" s="1" t="s">
        <v>53</v>
      </c>
      <c r="K353" s="1" t="s">
        <v>786</v>
      </c>
      <c r="L353" s="17">
        <v>3.048</v>
      </c>
      <c r="M353" s="1">
        <v>1</v>
      </c>
      <c r="N353" s="1">
        <v>0.2</v>
      </c>
      <c r="O353" s="17">
        <v>1.0668</v>
      </c>
      <c r="P353" s="17">
        <f>('Work File (2)'!$L353*'Work File (2)'!$M353)*(1-'Work File (2)'!$N353)</f>
        <v>2.4384000000000001</v>
      </c>
      <c r="Q353" s="1">
        <f>YEAR(Table2[[#This Row],[Order Date]])</f>
        <v>2018</v>
      </c>
      <c r="R353" s="18" t="str">
        <f>TEXT(Table2[[#This Row],[Order Date]],"mmm")</f>
        <v>Sep</v>
      </c>
      <c r="S353" s="18"/>
    </row>
    <row r="354" spans="1:19" x14ac:dyDescent="0.2">
      <c r="A354" s="1">
        <v>353</v>
      </c>
      <c r="B354" s="1" t="s">
        <v>783</v>
      </c>
      <c r="C354" s="2">
        <v>43344</v>
      </c>
      <c r="D354" s="1" t="s">
        <v>128</v>
      </c>
      <c r="E354" s="1" t="s">
        <v>784</v>
      </c>
      <c r="F354" s="1" t="s">
        <v>178</v>
      </c>
      <c r="G354" s="1" t="s">
        <v>179</v>
      </c>
      <c r="H354" s="1" t="s">
        <v>103</v>
      </c>
      <c r="I354" s="1" t="s">
        <v>32</v>
      </c>
      <c r="J354" s="1" t="s">
        <v>63</v>
      </c>
      <c r="K354" s="1" t="s">
        <v>785</v>
      </c>
      <c r="L354" s="17">
        <v>49.12</v>
      </c>
      <c r="M354" s="1">
        <v>4</v>
      </c>
      <c r="N354" s="1">
        <v>0</v>
      </c>
      <c r="O354" s="17">
        <v>23.086399999999998</v>
      </c>
      <c r="P354" s="17">
        <f>('Work File (2)'!$L354*'Work File (2)'!$M354)*(1-'Work File (2)'!$N354)</f>
        <v>196.48</v>
      </c>
      <c r="Q354" s="1">
        <f>YEAR(Table2[[#This Row],[Order Date]])</f>
        <v>2018</v>
      </c>
      <c r="R354" s="18" t="str">
        <f>TEXT(Table2[[#This Row],[Order Date]],"mmm")</f>
        <v>Sep</v>
      </c>
      <c r="S354" s="18"/>
    </row>
    <row r="355" spans="1:19" x14ac:dyDescent="0.2">
      <c r="A355" s="1">
        <v>354</v>
      </c>
      <c r="B355" s="1" t="s">
        <v>783</v>
      </c>
      <c r="C355" s="2">
        <v>43344</v>
      </c>
      <c r="D355" s="1" t="s">
        <v>128</v>
      </c>
      <c r="E355" s="1" t="s">
        <v>784</v>
      </c>
      <c r="F355" s="1" t="s">
        <v>178</v>
      </c>
      <c r="G355" s="1" t="s">
        <v>179</v>
      </c>
      <c r="H355" s="1" t="s">
        <v>103</v>
      </c>
      <c r="I355" s="1" t="s">
        <v>32</v>
      </c>
      <c r="J355" s="1" t="s">
        <v>53</v>
      </c>
      <c r="K355" s="1" t="s">
        <v>787</v>
      </c>
      <c r="L355" s="17">
        <v>4355.1680000000006</v>
      </c>
      <c r="M355" s="1">
        <v>4</v>
      </c>
      <c r="N355" s="1">
        <v>0.2</v>
      </c>
      <c r="O355" s="17">
        <v>1415.4295999999997</v>
      </c>
      <c r="P355" s="17">
        <f>('Work File (2)'!$L355*'Work File (2)'!$M355)*(1-'Work File (2)'!$N355)</f>
        <v>13936.537600000003</v>
      </c>
      <c r="Q355" s="1">
        <f>YEAR(Table2[[#This Row],[Order Date]])</f>
        <v>2018</v>
      </c>
      <c r="R355" s="18" t="str">
        <f>TEXT(Table2[[#This Row],[Order Date]],"mmm")</f>
        <v>Sep</v>
      </c>
      <c r="S355" s="18"/>
    </row>
    <row r="356" spans="1:19" x14ac:dyDescent="0.2">
      <c r="A356" s="1">
        <v>355</v>
      </c>
      <c r="B356" s="1" t="s">
        <v>788</v>
      </c>
      <c r="C356" s="2">
        <v>43198</v>
      </c>
      <c r="D356" s="1" t="s">
        <v>36</v>
      </c>
      <c r="E356" s="1" t="s">
        <v>789</v>
      </c>
      <c r="F356" s="1" t="s">
        <v>178</v>
      </c>
      <c r="G356" s="1" t="s">
        <v>179</v>
      </c>
      <c r="H356" s="1" t="s">
        <v>103</v>
      </c>
      <c r="I356" s="1" t="s">
        <v>22</v>
      </c>
      <c r="J356" s="1" t="s">
        <v>23</v>
      </c>
      <c r="K356" s="1" t="s">
        <v>790</v>
      </c>
      <c r="L356" s="17">
        <v>388.70400000000006</v>
      </c>
      <c r="M356" s="1">
        <v>6</v>
      </c>
      <c r="N356" s="1">
        <v>0.2</v>
      </c>
      <c r="O356" s="17">
        <v>-4.8588000000000022</v>
      </c>
      <c r="P356" s="17">
        <f>('Work File (2)'!$L356*'Work File (2)'!$M356)*(1-'Work File (2)'!$N356)</f>
        <v>1865.7792000000002</v>
      </c>
      <c r="Q356" s="1">
        <f>YEAR(Table2[[#This Row],[Order Date]])</f>
        <v>2018</v>
      </c>
      <c r="R356" s="18" t="str">
        <f>TEXT(Table2[[#This Row],[Order Date]],"mmm")</f>
        <v>Apr</v>
      </c>
      <c r="S356" s="18"/>
    </row>
    <row r="357" spans="1:19" x14ac:dyDescent="0.2">
      <c r="A357" s="1">
        <v>356</v>
      </c>
      <c r="B357" s="1" t="s">
        <v>788</v>
      </c>
      <c r="C357" s="2">
        <v>43198</v>
      </c>
      <c r="D357" s="1" t="s">
        <v>36</v>
      </c>
      <c r="E357" s="1" t="s">
        <v>789</v>
      </c>
      <c r="F357" s="1" t="s">
        <v>178</v>
      </c>
      <c r="G357" s="1" t="s">
        <v>179</v>
      </c>
      <c r="H357" s="1" t="s">
        <v>103</v>
      </c>
      <c r="I357" s="1" t="s">
        <v>32</v>
      </c>
      <c r="J357" s="1" t="s">
        <v>118</v>
      </c>
      <c r="K357" s="1" t="s">
        <v>791</v>
      </c>
      <c r="L357" s="17">
        <v>8.26</v>
      </c>
      <c r="M357" s="1">
        <v>2</v>
      </c>
      <c r="N357" s="1">
        <v>0</v>
      </c>
      <c r="O357" s="17">
        <v>3.7995999999999999</v>
      </c>
      <c r="P357" s="17">
        <f>('Work File (2)'!$L357*'Work File (2)'!$M357)*(1-'Work File (2)'!$N357)</f>
        <v>16.52</v>
      </c>
      <c r="Q357" s="1">
        <f>YEAR(Table2[[#This Row],[Order Date]])</f>
        <v>2018</v>
      </c>
      <c r="R357" s="18" t="str">
        <f>TEXT(Table2[[#This Row],[Order Date]],"mmm")</f>
        <v>Apr</v>
      </c>
      <c r="S357" s="18"/>
    </row>
    <row r="358" spans="1:19" x14ac:dyDescent="0.2">
      <c r="A358" s="1">
        <v>357</v>
      </c>
      <c r="B358" s="1" t="s">
        <v>788</v>
      </c>
      <c r="C358" s="2">
        <v>43198</v>
      </c>
      <c r="D358" s="1" t="s">
        <v>36</v>
      </c>
      <c r="E358" s="1" t="s">
        <v>789</v>
      </c>
      <c r="F358" s="1" t="s">
        <v>178</v>
      </c>
      <c r="G358" s="1" t="s">
        <v>179</v>
      </c>
      <c r="H358" s="1" t="s">
        <v>103</v>
      </c>
      <c r="I358" s="1" t="s">
        <v>32</v>
      </c>
      <c r="J358" s="1" t="s">
        <v>48</v>
      </c>
      <c r="K358" s="1" t="s">
        <v>792</v>
      </c>
      <c r="L358" s="17">
        <v>17.04</v>
      </c>
      <c r="M358" s="1">
        <v>4</v>
      </c>
      <c r="N358" s="1">
        <v>0</v>
      </c>
      <c r="O358" s="17">
        <v>6.9863999999999997</v>
      </c>
      <c r="P358" s="17">
        <f>('Work File (2)'!$L358*'Work File (2)'!$M358)*(1-'Work File (2)'!$N358)</f>
        <v>68.16</v>
      </c>
      <c r="Q358" s="1">
        <f>YEAR(Table2[[#This Row],[Order Date]])</f>
        <v>2018</v>
      </c>
      <c r="R358" s="18" t="str">
        <f>TEXT(Table2[[#This Row],[Order Date]],"mmm")</f>
        <v>Apr</v>
      </c>
      <c r="S358" s="18"/>
    </row>
    <row r="359" spans="1:19" x14ac:dyDescent="0.2">
      <c r="A359" s="1">
        <v>358</v>
      </c>
      <c r="B359" s="1" t="s">
        <v>788</v>
      </c>
      <c r="C359" s="2">
        <v>43198</v>
      </c>
      <c r="D359" s="1" t="s">
        <v>36</v>
      </c>
      <c r="E359" s="1" t="s">
        <v>789</v>
      </c>
      <c r="F359" s="1" t="s">
        <v>178</v>
      </c>
      <c r="G359" s="1" t="s">
        <v>179</v>
      </c>
      <c r="H359" s="1" t="s">
        <v>103</v>
      </c>
      <c r="I359" s="1" t="s">
        <v>32</v>
      </c>
      <c r="J359" s="1" t="s">
        <v>63</v>
      </c>
      <c r="K359" s="1" t="s">
        <v>793</v>
      </c>
      <c r="L359" s="17">
        <v>34.4</v>
      </c>
      <c r="M359" s="1">
        <v>5</v>
      </c>
      <c r="N359" s="1">
        <v>0</v>
      </c>
      <c r="O359" s="17">
        <v>15.823999999999998</v>
      </c>
      <c r="P359" s="17">
        <f>('Work File (2)'!$L359*'Work File (2)'!$M359)*(1-'Work File (2)'!$N359)</f>
        <v>172</v>
      </c>
      <c r="Q359" s="1">
        <f>YEAR(Table2[[#This Row],[Order Date]])</f>
        <v>2018</v>
      </c>
      <c r="R359" s="18" t="str">
        <f>TEXT(Table2[[#This Row],[Order Date]],"mmm")</f>
        <v>Apr</v>
      </c>
      <c r="S359" s="18"/>
    </row>
    <row r="360" spans="1:19" x14ac:dyDescent="0.2">
      <c r="A360" s="1">
        <v>359</v>
      </c>
      <c r="B360" s="1" t="s">
        <v>794</v>
      </c>
      <c r="C360" s="2">
        <v>43213</v>
      </c>
      <c r="D360" s="1" t="s">
        <v>36</v>
      </c>
      <c r="E360" s="1" t="s">
        <v>524</v>
      </c>
      <c r="F360" s="1" t="s">
        <v>304</v>
      </c>
      <c r="G360" s="1" t="s">
        <v>62</v>
      </c>
      <c r="H360" s="1" t="s">
        <v>21</v>
      </c>
      <c r="I360" s="1" t="s">
        <v>32</v>
      </c>
      <c r="J360" s="1" t="s">
        <v>63</v>
      </c>
      <c r="K360" s="1" t="s">
        <v>513</v>
      </c>
      <c r="L360" s="17">
        <v>36.240000000000009</v>
      </c>
      <c r="M360" s="1">
        <v>5</v>
      </c>
      <c r="N360" s="1">
        <v>0.2</v>
      </c>
      <c r="O360" s="17">
        <v>11.324999999999996</v>
      </c>
      <c r="P360" s="17">
        <f>('Work File (2)'!$L360*'Work File (2)'!$M360)*(1-'Work File (2)'!$N360)</f>
        <v>144.96000000000004</v>
      </c>
      <c r="Q360" s="1">
        <f>YEAR(Table2[[#This Row],[Order Date]])</f>
        <v>2018</v>
      </c>
      <c r="R360" s="18" t="str">
        <f>TEXT(Table2[[#This Row],[Order Date]],"mmm")</f>
        <v>Apr</v>
      </c>
      <c r="S360" s="18"/>
    </row>
    <row r="361" spans="1:19" x14ac:dyDescent="0.2">
      <c r="A361" s="1">
        <v>360</v>
      </c>
      <c r="B361" s="1" t="s">
        <v>795</v>
      </c>
      <c r="C361" s="2">
        <v>43532</v>
      </c>
      <c r="D361" s="1" t="s">
        <v>128</v>
      </c>
      <c r="E361" s="1" t="s">
        <v>796</v>
      </c>
      <c r="F361" s="1" t="s">
        <v>323</v>
      </c>
      <c r="G361" s="1" t="s">
        <v>797</v>
      </c>
      <c r="H361" s="1" t="s">
        <v>21</v>
      </c>
      <c r="I361" s="1" t="s">
        <v>32</v>
      </c>
      <c r="J361" s="1" t="s">
        <v>55</v>
      </c>
      <c r="K361" s="1" t="s">
        <v>798</v>
      </c>
      <c r="L361" s="17">
        <v>647.84</v>
      </c>
      <c r="M361" s="1">
        <v>8</v>
      </c>
      <c r="N361" s="1">
        <v>0</v>
      </c>
      <c r="O361" s="17">
        <v>168.4384</v>
      </c>
      <c r="P361" s="17">
        <f>('Work File (2)'!$L361*'Work File (2)'!$M361)*(1-'Work File (2)'!$N361)</f>
        <v>5182.72</v>
      </c>
      <c r="Q361" s="1">
        <f>YEAR(Table2[[#This Row],[Order Date]])</f>
        <v>2019</v>
      </c>
      <c r="R361" s="18" t="str">
        <f>TEXT(Table2[[#This Row],[Order Date]],"mmm")</f>
        <v>Mar</v>
      </c>
      <c r="S361" s="18"/>
    </row>
    <row r="362" spans="1:19" x14ac:dyDescent="0.2">
      <c r="A362" s="1">
        <v>361</v>
      </c>
      <c r="B362" s="1" t="s">
        <v>795</v>
      </c>
      <c r="C362" s="2">
        <v>43532</v>
      </c>
      <c r="D362" s="1" t="s">
        <v>128</v>
      </c>
      <c r="E362" s="1" t="s">
        <v>796</v>
      </c>
      <c r="F362" s="1" t="s">
        <v>323</v>
      </c>
      <c r="G362" s="1" t="s">
        <v>797</v>
      </c>
      <c r="H362" s="1" t="s">
        <v>21</v>
      </c>
      <c r="I362" s="1" t="s">
        <v>32</v>
      </c>
      <c r="J362" s="1" t="s">
        <v>33</v>
      </c>
      <c r="K362" s="1" t="s">
        <v>799</v>
      </c>
      <c r="L362" s="17">
        <v>20.7</v>
      </c>
      <c r="M362" s="1">
        <v>2</v>
      </c>
      <c r="N362" s="1">
        <v>0</v>
      </c>
      <c r="O362" s="17">
        <v>9.9359999999999999</v>
      </c>
      <c r="P362" s="17">
        <f>('Work File (2)'!$L362*'Work File (2)'!$M362)*(1-'Work File (2)'!$N362)</f>
        <v>41.4</v>
      </c>
      <c r="Q362" s="1">
        <f>YEAR(Table2[[#This Row],[Order Date]])</f>
        <v>2019</v>
      </c>
      <c r="R362" s="18" t="str">
        <f>TEXT(Table2[[#This Row],[Order Date]],"mmm")</f>
        <v>Mar</v>
      </c>
      <c r="S362" s="18"/>
    </row>
    <row r="363" spans="1:19" x14ac:dyDescent="0.2">
      <c r="A363" s="1">
        <v>362</v>
      </c>
      <c r="B363" s="1" t="s">
        <v>800</v>
      </c>
      <c r="C363" s="2">
        <v>43733</v>
      </c>
      <c r="D363" s="1" t="s">
        <v>36</v>
      </c>
      <c r="E363" s="1" t="s">
        <v>801</v>
      </c>
      <c r="F363" s="1" t="s">
        <v>178</v>
      </c>
      <c r="G363" s="1" t="s">
        <v>179</v>
      </c>
      <c r="H363" s="1" t="s">
        <v>103</v>
      </c>
      <c r="I363" s="1" t="s">
        <v>32</v>
      </c>
      <c r="J363" s="1" t="s">
        <v>33</v>
      </c>
      <c r="K363" s="1" t="s">
        <v>799</v>
      </c>
      <c r="L363" s="17">
        <v>20.7</v>
      </c>
      <c r="M363" s="1">
        <v>2</v>
      </c>
      <c r="N363" s="1">
        <v>0</v>
      </c>
      <c r="O363" s="17">
        <v>9.9359999999999999</v>
      </c>
      <c r="P363" s="17">
        <f>('Work File (2)'!$L363*'Work File (2)'!$M363)*(1-'Work File (2)'!$N363)</f>
        <v>41.4</v>
      </c>
      <c r="Q363" s="1">
        <f>YEAR(Table2[[#This Row],[Order Date]])</f>
        <v>2019</v>
      </c>
      <c r="R363" s="18" t="str">
        <f>TEXT(Table2[[#This Row],[Order Date]],"mmm")</f>
        <v>Sep</v>
      </c>
      <c r="S363" s="18"/>
    </row>
    <row r="364" spans="1:19" x14ac:dyDescent="0.2">
      <c r="A364" s="1">
        <v>363</v>
      </c>
      <c r="B364" s="1" t="s">
        <v>800</v>
      </c>
      <c r="C364" s="2">
        <v>43733</v>
      </c>
      <c r="D364" s="1" t="s">
        <v>36</v>
      </c>
      <c r="E364" s="1" t="s">
        <v>801</v>
      </c>
      <c r="F364" s="1" t="s">
        <v>178</v>
      </c>
      <c r="G364" s="1" t="s">
        <v>179</v>
      </c>
      <c r="H364" s="1" t="s">
        <v>103</v>
      </c>
      <c r="I364" s="1" t="s">
        <v>22</v>
      </c>
      <c r="J364" s="1" t="s">
        <v>25</v>
      </c>
      <c r="K364" s="1" t="s">
        <v>802</v>
      </c>
      <c r="L364" s="17">
        <v>488.64600000000002</v>
      </c>
      <c r="M364" s="1">
        <v>3</v>
      </c>
      <c r="N364" s="1">
        <v>0.1</v>
      </c>
      <c r="O364" s="17">
        <v>86.870400000000004</v>
      </c>
      <c r="P364" s="17">
        <f>('Work File (2)'!$L364*'Work File (2)'!$M364)*(1-'Work File (2)'!$N364)</f>
        <v>1319.3442000000002</v>
      </c>
      <c r="Q364" s="1">
        <f>YEAR(Table2[[#This Row],[Order Date]])</f>
        <v>2019</v>
      </c>
      <c r="R364" s="18" t="str">
        <f>TEXT(Table2[[#This Row],[Order Date]],"mmm")</f>
        <v>Sep</v>
      </c>
      <c r="S364" s="18"/>
    </row>
    <row r="365" spans="1:19" x14ac:dyDescent="0.2">
      <c r="A365" s="1">
        <v>364</v>
      </c>
      <c r="B365" s="1" t="s">
        <v>800</v>
      </c>
      <c r="C365" s="2">
        <v>43733</v>
      </c>
      <c r="D365" s="1" t="s">
        <v>36</v>
      </c>
      <c r="E365" s="1" t="s">
        <v>801</v>
      </c>
      <c r="F365" s="1" t="s">
        <v>178</v>
      </c>
      <c r="G365" s="1" t="s">
        <v>179</v>
      </c>
      <c r="H365" s="1" t="s">
        <v>103</v>
      </c>
      <c r="I365" s="1" t="s">
        <v>32</v>
      </c>
      <c r="J365" s="1" t="s">
        <v>48</v>
      </c>
      <c r="K365" s="1" t="s">
        <v>803</v>
      </c>
      <c r="L365" s="17">
        <v>5.56</v>
      </c>
      <c r="M365" s="1">
        <v>2</v>
      </c>
      <c r="N365" s="1">
        <v>0</v>
      </c>
      <c r="O365" s="17">
        <v>1.4455999999999998</v>
      </c>
      <c r="P365" s="17">
        <f>('Work File (2)'!$L365*'Work File (2)'!$M365)*(1-'Work File (2)'!$N365)</f>
        <v>11.12</v>
      </c>
      <c r="Q365" s="1">
        <f>YEAR(Table2[[#This Row],[Order Date]])</f>
        <v>2019</v>
      </c>
      <c r="R365" s="18" t="str">
        <f>TEXT(Table2[[#This Row],[Order Date]],"mmm")</f>
        <v>Sep</v>
      </c>
      <c r="S365" s="18"/>
    </row>
    <row r="366" spans="1:19" x14ac:dyDescent="0.2">
      <c r="A366" s="1">
        <v>365</v>
      </c>
      <c r="B366" s="1" t="s">
        <v>800</v>
      </c>
      <c r="C366" s="2">
        <v>43733</v>
      </c>
      <c r="D366" s="1" t="s">
        <v>36</v>
      </c>
      <c r="E366" s="1" t="s">
        <v>801</v>
      </c>
      <c r="F366" s="1" t="s">
        <v>178</v>
      </c>
      <c r="G366" s="1" t="s">
        <v>179</v>
      </c>
      <c r="H366" s="1" t="s">
        <v>103</v>
      </c>
      <c r="I366" s="1" t="s">
        <v>22</v>
      </c>
      <c r="J366" s="1" t="s">
        <v>46</v>
      </c>
      <c r="K366" s="1" t="s">
        <v>804</v>
      </c>
      <c r="L366" s="17">
        <v>47.12</v>
      </c>
      <c r="M366" s="1">
        <v>8</v>
      </c>
      <c r="N366" s="1">
        <v>0</v>
      </c>
      <c r="O366" s="17">
        <v>20.732800000000001</v>
      </c>
      <c r="P366" s="17">
        <f>('Work File (2)'!$L366*'Work File (2)'!$M366)*(1-'Work File (2)'!$N366)</f>
        <v>376.96</v>
      </c>
      <c r="Q366" s="1">
        <f>YEAR(Table2[[#This Row],[Order Date]])</f>
        <v>2019</v>
      </c>
      <c r="R366" s="18" t="str">
        <f>TEXT(Table2[[#This Row],[Order Date]],"mmm")</f>
        <v>Sep</v>
      </c>
      <c r="S366" s="18"/>
    </row>
    <row r="367" spans="1:19" x14ac:dyDescent="0.2">
      <c r="A367" s="1">
        <v>366</v>
      </c>
      <c r="B367" s="1" t="s">
        <v>805</v>
      </c>
      <c r="C367" s="2">
        <v>42637</v>
      </c>
      <c r="D367" s="1" t="s">
        <v>36</v>
      </c>
      <c r="E367" s="1" t="s">
        <v>806</v>
      </c>
      <c r="F367" s="1" t="s">
        <v>89</v>
      </c>
      <c r="G367" s="1" t="s">
        <v>30</v>
      </c>
      <c r="H367" s="1" t="s">
        <v>31</v>
      </c>
      <c r="I367" s="1" t="s">
        <v>32</v>
      </c>
      <c r="J367" s="1" t="s">
        <v>42</v>
      </c>
      <c r="K367" s="1" t="s">
        <v>161</v>
      </c>
      <c r="L367" s="17">
        <v>211.96</v>
      </c>
      <c r="M367" s="1">
        <v>4</v>
      </c>
      <c r="N367" s="1">
        <v>0</v>
      </c>
      <c r="O367" s="17">
        <v>8.4783999999999935</v>
      </c>
      <c r="P367" s="17">
        <f>('Work File (2)'!$L367*'Work File (2)'!$M367)*(1-'Work File (2)'!$N367)</f>
        <v>847.84</v>
      </c>
      <c r="Q367" s="1">
        <f>YEAR(Table2[[#This Row],[Order Date]])</f>
        <v>2016</v>
      </c>
      <c r="R367" s="18" t="str">
        <f>TEXT(Table2[[#This Row],[Order Date]],"mmm")</f>
        <v>Sep</v>
      </c>
      <c r="S367" s="18"/>
    </row>
    <row r="368" spans="1:19" x14ac:dyDescent="0.2">
      <c r="A368" s="1">
        <v>367</v>
      </c>
      <c r="B368" s="1" t="s">
        <v>807</v>
      </c>
      <c r="C368" s="2">
        <v>43394</v>
      </c>
      <c r="D368" s="1" t="s">
        <v>808</v>
      </c>
      <c r="E368" s="1" t="s">
        <v>809</v>
      </c>
      <c r="F368" s="1" t="s">
        <v>810</v>
      </c>
      <c r="G368" s="1" t="s">
        <v>478</v>
      </c>
      <c r="H368" s="1" t="s">
        <v>103</v>
      </c>
      <c r="I368" s="1" t="s">
        <v>32</v>
      </c>
      <c r="J368" s="1" t="s">
        <v>53</v>
      </c>
      <c r="K368" s="1" t="s">
        <v>811</v>
      </c>
      <c r="L368" s="17">
        <v>23.2</v>
      </c>
      <c r="M368" s="1">
        <v>4</v>
      </c>
      <c r="N368" s="1">
        <v>0</v>
      </c>
      <c r="O368" s="17">
        <v>10.44</v>
      </c>
      <c r="P368" s="17">
        <f>('Work File (2)'!$L368*'Work File (2)'!$M368)*(1-'Work File (2)'!$N368)</f>
        <v>92.8</v>
      </c>
      <c r="Q368" s="1">
        <f>YEAR(Table2[[#This Row],[Order Date]])</f>
        <v>2018</v>
      </c>
      <c r="R368" s="18" t="str">
        <f>TEXT(Table2[[#This Row],[Order Date]],"mmm")</f>
        <v>Oct</v>
      </c>
      <c r="S368" s="18"/>
    </row>
    <row r="369" spans="1:19" x14ac:dyDescent="0.2">
      <c r="A369" s="1">
        <v>368</v>
      </c>
      <c r="B369" s="1" t="s">
        <v>807</v>
      </c>
      <c r="C369" s="2">
        <v>43394</v>
      </c>
      <c r="D369" s="1" t="s">
        <v>808</v>
      </c>
      <c r="E369" s="1" t="s">
        <v>809</v>
      </c>
      <c r="F369" s="1" t="s">
        <v>810</v>
      </c>
      <c r="G369" s="1" t="s">
        <v>478</v>
      </c>
      <c r="H369" s="1" t="s">
        <v>103</v>
      </c>
      <c r="I369" s="1" t="s">
        <v>32</v>
      </c>
      <c r="J369" s="1" t="s">
        <v>372</v>
      </c>
      <c r="K369" s="1" t="s">
        <v>812</v>
      </c>
      <c r="L369" s="17">
        <v>7.36</v>
      </c>
      <c r="M369" s="1">
        <v>2</v>
      </c>
      <c r="N369" s="1">
        <v>0</v>
      </c>
      <c r="O369" s="17">
        <v>0.14719999999999978</v>
      </c>
      <c r="P369" s="17">
        <f>('Work File (2)'!$L369*'Work File (2)'!$M369)*(1-'Work File (2)'!$N369)</f>
        <v>14.72</v>
      </c>
      <c r="Q369" s="1">
        <f>YEAR(Table2[[#This Row],[Order Date]])</f>
        <v>2018</v>
      </c>
      <c r="R369" s="18" t="str">
        <f>TEXT(Table2[[#This Row],[Order Date]],"mmm")</f>
        <v>Oct</v>
      </c>
      <c r="S369" s="18"/>
    </row>
    <row r="370" spans="1:19" x14ac:dyDescent="0.2">
      <c r="A370" s="1">
        <v>369</v>
      </c>
      <c r="B370" s="1" t="s">
        <v>807</v>
      </c>
      <c r="C370" s="2">
        <v>43394</v>
      </c>
      <c r="D370" s="1" t="s">
        <v>808</v>
      </c>
      <c r="E370" s="1" t="s">
        <v>809</v>
      </c>
      <c r="F370" s="1" t="s">
        <v>810</v>
      </c>
      <c r="G370" s="1" t="s">
        <v>478</v>
      </c>
      <c r="H370" s="1" t="s">
        <v>103</v>
      </c>
      <c r="I370" s="1" t="s">
        <v>32</v>
      </c>
      <c r="J370" s="1" t="s">
        <v>42</v>
      </c>
      <c r="K370" s="1" t="s">
        <v>813</v>
      </c>
      <c r="L370" s="17">
        <v>104.79</v>
      </c>
      <c r="M370" s="1">
        <v>7</v>
      </c>
      <c r="N370" s="1">
        <v>0</v>
      </c>
      <c r="O370" s="17">
        <v>29.341200000000008</v>
      </c>
      <c r="P370" s="17">
        <f>('Work File (2)'!$L370*'Work File (2)'!$M370)*(1-'Work File (2)'!$N370)</f>
        <v>733.53000000000009</v>
      </c>
      <c r="Q370" s="1">
        <f>YEAR(Table2[[#This Row],[Order Date]])</f>
        <v>2018</v>
      </c>
      <c r="R370" s="18" t="str">
        <f>TEXT(Table2[[#This Row],[Order Date]],"mmm")</f>
        <v>Oct</v>
      </c>
      <c r="S370" s="18"/>
    </row>
    <row r="371" spans="1:19" x14ac:dyDescent="0.2">
      <c r="A371" s="1">
        <v>370</v>
      </c>
      <c r="B371" s="1" t="s">
        <v>807</v>
      </c>
      <c r="C371" s="2">
        <v>43394</v>
      </c>
      <c r="D371" s="1" t="s">
        <v>808</v>
      </c>
      <c r="E371" s="1" t="s">
        <v>809</v>
      </c>
      <c r="F371" s="1" t="s">
        <v>810</v>
      </c>
      <c r="G371" s="1" t="s">
        <v>478</v>
      </c>
      <c r="H371" s="1" t="s">
        <v>103</v>
      </c>
      <c r="I371" s="1" t="s">
        <v>22</v>
      </c>
      <c r="J371" s="1" t="s">
        <v>23</v>
      </c>
      <c r="K371" s="1" t="s">
        <v>136</v>
      </c>
      <c r="L371" s="17">
        <v>1043.92</v>
      </c>
      <c r="M371" s="1">
        <v>4</v>
      </c>
      <c r="N371" s="1">
        <v>0</v>
      </c>
      <c r="O371" s="17">
        <v>271.41920000000005</v>
      </c>
      <c r="P371" s="17">
        <f>('Work File (2)'!$L371*'Work File (2)'!$M371)*(1-'Work File (2)'!$N371)</f>
        <v>4175.68</v>
      </c>
      <c r="Q371" s="1">
        <f>YEAR(Table2[[#This Row],[Order Date]])</f>
        <v>2018</v>
      </c>
      <c r="R371" s="18" t="str">
        <f>TEXT(Table2[[#This Row],[Order Date]],"mmm")</f>
        <v>Oct</v>
      </c>
      <c r="S371" s="18"/>
    </row>
    <row r="372" spans="1:19" x14ac:dyDescent="0.2">
      <c r="A372" s="1">
        <v>371</v>
      </c>
      <c r="B372" s="1" t="s">
        <v>814</v>
      </c>
      <c r="C372" s="2">
        <v>43614</v>
      </c>
      <c r="D372" s="1" t="s">
        <v>36</v>
      </c>
      <c r="E372" s="1" t="s">
        <v>815</v>
      </c>
      <c r="F372" s="1" t="s">
        <v>816</v>
      </c>
      <c r="G372" s="1" t="s">
        <v>73</v>
      </c>
      <c r="H372" s="1" t="s">
        <v>74</v>
      </c>
      <c r="I372" s="1" t="s">
        <v>32</v>
      </c>
      <c r="J372" s="1" t="s">
        <v>63</v>
      </c>
      <c r="K372" s="1" t="s">
        <v>817</v>
      </c>
      <c r="L372" s="17">
        <v>25.920000000000005</v>
      </c>
      <c r="M372" s="1">
        <v>5</v>
      </c>
      <c r="N372" s="1">
        <v>0.2</v>
      </c>
      <c r="O372" s="17">
        <v>9.3960000000000008</v>
      </c>
      <c r="P372" s="17">
        <f>('Work File (2)'!$L372*'Work File (2)'!$M372)*(1-'Work File (2)'!$N372)</f>
        <v>103.68000000000002</v>
      </c>
      <c r="Q372" s="1">
        <f>YEAR(Table2[[#This Row],[Order Date]])</f>
        <v>2019</v>
      </c>
      <c r="R372" s="18" t="str">
        <f>TEXT(Table2[[#This Row],[Order Date]],"mmm")</f>
        <v>May</v>
      </c>
      <c r="S372" s="18"/>
    </row>
    <row r="373" spans="1:19" x14ac:dyDescent="0.2">
      <c r="A373" s="1">
        <v>372</v>
      </c>
      <c r="B373" s="1" t="s">
        <v>814</v>
      </c>
      <c r="C373" s="2">
        <v>43614</v>
      </c>
      <c r="D373" s="1" t="s">
        <v>36</v>
      </c>
      <c r="E373" s="1" t="s">
        <v>815</v>
      </c>
      <c r="F373" s="1" t="s">
        <v>816</v>
      </c>
      <c r="G373" s="1" t="s">
        <v>73</v>
      </c>
      <c r="H373" s="1" t="s">
        <v>74</v>
      </c>
      <c r="I373" s="1" t="s">
        <v>32</v>
      </c>
      <c r="J373" s="1" t="s">
        <v>42</v>
      </c>
      <c r="K373" s="1" t="s">
        <v>818</v>
      </c>
      <c r="L373" s="17">
        <v>53.424000000000007</v>
      </c>
      <c r="M373" s="1">
        <v>3</v>
      </c>
      <c r="N373" s="1">
        <v>0.2</v>
      </c>
      <c r="O373" s="17">
        <v>4.6746000000000016</v>
      </c>
      <c r="P373" s="17">
        <f>('Work File (2)'!$L373*'Work File (2)'!$M373)*(1-'Work File (2)'!$N373)</f>
        <v>128.21760000000003</v>
      </c>
      <c r="Q373" s="1">
        <f>YEAR(Table2[[#This Row],[Order Date]])</f>
        <v>2019</v>
      </c>
      <c r="R373" s="18" t="str">
        <f>TEXT(Table2[[#This Row],[Order Date]],"mmm")</f>
        <v>May</v>
      </c>
      <c r="S373" s="18"/>
    </row>
    <row r="374" spans="1:19" x14ac:dyDescent="0.2">
      <c r="A374" s="1">
        <v>373</v>
      </c>
      <c r="B374" s="1" t="s">
        <v>819</v>
      </c>
      <c r="C374" s="2">
        <v>42574</v>
      </c>
      <c r="D374" s="1" t="s">
        <v>36</v>
      </c>
      <c r="E374" s="1" t="s">
        <v>820</v>
      </c>
      <c r="F374" s="1" t="s">
        <v>821</v>
      </c>
      <c r="G374" s="1" t="s">
        <v>205</v>
      </c>
      <c r="H374" s="1" t="s">
        <v>31</v>
      </c>
      <c r="I374" s="1" t="s">
        <v>32</v>
      </c>
      <c r="J374" s="1" t="s">
        <v>53</v>
      </c>
      <c r="K374" s="1" t="s">
        <v>757</v>
      </c>
      <c r="L374" s="17">
        <v>8.1600000000000019</v>
      </c>
      <c r="M374" s="1">
        <v>5</v>
      </c>
      <c r="N374" s="1">
        <v>0.7</v>
      </c>
      <c r="O374" s="17">
        <v>-5.7119999999999997</v>
      </c>
      <c r="P374" s="17">
        <f>('Work File (2)'!$L374*'Work File (2)'!$M374)*(1-'Work File (2)'!$N374)</f>
        <v>12.240000000000006</v>
      </c>
      <c r="Q374" s="1">
        <f>YEAR(Table2[[#This Row],[Order Date]])</f>
        <v>2016</v>
      </c>
      <c r="R374" s="18" t="str">
        <f>TEXT(Table2[[#This Row],[Order Date]],"mmm")</f>
        <v>Jul</v>
      </c>
      <c r="S374" s="18"/>
    </row>
    <row r="375" spans="1:19" x14ac:dyDescent="0.2">
      <c r="A375" s="1">
        <v>374</v>
      </c>
      <c r="B375" s="1" t="s">
        <v>819</v>
      </c>
      <c r="C375" s="2">
        <v>42574</v>
      </c>
      <c r="D375" s="1" t="s">
        <v>36</v>
      </c>
      <c r="E375" s="1" t="s">
        <v>820</v>
      </c>
      <c r="F375" s="1" t="s">
        <v>821</v>
      </c>
      <c r="G375" s="1" t="s">
        <v>205</v>
      </c>
      <c r="H375" s="1" t="s">
        <v>31</v>
      </c>
      <c r="I375" s="1" t="s">
        <v>50</v>
      </c>
      <c r="J375" s="1" t="s">
        <v>111</v>
      </c>
      <c r="K375" s="1" t="s">
        <v>822</v>
      </c>
      <c r="L375" s="17">
        <v>1023.9360000000001</v>
      </c>
      <c r="M375" s="1">
        <v>8</v>
      </c>
      <c r="N375" s="1">
        <v>0.2</v>
      </c>
      <c r="O375" s="17">
        <v>179.1887999999999</v>
      </c>
      <c r="P375" s="17">
        <f>('Work File (2)'!$L375*'Work File (2)'!$M375)*(1-'Work File (2)'!$N375)</f>
        <v>6553.1904000000013</v>
      </c>
      <c r="Q375" s="1">
        <f>YEAR(Table2[[#This Row],[Order Date]])</f>
        <v>2016</v>
      </c>
      <c r="R375" s="18" t="str">
        <f>TEXT(Table2[[#This Row],[Order Date]],"mmm")</f>
        <v>Jul</v>
      </c>
      <c r="S375" s="18"/>
    </row>
    <row r="376" spans="1:19" x14ac:dyDescent="0.2">
      <c r="A376" s="1">
        <v>375</v>
      </c>
      <c r="B376" s="1" t="s">
        <v>819</v>
      </c>
      <c r="C376" s="2">
        <v>42574</v>
      </c>
      <c r="D376" s="1" t="s">
        <v>36</v>
      </c>
      <c r="E376" s="1" t="s">
        <v>820</v>
      </c>
      <c r="F376" s="1" t="s">
        <v>821</v>
      </c>
      <c r="G376" s="1" t="s">
        <v>205</v>
      </c>
      <c r="H376" s="1" t="s">
        <v>31</v>
      </c>
      <c r="I376" s="1" t="s">
        <v>32</v>
      </c>
      <c r="J376" s="1" t="s">
        <v>48</v>
      </c>
      <c r="K376" s="1" t="s">
        <v>823</v>
      </c>
      <c r="L376" s="17">
        <v>9.24</v>
      </c>
      <c r="M376" s="1">
        <v>1</v>
      </c>
      <c r="N376" s="1">
        <v>0.2</v>
      </c>
      <c r="O376" s="17">
        <v>0.92399999999999993</v>
      </c>
      <c r="P376" s="17">
        <f>('Work File (2)'!$L376*'Work File (2)'!$M376)*(1-'Work File (2)'!$N376)</f>
        <v>7.3920000000000003</v>
      </c>
      <c r="Q376" s="1">
        <f>YEAR(Table2[[#This Row],[Order Date]])</f>
        <v>2016</v>
      </c>
      <c r="R376" s="18" t="str">
        <f>TEXT(Table2[[#This Row],[Order Date]],"mmm")</f>
        <v>Jul</v>
      </c>
      <c r="S376" s="18"/>
    </row>
    <row r="377" spans="1:19" x14ac:dyDescent="0.2">
      <c r="A377" s="1">
        <v>376</v>
      </c>
      <c r="B377" s="1" t="s">
        <v>819</v>
      </c>
      <c r="C377" s="2">
        <v>42574</v>
      </c>
      <c r="D377" s="1" t="s">
        <v>36</v>
      </c>
      <c r="E377" s="1" t="s">
        <v>820</v>
      </c>
      <c r="F377" s="1" t="s">
        <v>821</v>
      </c>
      <c r="G377" s="1" t="s">
        <v>205</v>
      </c>
      <c r="H377" s="1" t="s">
        <v>31</v>
      </c>
      <c r="I377" s="1" t="s">
        <v>50</v>
      </c>
      <c r="J377" s="1" t="s">
        <v>111</v>
      </c>
      <c r="K377" s="1" t="s">
        <v>824</v>
      </c>
      <c r="L377" s="17">
        <v>479.04</v>
      </c>
      <c r="M377" s="1">
        <v>10</v>
      </c>
      <c r="N377" s="1">
        <v>0.2</v>
      </c>
      <c r="O377" s="17">
        <v>-29.940000000000012</v>
      </c>
      <c r="P377" s="17">
        <f>('Work File (2)'!$L377*'Work File (2)'!$M377)*(1-'Work File (2)'!$N377)</f>
        <v>3832.3200000000006</v>
      </c>
      <c r="Q377" s="1">
        <f>YEAR(Table2[[#This Row],[Order Date]])</f>
        <v>2016</v>
      </c>
      <c r="R377" s="18" t="str">
        <f>TEXT(Table2[[#This Row],[Order Date]],"mmm")</f>
        <v>Jul</v>
      </c>
      <c r="S377" s="18"/>
    </row>
    <row r="378" spans="1:19" x14ac:dyDescent="0.2">
      <c r="A378" s="1">
        <v>377</v>
      </c>
      <c r="B378" s="1" t="s">
        <v>825</v>
      </c>
      <c r="C378" s="2">
        <v>43371</v>
      </c>
      <c r="D378" s="1" t="s">
        <v>128</v>
      </c>
      <c r="E378" s="1" t="s">
        <v>826</v>
      </c>
      <c r="F378" s="1" t="s">
        <v>827</v>
      </c>
      <c r="G378" s="1" t="s">
        <v>142</v>
      </c>
      <c r="H378" s="1" t="s">
        <v>74</v>
      </c>
      <c r="I378" s="1" t="s">
        <v>32</v>
      </c>
      <c r="J378" s="1" t="s">
        <v>63</v>
      </c>
      <c r="K378" s="1" t="s">
        <v>828</v>
      </c>
      <c r="L378" s="17">
        <v>99.13600000000001</v>
      </c>
      <c r="M378" s="1">
        <v>4</v>
      </c>
      <c r="N378" s="1">
        <v>0.2</v>
      </c>
      <c r="O378" s="17">
        <v>30.979999999999993</v>
      </c>
      <c r="P378" s="17">
        <f>('Work File (2)'!$L378*'Work File (2)'!$M378)*(1-'Work File (2)'!$N378)</f>
        <v>317.23520000000008</v>
      </c>
      <c r="Q378" s="1">
        <f>YEAR(Table2[[#This Row],[Order Date]])</f>
        <v>2018</v>
      </c>
      <c r="R378" s="18" t="str">
        <f>TEXT(Table2[[#This Row],[Order Date]],"mmm")</f>
        <v>Sep</v>
      </c>
      <c r="S378" s="18"/>
    </row>
    <row r="379" spans="1:19" x14ac:dyDescent="0.2">
      <c r="A379" s="1">
        <v>378</v>
      </c>
      <c r="B379" s="1" t="s">
        <v>829</v>
      </c>
      <c r="C379" s="2">
        <v>43704</v>
      </c>
      <c r="D379" s="1" t="s">
        <v>36</v>
      </c>
      <c r="E379" s="1" t="s">
        <v>830</v>
      </c>
      <c r="F379" s="1" t="s">
        <v>395</v>
      </c>
      <c r="G379" s="1" t="s">
        <v>781</v>
      </c>
      <c r="H379" s="1" t="s">
        <v>103</v>
      </c>
      <c r="I379" s="1" t="s">
        <v>22</v>
      </c>
      <c r="J379" s="1" t="s">
        <v>40</v>
      </c>
      <c r="K379" s="1" t="s">
        <v>831</v>
      </c>
      <c r="L379" s="17">
        <v>1488.4239999999998</v>
      </c>
      <c r="M379" s="1">
        <v>7</v>
      </c>
      <c r="N379" s="1">
        <v>0.3</v>
      </c>
      <c r="O379" s="17">
        <v>-297.68479999999983</v>
      </c>
      <c r="P379" s="17">
        <f>('Work File (2)'!$L379*'Work File (2)'!$M379)*(1-'Work File (2)'!$N379)</f>
        <v>7293.2775999999985</v>
      </c>
      <c r="Q379" s="1">
        <f>YEAR(Table2[[#This Row],[Order Date]])</f>
        <v>2019</v>
      </c>
      <c r="R379" s="18" t="str">
        <f>TEXT(Table2[[#This Row],[Order Date]],"mmm")</f>
        <v>Aug</v>
      </c>
      <c r="S379" s="18"/>
    </row>
    <row r="380" spans="1:19" x14ac:dyDescent="0.2">
      <c r="A380" s="1">
        <v>379</v>
      </c>
      <c r="B380" s="1" t="s">
        <v>832</v>
      </c>
      <c r="C380" s="2">
        <v>42853</v>
      </c>
      <c r="D380" s="1" t="s">
        <v>36</v>
      </c>
      <c r="E380" s="1" t="s">
        <v>833</v>
      </c>
      <c r="F380" s="1" t="s">
        <v>125</v>
      </c>
      <c r="G380" s="1" t="s">
        <v>73</v>
      </c>
      <c r="H380" s="1" t="s">
        <v>74</v>
      </c>
      <c r="I380" s="1" t="s">
        <v>32</v>
      </c>
      <c r="J380" s="1" t="s">
        <v>55</v>
      </c>
      <c r="K380" s="1" t="s">
        <v>834</v>
      </c>
      <c r="L380" s="17">
        <v>8.6519999999999975</v>
      </c>
      <c r="M380" s="1">
        <v>3</v>
      </c>
      <c r="N380" s="1">
        <v>0.8</v>
      </c>
      <c r="O380" s="17">
        <v>-20.332200000000007</v>
      </c>
      <c r="P380" s="17">
        <f>('Work File (2)'!$L380*'Work File (2)'!$M380)*(1-'Work File (2)'!$N380)</f>
        <v>5.1911999999999976</v>
      </c>
      <c r="Q380" s="1">
        <f>YEAR(Table2[[#This Row],[Order Date]])</f>
        <v>2017</v>
      </c>
      <c r="R380" s="18" t="str">
        <f>TEXT(Table2[[#This Row],[Order Date]],"mmm")</f>
        <v>Apr</v>
      </c>
      <c r="S380" s="18"/>
    </row>
    <row r="381" spans="1:19" x14ac:dyDescent="0.2">
      <c r="A381" s="1">
        <v>380</v>
      </c>
      <c r="B381" s="1" t="s">
        <v>832</v>
      </c>
      <c r="C381" s="2">
        <v>42853</v>
      </c>
      <c r="D381" s="1" t="s">
        <v>36</v>
      </c>
      <c r="E381" s="1" t="s">
        <v>833</v>
      </c>
      <c r="F381" s="1" t="s">
        <v>125</v>
      </c>
      <c r="G381" s="1" t="s">
        <v>73</v>
      </c>
      <c r="H381" s="1" t="s">
        <v>74</v>
      </c>
      <c r="I381" s="1" t="s">
        <v>32</v>
      </c>
      <c r="J381" s="1" t="s">
        <v>42</v>
      </c>
      <c r="K381" s="1" t="s">
        <v>835</v>
      </c>
      <c r="L381" s="17">
        <v>23.832000000000001</v>
      </c>
      <c r="M381" s="1">
        <v>3</v>
      </c>
      <c r="N381" s="1">
        <v>0.2</v>
      </c>
      <c r="O381" s="17">
        <v>2.6810999999999954</v>
      </c>
      <c r="P381" s="17">
        <f>('Work File (2)'!$L381*'Work File (2)'!$M381)*(1-'Work File (2)'!$N381)</f>
        <v>57.19680000000001</v>
      </c>
      <c r="Q381" s="1">
        <f>YEAR(Table2[[#This Row],[Order Date]])</f>
        <v>2017</v>
      </c>
      <c r="R381" s="18" t="str">
        <f>TEXT(Table2[[#This Row],[Order Date]],"mmm")</f>
        <v>Apr</v>
      </c>
      <c r="S381" s="18"/>
    </row>
    <row r="382" spans="1:19" x14ac:dyDescent="0.2">
      <c r="A382" s="1">
        <v>381</v>
      </c>
      <c r="B382" s="1" t="s">
        <v>832</v>
      </c>
      <c r="C382" s="2">
        <v>42853</v>
      </c>
      <c r="D382" s="1" t="s">
        <v>36</v>
      </c>
      <c r="E382" s="1" t="s">
        <v>833</v>
      </c>
      <c r="F382" s="1" t="s">
        <v>125</v>
      </c>
      <c r="G382" s="1" t="s">
        <v>73</v>
      </c>
      <c r="H382" s="1" t="s">
        <v>74</v>
      </c>
      <c r="I382" s="1" t="s">
        <v>32</v>
      </c>
      <c r="J382" s="1" t="s">
        <v>53</v>
      </c>
      <c r="K382" s="1" t="s">
        <v>836</v>
      </c>
      <c r="L382" s="17">
        <v>12.175999999999998</v>
      </c>
      <c r="M382" s="1">
        <v>4</v>
      </c>
      <c r="N382" s="1">
        <v>0.8</v>
      </c>
      <c r="O382" s="17">
        <v>-18.872800000000009</v>
      </c>
      <c r="P382" s="17">
        <f>('Work File (2)'!$L382*'Work File (2)'!$M382)*(1-'Work File (2)'!$N382)</f>
        <v>9.7407999999999966</v>
      </c>
      <c r="Q382" s="1">
        <f>YEAR(Table2[[#This Row],[Order Date]])</f>
        <v>2017</v>
      </c>
      <c r="R382" s="18" t="str">
        <f>TEXT(Table2[[#This Row],[Order Date]],"mmm")</f>
        <v>Apr</v>
      </c>
      <c r="S382" s="18"/>
    </row>
    <row r="383" spans="1:19" x14ac:dyDescent="0.2">
      <c r="A383" s="1">
        <v>382</v>
      </c>
      <c r="B383" s="1" t="s">
        <v>837</v>
      </c>
      <c r="C383" s="2">
        <v>43401</v>
      </c>
      <c r="D383" s="1" t="s">
        <v>128</v>
      </c>
      <c r="E383" s="1" t="s">
        <v>838</v>
      </c>
      <c r="F383" s="1" t="s">
        <v>89</v>
      </c>
      <c r="G383" s="1" t="s">
        <v>30</v>
      </c>
      <c r="H383" s="1" t="s">
        <v>31</v>
      </c>
      <c r="I383" s="1" t="s">
        <v>32</v>
      </c>
      <c r="J383" s="1" t="s">
        <v>63</v>
      </c>
      <c r="K383" s="1" t="s">
        <v>839</v>
      </c>
      <c r="L383" s="17">
        <v>50.96</v>
      </c>
      <c r="M383" s="1">
        <v>7</v>
      </c>
      <c r="N383" s="1">
        <v>0</v>
      </c>
      <c r="O383" s="17">
        <v>25.48</v>
      </c>
      <c r="P383" s="17">
        <f>('Work File (2)'!$L383*'Work File (2)'!$M383)*(1-'Work File (2)'!$N383)</f>
        <v>356.72</v>
      </c>
      <c r="Q383" s="1">
        <f>YEAR(Table2[[#This Row],[Order Date]])</f>
        <v>2018</v>
      </c>
      <c r="R383" s="18" t="str">
        <f>TEXT(Table2[[#This Row],[Order Date]],"mmm")</f>
        <v>Oct</v>
      </c>
      <c r="S383" s="18"/>
    </row>
    <row r="384" spans="1:19" x14ac:dyDescent="0.2">
      <c r="A384" s="1">
        <v>383</v>
      </c>
      <c r="B384" s="1" t="s">
        <v>837</v>
      </c>
      <c r="C384" s="2">
        <v>43401</v>
      </c>
      <c r="D384" s="1" t="s">
        <v>128</v>
      </c>
      <c r="E384" s="1" t="s">
        <v>838</v>
      </c>
      <c r="F384" s="1" t="s">
        <v>89</v>
      </c>
      <c r="G384" s="1" t="s">
        <v>30</v>
      </c>
      <c r="H384" s="1" t="s">
        <v>31</v>
      </c>
      <c r="I384" s="1" t="s">
        <v>32</v>
      </c>
      <c r="J384" s="1" t="s">
        <v>53</v>
      </c>
      <c r="K384" s="1" t="s">
        <v>840</v>
      </c>
      <c r="L384" s="17">
        <v>49.536000000000001</v>
      </c>
      <c r="M384" s="1">
        <v>3</v>
      </c>
      <c r="N384" s="1">
        <v>0.2</v>
      </c>
      <c r="O384" s="17">
        <v>17.337599999999998</v>
      </c>
      <c r="P384" s="17">
        <f>('Work File (2)'!$L384*'Work File (2)'!$M384)*(1-'Work File (2)'!$N384)</f>
        <v>118.88640000000001</v>
      </c>
      <c r="Q384" s="1">
        <f>YEAR(Table2[[#This Row],[Order Date]])</f>
        <v>2018</v>
      </c>
      <c r="R384" s="18" t="str">
        <f>TEXT(Table2[[#This Row],[Order Date]],"mmm")</f>
        <v>Oct</v>
      </c>
      <c r="S384" s="18"/>
    </row>
    <row r="385" spans="1:19" x14ac:dyDescent="0.2">
      <c r="A385" s="1">
        <v>384</v>
      </c>
      <c r="B385" s="1" t="s">
        <v>841</v>
      </c>
      <c r="C385" s="2">
        <v>42912</v>
      </c>
      <c r="D385" s="1" t="s">
        <v>17</v>
      </c>
      <c r="E385" s="1" t="s">
        <v>842</v>
      </c>
      <c r="F385" s="1" t="s">
        <v>699</v>
      </c>
      <c r="G385" s="1" t="s">
        <v>160</v>
      </c>
      <c r="H385" s="1" t="s">
        <v>74</v>
      </c>
      <c r="I385" s="1" t="s">
        <v>50</v>
      </c>
      <c r="J385" s="1" t="s">
        <v>111</v>
      </c>
      <c r="K385" s="1" t="s">
        <v>843</v>
      </c>
      <c r="L385" s="17">
        <v>41.9</v>
      </c>
      <c r="M385" s="1">
        <v>2</v>
      </c>
      <c r="N385" s="1">
        <v>0</v>
      </c>
      <c r="O385" s="17">
        <v>8.7989999999999995</v>
      </c>
      <c r="P385" s="17">
        <f>('Work File (2)'!$L385*'Work File (2)'!$M385)*(1-'Work File (2)'!$N385)</f>
        <v>83.8</v>
      </c>
      <c r="Q385" s="1">
        <f>YEAR(Table2[[#This Row],[Order Date]])</f>
        <v>2017</v>
      </c>
      <c r="R385" s="18" t="str">
        <f>TEXT(Table2[[#This Row],[Order Date]],"mmm")</f>
        <v>Jun</v>
      </c>
      <c r="S385" s="18"/>
    </row>
    <row r="386" spans="1:19" x14ac:dyDescent="0.2">
      <c r="A386" s="1">
        <v>385</v>
      </c>
      <c r="B386" s="1" t="s">
        <v>844</v>
      </c>
      <c r="C386" s="2">
        <v>43066</v>
      </c>
      <c r="D386" s="1" t="s">
        <v>36</v>
      </c>
      <c r="E386" s="1" t="s">
        <v>845</v>
      </c>
      <c r="F386" s="1" t="s">
        <v>846</v>
      </c>
      <c r="G386" s="1" t="s">
        <v>39</v>
      </c>
      <c r="H386" s="1" t="s">
        <v>21</v>
      </c>
      <c r="I386" s="1" t="s">
        <v>22</v>
      </c>
      <c r="J386" s="1" t="s">
        <v>40</v>
      </c>
      <c r="K386" s="1" t="s">
        <v>847</v>
      </c>
      <c r="L386" s="17">
        <v>375.45750000000004</v>
      </c>
      <c r="M386" s="1">
        <v>3</v>
      </c>
      <c r="N386" s="1">
        <v>0.45</v>
      </c>
      <c r="O386" s="17">
        <v>-157.00949999999997</v>
      </c>
      <c r="P386" s="17">
        <f>('Work File (2)'!$L386*'Work File (2)'!$M386)*(1-'Work File (2)'!$N386)</f>
        <v>619.5048750000002</v>
      </c>
      <c r="Q386" s="1">
        <f>YEAR(Table2[[#This Row],[Order Date]])</f>
        <v>2017</v>
      </c>
      <c r="R386" s="18" t="str">
        <f>TEXT(Table2[[#This Row],[Order Date]],"mmm")</f>
        <v>Nov</v>
      </c>
      <c r="S386" s="18"/>
    </row>
    <row r="387" spans="1:19" x14ac:dyDescent="0.2">
      <c r="A387" s="1">
        <v>386</v>
      </c>
      <c r="B387" s="1" t="s">
        <v>844</v>
      </c>
      <c r="C387" s="2">
        <v>43066</v>
      </c>
      <c r="D387" s="1" t="s">
        <v>36</v>
      </c>
      <c r="E387" s="1" t="s">
        <v>845</v>
      </c>
      <c r="F387" s="1" t="s">
        <v>846</v>
      </c>
      <c r="G387" s="1" t="s">
        <v>39</v>
      </c>
      <c r="H387" s="1" t="s">
        <v>21</v>
      </c>
      <c r="I387" s="1" t="s">
        <v>50</v>
      </c>
      <c r="J387" s="1" t="s">
        <v>111</v>
      </c>
      <c r="K387" s="1" t="s">
        <v>848</v>
      </c>
      <c r="L387" s="17">
        <v>83.976000000000013</v>
      </c>
      <c r="M387" s="1">
        <v>3</v>
      </c>
      <c r="N387" s="1">
        <v>0.2</v>
      </c>
      <c r="O387" s="17">
        <v>-1.049700000000005</v>
      </c>
      <c r="P387" s="17">
        <f>('Work File (2)'!$L387*'Work File (2)'!$M387)*(1-'Work File (2)'!$N387)</f>
        <v>201.54240000000004</v>
      </c>
      <c r="Q387" s="1">
        <f>YEAR(Table2[[#This Row],[Order Date]])</f>
        <v>2017</v>
      </c>
      <c r="R387" s="18" t="str">
        <f>TEXT(Table2[[#This Row],[Order Date]],"mmm")</f>
        <v>Nov</v>
      </c>
      <c r="S387" s="18"/>
    </row>
    <row r="388" spans="1:19" x14ac:dyDescent="0.2">
      <c r="A388" s="1">
        <v>387</v>
      </c>
      <c r="B388" s="1" t="s">
        <v>849</v>
      </c>
      <c r="C388" s="2">
        <v>43072</v>
      </c>
      <c r="D388" s="1" t="s">
        <v>36</v>
      </c>
      <c r="E388" s="1" t="s">
        <v>850</v>
      </c>
      <c r="F388" s="1" t="s">
        <v>101</v>
      </c>
      <c r="G388" s="1" t="s">
        <v>102</v>
      </c>
      <c r="H388" s="1" t="s">
        <v>103</v>
      </c>
      <c r="I388" s="1" t="s">
        <v>50</v>
      </c>
      <c r="J388" s="1" t="s">
        <v>439</v>
      </c>
      <c r="K388" s="1" t="s">
        <v>851</v>
      </c>
      <c r="L388" s="17">
        <v>482.34000000000003</v>
      </c>
      <c r="M388" s="1">
        <v>4</v>
      </c>
      <c r="N388" s="1">
        <v>0.7</v>
      </c>
      <c r="O388" s="17">
        <v>-337.63799999999981</v>
      </c>
      <c r="P388" s="17">
        <f>('Work File (2)'!$L388*'Work File (2)'!$M388)*(1-'Work File (2)'!$N388)</f>
        <v>578.80800000000011</v>
      </c>
      <c r="Q388" s="1">
        <f>YEAR(Table2[[#This Row],[Order Date]])</f>
        <v>2017</v>
      </c>
      <c r="R388" s="18" t="str">
        <f>TEXT(Table2[[#This Row],[Order Date]],"mmm")</f>
        <v>Dec</v>
      </c>
      <c r="S388" s="18"/>
    </row>
    <row r="389" spans="1:19" x14ac:dyDescent="0.2">
      <c r="A389" s="1">
        <v>388</v>
      </c>
      <c r="B389" s="1" t="s">
        <v>849</v>
      </c>
      <c r="C389" s="2">
        <v>43072</v>
      </c>
      <c r="D389" s="1" t="s">
        <v>36</v>
      </c>
      <c r="E389" s="1" t="s">
        <v>850</v>
      </c>
      <c r="F389" s="1" t="s">
        <v>101</v>
      </c>
      <c r="G389" s="1" t="s">
        <v>102</v>
      </c>
      <c r="H389" s="1" t="s">
        <v>103</v>
      </c>
      <c r="I389" s="1" t="s">
        <v>22</v>
      </c>
      <c r="J389" s="1" t="s">
        <v>46</v>
      </c>
      <c r="K389" s="1" t="s">
        <v>852</v>
      </c>
      <c r="L389" s="17">
        <v>2.9600000000000004</v>
      </c>
      <c r="M389" s="1">
        <v>1</v>
      </c>
      <c r="N389" s="1">
        <v>0.2</v>
      </c>
      <c r="O389" s="17">
        <v>0.77700000000000025</v>
      </c>
      <c r="P389" s="17">
        <f>('Work File (2)'!$L389*'Work File (2)'!$M389)*(1-'Work File (2)'!$N389)</f>
        <v>2.3680000000000003</v>
      </c>
      <c r="Q389" s="1">
        <f>YEAR(Table2[[#This Row],[Order Date]])</f>
        <v>2017</v>
      </c>
      <c r="R389" s="18" t="str">
        <f>TEXT(Table2[[#This Row],[Order Date]],"mmm")</f>
        <v>Dec</v>
      </c>
      <c r="S389" s="18"/>
    </row>
    <row r="390" spans="1:19" x14ac:dyDescent="0.2">
      <c r="A390" s="1">
        <v>389</v>
      </c>
      <c r="B390" s="1" t="s">
        <v>853</v>
      </c>
      <c r="C390" s="2">
        <v>42698</v>
      </c>
      <c r="D390" s="1" t="s">
        <v>128</v>
      </c>
      <c r="E390" s="1" t="s">
        <v>854</v>
      </c>
      <c r="F390" s="1" t="s">
        <v>637</v>
      </c>
      <c r="G390" s="1" t="s">
        <v>324</v>
      </c>
      <c r="H390" s="1" t="s">
        <v>103</v>
      </c>
      <c r="I390" s="1" t="s">
        <v>32</v>
      </c>
      <c r="J390" s="1" t="s">
        <v>48</v>
      </c>
      <c r="K390" s="1" t="s">
        <v>855</v>
      </c>
      <c r="L390" s="17">
        <v>2.6240000000000001</v>
      </c>
      <c r="M390" s="1">
        <v>1</v>
      </c>
      <c r="N390" s="1">
        <v>0.2</v>
      </c>
      <c r="O390" s="17">
        <v>0.42639999999999978</v>
      </c>
      <c r="P390" s="17">
        <f>('Work File (2)'!$L390*'Work File (2)'!$M390)*(1-'Work File (2)'!$N390)</f>
        <v>2.0992000000000002</v>
      </c>
      <c r="Q390" s="1">
        <f>YEAR(Table2[[#This Row],[Order Date]])</f>
        <v>2016</v>
      </c>
      <c r="R390" s="18" t="str">
        <f>TEXT(Table2[[#This Row],[Order Date]],"mmm")</f>
        <v>Nov</v>
      </c>
      <c r="S390" s="18"/>
    </row>
    <row r="391" spans="1:19" x14ac:dyDescent="0.2">
      <c r="A391" s="1">
        <v>390</v>
      </c>
      <c r="B391" s="1" t="s">
        <v>856</v>
      </c>
      <c r="C391" s="2">
        <v>43810</v>
      </c>
      <c r="D391" s="1" t="s">
        <v>36</v>
      </c>
      <c r="E391" s="1" t="s">
        <v>857</v>
      </c>
      <c r="F391" s="1" t="s">
        <v>178</v>
      </c>
      <c r="G391" s="1" t="s">
        <v>179</v>
      </c>
      <c r="H391" s="1" t="s">
        <v>103</v>
      </c>
      <c r="I391" s="1" t="s">
        <v>32</v>
      </c>
      <c r="J391" s="1" t="s">
        <v>53</v>
      </c>
      <c r="K391" s="1" t="s">
        <v>858</v>
      </c>
      <c r="L391" s="17">
        <v>23.36</v>
      </c>
      <c r="M391" s="1">
        <v>4</v>
      </c>
      <c r="N391" s="1">
        <v>0.2</v>
      </c>
      <c r="O391" s="17">
        <v>7.8839999999999986</v>
      </c>
      <c r="P391" s="17">
        <f>('Work File (2)'!$L391*'Work File (2)'!$M391)*(1-'Work File (2)'!$N391)</f>
        <v>74.751999999999995</v>
      </c>
      <c r="Q391" s="1">
        <f>YEAR(Table2[[#This Row],[Order Date]])</f>
        <v>2019</v>
      </c>
      <c r="R391" s="18" t="str">
        <f>TEXT(Table2[[#This Row],[Order Date]],"mmm")</f>
        <v>Dec</v>
      </c>
      <c r="S391" s="18"/>
    </row>
    <row r="392" spans="1:19" x14ac:dyDescent="0.2">
      <c r="A392" s="1">
        <v>391</v>
      </c>
      <c r="B392" s="1" t="s">
        <v>856</v>
      </c>
      <c r="C392" s="2">
        <v>43810</v>
      </c>
      <c r="D392" s="1" t="s">
        <v>36</v>
      </c>
      <c r="E392" s="1" t="s">
        <v>857</v>
      </c>
      <c r="F392" s="1" t="s">
        <v>178</v>
      </c>
      <c r="G392" s="1" t="s">
        <v>179</v>
      </c>
      <c r="H392" s="1" t="s">
        <v>103</v>
      </c>
      <c r="I392" s="1" t="s">
        <v>50</v>
      </c>
      <c r="J392" s="1" t="s">
        <v>111</v>
      </c>
      <c r="K392" s="1" t="s">
        <v>257</v>
      </c>
      <c r="L392" s="17">
        <v>39.979999999999997</v>
      </c>
      <c r="M392" s="1">
        <v>2</v>
      </c>
      <c r="N392" s="1">
        <v>0</v>
      </c>
      <c r="O392" s="17">
        <v>13.593199999999996</v>
      </c>
      <c r="P392" s="17">
        <f>('Work File (2)'!$L392*'Work File (2)'!$M392)*(1-'Work File (2)'!$N392)</f>
        <v>79.959999999999994</v>
      </c>
      <c r="Q392" s="1">
        <f>YEAR(Table2[[#This Row],[Order Date]])</f>
        <v>2019</v>
      </c>
      <c r="R392" s="18" t="str">
        <f>TEXT(Table2[[#This Row],[Order Date]],"mmm")</f>
        <v>Dec</v>
      </c>
      <c r="S392" s="18"/>
    </row>
    <row r="393" spans="1:19" x14ac:dyDescent="0.2">
      <c r="A393" s="1">
        <v>392</v>
      </c>
      <c r="B393" s="1" t="s">
        <v>859</v>
      </c>
      <c r="C393" s="2">
        <v>42634</v>
      </c>
      <c r="D393" s="1" t="s">
        <v>17</v>
      </c>
      <c r="E393" s="1" t="s">
        <v>860</v>
      </c>
      <c r="F393" s="1" t="s">
        <v>861</v>
      </c>
      <c r="G393" s="1" t="s">
        <v>68</v>
      </c>
      <c r="H393" s="1" t="s">
        <v>31</v>
      </c>
      <c r="I393" s="1" t="s">
        <v>50</v>
      </c>
      <c r="J393" s="1" t="s">
        <v>51</v>
      </c>
      <c r="K393" s="1" t="s">
        <v>862</v>
      </c>
      <c r="L393" s="17">
        <v>246.38400000000001</v>
      </c>
      <c r="M393" s="1">
        <v>2</v>
      </c>
      <c r="N393" s="1">
        <v>0.2</v>
      </c>
      <c r="O393" s="17">
        <v>27.718199999999968</v>
      </c>
      <c r="P393" s="17">
        <f>('Work File (2)'!$L393*'Work File (2)'!$M393)*(1-'Work File (2)'!$N393)</f>
        <v>394.21440000000007</v>
      </c>
      <c r="Q393" s="1">
        <f>YEAR(Table2[[#This Row],[Order Date]])</f>
        <v>2016</v>
      </c>
      <c r="R393" s="18" t="str">
        <f>TEXT(Table2[[#This Row],[Order Date]],"mmm")</f>
        <v>Sep</v>
      </c>
      <c r="S393" s="18"/>
    </row>
    <row r="394" spans="1:19" x14ac:dyDescent="0.2">
      <c r="A394" s="1">
        <v>393</v>
      </c>
      <c r="B394" s="1" t="s">
        <v>859</v>
      </c>
      <c r="C394" s="2">
        <v>42634</v>
      </c>
      <c r="D394" s="1" t="s">
        <v>17</v>
      </c>
      <c r="E394" s="1" t="s">
        <v>860</v>
      </c>
      <c r="F394" s="1" t="s">
        <v>861</v>
      </c>
      <c r="G394" s="1" t="s">
        <v>68</v>
      </c>
      <c r="H394" s="1" t="s">
        <v>31</v>
      </c>
      <c r="I394" s="1" t="s">
        <v>50</v>
      </c>
      <c r="J394" s="1" t="s">
        <v>761</v>
      </c>
      <c r="K394" s="1" t="s">
        <v>863</v>
      </c>
      <c r="L394" s="17">
        <v>1799.97</v>
      </c>
      <c r="M394" s="1">
        <v>3</v>
      </c>
      <c r="N394" s="1">
        <v>0</v>
      </c>
      <c r="O394" s="17">
        <v>701.98829999999998</v>
      </c>
      <c r="P394" s="17">
        <f>('Work File (2)'!$L394*'Work File (2)'!$M394)*(1-'Work File (2)'!$N394)</f>
        <v>5399.91</v>
      </c>
      <c r="Q394" s="1">
        <f>YEAR(Table2[[#This Row],[Order Date]])</f>
        <v>2016</v>
      </c>
      <c r="R394" s="18" t="str">
        <f>TEXT(Table2[[#This Row],[Order Date]],"mmm")</f>
        <v>Sep</v>
      </c>
      <c r="S394" s="18"/>
    </row>
    <row r="395" spans="1:19" x14ac:dyDescent="0.2">
      <c r="A395" s="1">
        <v>394</v>
      </c>
      <c r="B395" s="1" t="s">
        <v>864</v>
      </c>
      <c r="C395" s="2">
        <v>42528</v>
      </c>
      <c r="D395" s="1" t="s">
        <v>17</v>
      </c>
      <c r="E395" s="1" t="s">
        <v>865</v>
      </c>
      <c r="F395" s="1" t="s">
        <v>866</v>
      </c>
      <c r="G395" s="1" t="s">
        <v>142</v>
      </c>
      <c r="H395" s="1" t="s">
        <v>74</v>
      </c>
      <c r="I395" s="1" t="s">
        <v>32</v>
      </c>
      <c r="J395" s="1" t="s">
        <v>53</v>
      </c>
      <c r="K395" s="1" t="s">
        <v>867</v>
      </c>
      <c r="L395" s="17">
        <v>12.461999999999996</v>
      </c>
      <c r="M395" s="1">
        <v>3</v>
      </c>
      <c r="N395" s="1">
        <v>0.8</v>
      </c>
      <c r="O395" s="17">
        <v>-20.5623</v>
      </c>
      <c r="P395" s="17">
        <f>('Work File (2)'!$L395*'Work File (2)'!$M395)*(1-'Work File (2)'!$N395)</f>
        <v>7.4771999999999963</v>
      </c>
      <c r="Q395" s="1">
        <f>YEAR(Table2[[#This Row],[Order Date]])</f>
        <v>2016</v>
      </c>
      <c r="R395" s="18" t="str">
        <f>TEXT(Table2[[#This Row],[Order Date]],"mmm")</f>
        <v>Jun</v>
      </c>
      <c r="S395" s="18"/>
    </row>
    <row r="396" spans="1:19" x14ac:dyDescent="0.2">
      <c r="A396" s="1">
        <v>395</v>
      </c>
      <c r="B396" s="1" t="s">
        <v>868</v>
      </c>
      <c r="C396" s="2">
        <v>43646</v>
      </c>
      <c r="D396" s="1" t="s">
        <v>36</v>
      </c>
      <c r="E396" s="1" t="s">
        <v>869</v>
      </c>
      <c r="F396" s="1" t="s">
        <v>870</v>
      </c>
      <c r="G396" s="1" t="s">
        <v>871</v>
      </c>
      <c r="H396" s="1" t="s">
        <v>31</v>
      </c>
      <c r="I396" s="1" t="s">
        <v>32</v>
      </c>
      <c r="J396" s="1" t="s">
        <v>53</v>
      </c>
      <c r="K396" s="1" t="s">
        <v>872</v>
      </c>
      <c r="L396" s="17">
        <v>75.792000000000002</v>
      </c>
      <c r="M396" s="1">
        <v>3</v>
      </c>
      <c r="N396" s="1">
        <v>0.2</v>
      </c>
      <c r="O396" s="17">
        <v>25.579799999999992</v>
      </c>
      <c r="P396" s="17">
        <f>('Work File (2)'!$L396*'Work File (2)'!$M396)*(1-'Work File (2)'!$N396)</f>
        <v>181.9008</v>
      </c>
      <c r="Q396" s="1">
        <f>YEAR(Table2[[#This Row],[Order Date]])</f>
        <v>2019</v>
      </c>
      <c r="R396" s="18" t="str">
        <f>TEXT(Table2[[#This Row],[Order Date]],"mmm")</f>
        <v>Jun</v>
      </c>
      <c r="S396" s="18"/>
    </row>
    <row r="397" spans="1:19" x14ac:dyDescent="0.2">
      <c r="A397" s="1">
        <v>396</v>
      </c>
      <c r="B397" s="1" t="s">
        <v>873</v>
      </c>
      <c r="C397" s="2">
        <v>43755</v>
      </c>
      <c r="D397" s="1" t="s">
        <v>17</v>
      </c>
      <c r="E397" s="1" t="s">
        <v>874</v>
      </c>
      <c r="F397" s="1" t="s">
        <v>875</v>
      </c>
      <c r="G397" s="1" t="s">
        <v>876</v>
      </c>
      <c r="H397" s="1" t="s">
        <v>103</v>
      </c>
      <c r="I397" s="1" t="s">
        <v>32</v>
      </c>
      <c r="J397" s="1" t="s">
        <v>42</v>
      </c>
      <c r="K397" s="1" t="s">
        <v>877</v>
      </c>
      <c r="L397" s="17">
        <v>49.96</v>
      </c>
      <c r="M397" s="1">
        <v>2</v>
      </c>
      <c r="N397" s="1">
        <v>0</v>
      </c>
      <c r="O397" s="17">
        <v>9.4923999999999964</v>
      </c>
      <c r="P397" s="17">
        <f>('Work File (2)'!$L397*'Work File (2)'!$M397)*(1-'Work File (2)'!$N397)</f>
        <v>99.92</v>
      </c>
      <c r="Q397" s="1">
        <f>YEAR(Table2[[#This Row],[Order Date]])</f>
        <v>2019</v>
      </c>
      <c r="R397" s="18" t="str">
        <f>TEXT(Table2[[#This Row],[Order Date]],"mmm")</f>
        <v>Oct</v>
      </c>
      <c r="S397" s="18"/>
    </row>
    <row r="398" spans="1:19" x14ac:dyDescent="0.2">
      <c r="A398" s="1">
        <v>397</v>
      </c>
      <c r="B398" s="1" t="s">
        <v>873</v>
      </c>
      <c r="C398" s="2">
        <v>43755</v>
      </c>
      <c r="D398" s="1" t="s">
        <v>17</v>
      </c>
      <c r="E398" s="1" t="s">
        <v>874</v>
      </c>
      <c r="F398" s="1" t="s">
        <v>875</v>
      </c>
      <c r="G398" s="1" t="s">
        <v>876</v>
      </c>
      <c r="H398" s="1" t="s">
        <v>103</v>
      </c>
      <c r="I398" s="1" t="s">
        <v>32</v>
      </c>
      <c r="J398" s="1" t="s">
        <v>63</v>
      </c>
      <c r="K398" s="1" t="s">
        <v>878</v>
      </c>
      <c r="L398" s="17">
        <v>12.96</v>
      </c>
      <c r="M398" s="1">
        <v>2</v>
      </c>
      <c r="N398" s="1">
        <v>0</v>
      </c>
      <c r="O398" s="17">
        <v>6.2208000000000006</v>
      </c>
      <c r="P398" s="17">
        <f>('Work File (2)'!$L398*'Work File (2)'!$M398)*(1-'Work File (2)'!$N398)</f>
        <v>25.92</v>
      </c>
      <c r="Q398" s="1">
        <f>YEAR(Table2[[#This Row],[Order Date]])</f>
        <v>2019</v>
      </c>
      <c r="R398" s="18" t="str">
        <f>TEXT(Table2[[#This Row],[Order Date]],"mmm")</f>
        <v>Oct</v>
      </c>
      <c r="S398" s="18"/>
    </row>
    <row r="399" spans="1:19" x14ac:dyDescent="0.2">
      <c r="A399" s="1">
        <v>398</v>
      </c>
      <c r="B399" s="1" t="s">
        <v>879</v>
      </c>
      <c r="C399" s="2">
        <v>43039</v>
      </c>
      <c r="D399" s="1" t="s">
        <v>36</v>
      </c>
      <c r="E399" s="1" t="s">
        <v>71</v>
      </c>
      <c r="F399" s="1" t="s">
        <v>217</v>
      </c>
      <c r="G399" s="1" t="s">
        <v>160</v>
      </c>
      <c r="H399" s="1" t="s">
        <v>74</v>
      </c>
      <c r="I399" s="1" t="s">
        <v>32</v>
      </c>
      <c r="J399" s="1" t="s">
        <v>372</v>
      </c>
      <c r="K399" s="1" t="s">
        <v>880</v>
      </c>
      <c r="L399" s="17">
        <v>70.12</v>
      </c>
      <c r="M399" s="1">
        <v>4</v>
      </c>
      <c r="N399" s="1">
        <v>0</v>
      </c>
      <c r="O399" s="17">
        <v>21.035999999999994</v>
      </c>
      <c r="P399" s="17">
        <f>('Work File (2)'!$L399*'Work File (2)'!$M399)*(1-'Work File (2)'!$N399)</f>
        <v>280.48</v>
      </c>
      <c r="Q399" s="1">
        <f>YEAR(Table2[[#This Row],[Order Date]])</f>
        <v>2017</v>
      </c>
      <c r="R399" s="18" t="str">
        <f>TEXT(Table2[[#This Row],[Order Date]],"mmm")</f>
        <v>Oct</v>
      </c>
      <c r="S399" s="18"/>
    </row>
    <row r="400" spans="1:19" x14ac:dyDescent="0.2">
      <c r="A400" s="1">
        <v>399</v>
      </c>
      <c r="B400" s="1" t="s">
        <v>881</v>
      </c>
      <c r="C400" s="2">
        <v>43351</v>
      </c>
      <c r="D400" s="1" t="s">
        <v>17</v>
      </c>
      <c r="E400" s="1" t="s">
        <v>882</v>
      </c>
      <c r="F400" s="1" t="s">
        <v>125</v>
      </c>
      <c r="G400" s="1" t="s">
        <v>73</v>
      </c>
      <c r="H400" s="1" t="s">
        <v>74</v>
      </c>
      <c r="I400" s="1" t="s">
        <v>32</v>
      </c>
      <c r="J400" s="1" t="s">
        <v>42</v>
      </c>
      <c r="K400" s="1" t="s">
        <v>883</v>
      </c>
      <c r="L400" s="17">
        <v>35.952000000000005</v>
      </c>
      <c r="M400" s="1">
        <v>3</v>
      </c>
      <c r="N400" s="1">
        <v>0.2</v>
      </c>
      <c r="O400" s="17">
        <v>3.5951999999999984</v>
      </c>
      <c r="P400" s="17">
        <f>('Work File (2)'!$L400*'Work File (2)'!$M400)*(1-'Work File (2)'!$N400)</f>
        <v>86.284800000000018</v>
      </c>
      <c r="Q400" s="1">
        <f>YEAR(Table2[[#This Row],[Order Date]])</f>
        <v>2018</v>
      </c>
      <c r="R400" s="18" t="str">
        <f>TEXT(Table2[[#This Row],[Order Date]],"mmm")</f>
        <v>Sep</v>
      </c>
      <c r="S400" s="18"/>
    </row>
    <row r="401" spans="1:19" x14ac:dyDescent="0.2">
      <c r="A401" s="1">
        <v>400</v>
      </c>
      <c r="B401" s="1" t="s">
        <v>881</v>
      </c>
      <c r="C401" s="2">
        <v>43351</v>
      </c>
      <c r="D401" s="1" t="s">
        <v>17</v>
      </c>
      <c r="E401" s="1" t="s">
        <v>882</v>
      </c>
      <c r="F401" s="1" t="s">
        <v>125</v>
      </c>
      <c r="G401" s="1" t="s">
        <v>73</v>
      </c>
      <c r="H401" s="1" t="s">
        <v>74</v>
      </c>
      <c r="I401" s="1" t="s">
        <v>22</v>
      </c>
      <c r="J401" s="1" t="s">
        <v>23</v>
      </c>
      <c r="K401" s="1" t="s">
        <v>115</v>
      </c>
      <c r="L401" s="17">
        <v>2396.2655999999997</v>
      </c>
      <c r="M401" s="1">
        <v>4</v>
      </c>
      <c r="N401" s="1">
        <v>0.32</v>
      </c>
      <c r="O401" s="17">
        <v>-317.15280000000007</v>
      </c>
      <c r="P401" s="17">
        <f>('Work File (2)'!$L401*'Work File (2)'!$M401)*(1-'Work File (2)'!$N401)</f>
        <v>6517.8424319999986</v>
      </c>
      <c r="Q401" s="1">
        <f>YEAR(Table2[[#This Row],[Order Date]])</f>
        <v>2018</v>
      </c>
      <c r="R401" s="18" t="str">
        <f>TEXT(Table2[[#This Row],[Order Date]],"mmm")</f>
        <v>Sep</v>
      </c>
      <c r="S401" s="18"/>
    </row>
    <row r="402" spans="1:19" x14ac:dyDescent="0.2">
      <c r="A402" s="1">
        <v>401</v>
      </c>
      <c r="B402" s="1" t="s">
        <v>881</v>
      </c>
      <c r="C402" s="2">
        <v>43351</v>
      </c>
      <c r="D402" s="1" t="s">
        <v>17</v>
      </c>
      <c r="E402" s="1" t="s">
        <v>882</v>
      </c>
      <c r="F402" s="1" t="s">
        <v>125</v>
      </c>
      <c r="G402" s="1" t="s">
        <v>73</v>
      </c>
      <c r="H402" s="1" t="s">
        <v>74</v>
      </c>
      <c r="I402" s="1" t="s">
        <v>32</v>
      </c>
      <c r="J402" s="1" t="s">
        <v>42</v>
      </c>
      <c r="K402" s="1" t="s">
        <v>884</v>
      </c>
      <c r="L402" s="17">
        <v>131.136</v>
      </c>
      <c r="M402" s="1">
        <v>4</v>
      </c>
      <c r="N402" s="1">
        <v>0.2</v>
      </c>
      <c r="O402" s="17">
        <v>-32.783999999999999</v>
      </c>
      <c r="P402" s="17">
        <f>('Work File (2)'!$L402*'Work File (2)'!$M402)*(1-'Work File (2)'!$N402)</f>
        <v>419.6352</v>
      </c>
      <c r="Q402" s="1">
        <f>YEAR(Table2[[#This Row],[Order Date]])</f>
        <v>2018</v>
      </c>
      <c r="R402" s="18" t="str">
        <f>TEXT(Table2[[#This Row],[Order Date]],"mmm")</f>
        <v>Sep</v>
      </c>
      <c r="S402" s="18"/>
    </row>
    <row r="403" spans="1:19" x14ac:dyDescent="0.2">
      <c r="A403" s="1">
        <v>402</v>
      </c>
      <c r="B403" s="1" t="s">
        <v>881</v>
      </c>
      <c r="C403" s="2">
        <v>43351</v>
      </c>
      <c r="D403" s="1" t="s">
        <v>17</v>
      </c>
      <c r="E403" s="1" t="s">
        <v>882</v>
      </c>
      <c r="F403" s="1" t="s">
        <v>125</v>
      </c>
      <c r="G403" s="1" t="s">
        <v>73</v>
      </c>
      <c r="H403" s="1" t="s">
        <v>74</v>
      </c>
      <c r="I403" s="1" t="s">
        <v>50</v>
      </c>
      <c r="J403" s="1" t="s">
        <v>111</v>
      </c>
      <c r="K403" s="1" t="s">
        <v>885</v>
      </c>
      <c r="L403" s="17">
        <v>57.584000000000003</v>
      </c>
      <c r="M403" s="1">
        <v>2</v>
      </c>
      <c r="N403" s="1">
        <v>0.2</v>
      </c>
      <c r="O403" s="17">
        <v>0.71979999999999933</v>
      </c>
      <c r="P403" s="17">
        <f>('Work File (2)'!$L403*'Work File (2)'!$M403)*(1-'Work File (2)'!$N403)</f>
        <v>92.134400000000014</v>
      </c>
      <c r="Q403" s="1">
        <f>YEAR(Table2[[#This Row],[Order Date]])</f>
        <v>2018</v>
      </c>
      <c r="R403" s="18" t="str">
        <f>TEXT(Table2[[#This Row],[Order Date]],"mmm")</f>
        <v>Sep</v>
      </c>
      <c r="S403" s="18"/>
    </row>
    <row r="404" spans="1:19" x14ac:dyDescent="0.2">
      <c r="A404" s="1">
        <v>403</v>
      </c>
      <c r="B404" s="1" t="s">
        <v>886</v>
      </c>
      <c r="C404" s="2">
        <v>42728</v>
      </c>
      <c r="D404" s="1" t="s">
        <v>128</v>
      </c>
      <c r="E404" s="1" t="s">
        <v>887</v>
      </c>
      <c r="F404" s="1" t="s">
        <v>888</v>
      </c>
      <c r="G404" s="1" t="s">
        <v>39</v>
      </c>
      <c r="H404" s="1" t="s">
        <v>21</v>
      </c>
      <c r="I404" s="1" t="s">
        <v>32</v>
      </c>
      <c r="J404" s="1" t="s">
        <v>63</v>
      </c>
      <c r="K404" s="1" t="s">
        <v>889</v>
      </c>
      <c r="L404" s="17">
        <v>9.5680000000000014</v>
      </c>
      <c r="M404" s="1">
        <v>2</v>
      </c>
      <c r="N404" s="1">
        <v>0.2</v>
      </c>
      <c r="O404" s="17">
        <v>3.4683999999999999</v>
      </c>
      <c r="P404" s="17">
        <f>('Work File (2)'!$L404*'Work File (2)'!$M404)*(1-'Work File (2)'!$N404)</f>
        <v>15.308800000000003</v>
      </c>
      <c r="Q404" s="1">
        <f>YEAR(Table2[[#This Row],[Order Date]])</f>
        <v>2016</v>
      </c>
      <c r="R404" s="18" t="str">
        <f>TEXT(Table2[[#This Row],[Order Date]],"mmm")</f>
        <v>Dec</v>
      </c>
      <c r="S404" s="18"/>
    </row>
    <row r="405" spans="1:19" x14ac:dyDescent="0.2">
      <c r="A405" s="1">
        <v>404</v>
      </c>
      <c r="B405" s="1" t="s">
        <v>890</v>
      </c>
      <c r="C405" s="2">
        <v>42476</v>
      </c>
      <c r="D405" s="1" t="s">
        <v>36</v>
      </c>
      <c r="E405" s="1" t="s">
        <v>405</v>
      </c>
      <c r="F405" s="1" t="s">
        <v>338</v>
      </c>
      <c r="G405" s="1" t="s">
        <v>62</v>
      </c>
      <c r="H405" s="1" t="s">
        <v>21</v>
      </c>
      <c r="I405" s="1" t="s">
        <v>32</v>
      </c>
      <c r="J405" s="1" t="s">
        <v>48</v>
      </c>
      <c r="K405" s="1" t="s">
        <v>891</v>
      </c>
      <c r="L405" s="17">
        <v>39.072000000000003</v>
      </c>
      <c r="M405" s="1">
        <v>6</v>
      </c>
      <c r="N405" s="1">
        <v>0.2</v>
      </c>
      <c r="O405" s="17">
        <v>9.7680000000000007</v>
      </c>
      <c r="P405" s="17">
        <f>('Work File (2)'!$L405*'Work File (2)'!$M405)*(1-'Work File (2)'!$N405)</f>
        <v>187.54560000000004</v>
      </c>
      <c r="Q405" s="1">
        <f>YEAR(Table2[[#This Row],[Order Date]])</f>
        <v>2016</v>
      </c>
      <c r="R405" s="18" t="str">
        <f>TEXT(Table2[[#This Row],[Order Date]],"mmm")</f>
        <v>Apr</v>
      </c>
      <c r="S405" s="18"/>
    </row>
    <row r="406" spans="1:19" x14ac:dyDescent="0.2">
      <c r="A406" s="1">
        <v>405</v>
      </c>
      <c r="B406" s="1" t="s">
        <v>892</v>
      </c>
      <c r="C406" s="2">
        <v>43823</v>
      </c>
      <c r="D406" s="1" t="s">
        <v>36</v>
      </c>
      <c r="E406" s="1" t="s">
        <v>893</v>
      </c>
      <c r="F406" s="1" t="s">
        <v>178</v>
      </c>
      <c r="G406" s="1" t="s">
        <v>179</v>
      </c>
      <c r="H406" s="1" t="s">
        <v>103</v>
      </c>
      <c r="I406" s="1" t="s">
        <v>32</v>
      </c>
      <c r="J406" s="1" t="s">
        <v>55</v>
      </c>
      <c r="K406" s="1" t="s">
        <v>894</v>
      </c>
      <c r="L406" s="17">
        <v>35.910000000000004</v>
      </c>
      <c r="M406" s="1">
        <v>3</v>
      </c>
      <c r="N406" s="1">
        <v>0</v>
      </c>
      <c r="O406" s="17">
        <v>9.6956999999999987</v>
      </c>
      <c r="P406" s="17">
        <f>('Work File (2)'!$L406*'Work File (2)'!$M406)*(1-'Work File (2)'!$N406)</f>
        <v>107.73000000000002</v>
      </c>
      <c r="Q406" s="1">
        <f>YEAR(Table2[[#This Row],[Order Date]])</f>
        <v>2019</v>
      </c>
      <c r="R406" s="18" t="str">
        <f>TEXT(Table2[[#This Row],[Order Date]],"mmm")</f>
        <v>Dec</v>
      </c>
      <c r="S406" s="18"/>
    </row>
    <row r="407" spans="1:19" x14ac:dyDescent="0.2">
      <c r="A407" s="1">
        <v>406</v>
      </c>
      <c r="B407" s="1" t="s">
        <v>895</v>
      </c>
      <c r="C407" s="2">
        <v>43807</v>
      </c>
      <c r="D407" s="1" t="s">
        <v>36</v>
      </c>
      <c r="E407" s="1" t="s">
        <v>896</v>
      </c>
      <c r="F407" s="1" t="s">
        <v>89</v>
      </c>
      <c r="G407" s="1" t="s">
        <v>30</v>
      </c>
      <c r="H407" s="1" t="s">
        <v>31</v>
      </c>
      <c r="I407" s="1" t="s">
        <v>50</v>
      </c>
      <c r="J407" s="1" t="s">
        <v>111</v>
      </c>
      <c r="K407" s="1" t="s">
        <v>885</v>
      </c>
      <c r="L407" s="17">
        <v>179.95000000000002</v>
      </c>
      <c r="M407" s="1">
        <v>5</v>
      </c>
      <c r="N407" s="1">
        <v>0</v>
      </c>
      <c r="O407" s="17">
        <v>37.789500000000004</v>
      </c>
      <c r="P407" s="17">
        <f>('Work File (2)'!$L407*'Work File (2)'!$M407)*(1-'Work File (2)'!$N407)</f>
        <v>899.75000000000011</v>
      </c>
      <c r="Q407" s="1">
        <f>YEAR(Table2[[#This Row],[Order Date]])</f>
        <v>2019</v>
      </c>
      <c r="R407" s="18" t="str">
        <f>TEXT(Table2[[#This Row],[Order Date]],"mmm")</f>
        <v>Dec</v>
      </c>
      <c r="S407" s="18"/>
    </row>
    <row r="408" spans="1:19" x14ac:dyDescent="0.2">
      <c r="A408" s="1">
        <v>407</v>
      </c>
      <c r="B408" s="1" t="s">
        <v>895</v>
      </c>
      <c r="C408" s="2">
        <v>43807</v>
      </c>
      <c r="D408" s="1" t="s">
        <v>36</v>
      </c>
      <c r="E408" s="1" t="s">
        <v>896</v>
      </c>
      <c r="F408" s="1" t="s">
        <v>89</v>
      </c>
      <c r="G408" s="1" t="s">
        <v>30</v>
      </c>
      <c r="H408" s="1" t="s">
        <v>31</v>
      </c>
      <c r="I408" s="1" t="s">
        <v>50</v>
      </c>
      <c r="J408" s="1" t="s">
        <v>761</v>
      </c>
      <c r="K408" s="1" t="s">
        <v>897</v>
      </c>
      <c r="L408" s="17">
        <v>1199.9760000000001</v>
      </c>
      <c r="M408" s="1">
        <v>3</v>
      </c>
      <c r="N408" s="1">
        <v>0.2</v>
      </c>
      <c r="O408" s="17">
        <v>434.99130000000002</v>
      </c>
      <c r="P408" s="17">
        <f>('Work File (2)'!$L408*'Work File (2)'!$M408)*(1-'Work File (2)'!$N408)</f>
        <v>2879.9424000000004</v>
      </c>
      <c r="Q408" s="1">
        <f>YEAR(Table2[[#This Row],[Order Date]])</f>
        <v>2019</v>
      </c>
      <c r="R408" s="18" t="str">
        <f>TEXT(Table2[[#This Row],[Order Date]],"mmm")</f>
        <v>Dec</v>
      </c>
      <c r="S408" s="18"/>
    </row>
    <row r="409" spans="1:19" x14ac:dyDescent="0.2">
      <c r="A409" s="1">
        <v>408</v>
      </c>
      <c r="B409" s="1" t="s">
        <v>895</v>
      </c>
      <c r="C409" s="2">
        <v>43807</v>
      </c>
      <c r="D409" s="1" t="s">
        <v>36</v>
      </c>
      <c r="E409" s="1" t="s">
        <v>896</v>
      </c>
      <c r="F409" s="1" t="s">
        <v>89</v>
      </c>
      <c r="G409" s="1" t="s">
        <v>30</v>
      </c>
      <c r="H409" s="1" t="s">
        <v>31</v>
      </c>
      <c r="I409" s="1" t="s">
        <v>32</v>
      </c>
      <c r="J409" s="1" t="s">
        <v>63</v>
      </c>
      <c r="K409" s="1" t="s">
        <v>898</v>
      </c>
      <c r="L409" s="17">
        <v>27.15</v>
      </c>
      <c r="M409" s="1">
        <v>5</v>
      </c>
      <c r="N409" s="1">
        <v>0</v>
      </c>
      <c r="O409" s="17">
        <v>13.3035</v>
      </c>
      <c r="P409" s="17">
        <f>('Work File (2)'!$L409*'Work File (2)'!$M409)*(1-'Work File (2)'!$N409)</f>
        <v>135.75</v>
      </c>
      <c r="Q409" s="1">
        <f>YEAR(Table2[[#This Row],[Order Date]])</f>
        <v>2019</v>
      </c>
      <c r="R409" s="18" t="str">
        <f>TEXT(Table2[[#This Row],[Order Date]],"mmm")</f>
        <v>Dec</v>
      </c>
      <c r="S409" s="18"/>
    </row>
    <row r="410" spans="1:19" x14ac:dyDescent="0.2">
      <c r="A410" s="1">
        <v>409</v>
      </c>
      <c r="B410" s="1" t="s">
        <v>895</v>
      </c>
      <c r="C410" s="2">
        <v>43807</v>
      </c>
      <c r="D410" s="1" t="s">
        <v>36</v>
      </c>
      <c r="E410" s="1" t="s">
        <v>896</v>
      </c>
      <c r="F410" s="1" t="s">
        <v>89</v>
      </c>
      <c r="G410" s="1" t="s">
        <v>30</v>
      </c>
      <c r="H410" s="1" t="s">
        <v>31</v>
      </c>
      <c r="I410" s="1" t="s">
        <v>22</v>
      </c>
      <c r="J410" s="1" t="s">
        <v>40</v>
      </c>
      <c r="K410" s="1" t="s">
        <v>899</v>
      </c>
      <c r="L410" s="17">
        <v>1004.0239999999999</v>
      </c>
      <c r="M410" s="1">
        <v>7</v>
      </c>
      <c r="N410" s="1">
        <v>0.2</v>
      </c>
      <c r="O410" s="17">
        <v>-112.95269999999994</v>
      </c>
      <c r="P410" s="17">
        <f>('Work File (2)'!$L410*'Work File (2)'!$M410)*(1-'Work File (2)'!$N410)</f>
        <v>5622.5344000000005</v>
      </c>
      <c r="Q410" s="1">
        <f>YEAR(Table2[[#This Row],[Order Date]])</f>
        <v>2019</v>
      </c>
      <c r="R410" s="18" t="str">
        <f>TEXT(Table2[[#This Row],[Order Date]],"mmm")</f>
        <v>Dec</v>
      </c>
      <c r="S410" s="18"/>
    </row>
    <row r="411" spans="1:19" x14ac:dyDescent="0.2">
      <c r="A411" s="1">
        <v>410</v>
      </c>
      <c r="B411" s="1" t="s">
        <v>895</v>
      </c>
      <c r="C411" s="2">
        <v>43807</v>
      </c>
      <c r="D411" s="1" t="s">
        <v>36</v>
      </c>
      <c r="E411" s="1" t="s">
        <v>896</v>
      </c>
      <c r="F411" s="1" t="s">
        <v>89</v>
      </c>
      <c r="G411" s="1" t="s">
        <v>30</v>
      </c>
      <c r="H411" s="1" t="s">
        <v>31</v>
      </c>
      <c r="I411" s="1" t="s">
        <v>32</v>
      </c>
      <c r="J411" s="1" t="s">
        <v>63</v>
      </c>
      <c r="K411" s="1" t="s">
        <v>900</v>
      </c>
      <c r="L411" s="17">
        <v>9.68</v>
      </c>
      <c r="M411" s="1">
        <v>1</v>
      </c>
      <c r="N411" s="1">
        <v>0</v>
      </c>
      <c r="O411" s="17">
        <v>4.6463999999999999</v>
      </c>
      <c r="P411" s="17">
        <f>('Work File (2)'!$L411*'Work File (2)'!$M411)*(1-'Work File (2)'!$N411)</f>
        <v>9.68</v>
      </c>
      <c r="Q411" s="1">
        <f>YEAR(Table2[[#This Row],[Order Date]])</f>
        <v>2019</v>
      </c>
      <c r="R411" s="18" t="str">
        <f>TEXT(Table2[[#This Row],[Order Date]],"mmm")</f>
        <v>Dec</v>
      </c>
      <c r="S411" s="18"/>
    </row>
    <row r="412" spans="1:19" x14ac:dyDescent="0.2">
      <c r="A412" s="1">
        <v>411</v>
      </c>
      <c r="B412" s="1" t="s">
        <v>895</v>
      </c>
      <c r="C412" s="2">
        <v>43807</v>
      </c>
      <c r="D412" s="1" t="s">
        <v>36</v>
      </c>
      <c r="E412" s="1" t="s">
        <v>896</v>
      </c>
      <c r="F412" s="1" t="s">
        <v>89</v>
      </c>
      <c r="G412" s="1" t="s">
        <v>30</v>
      </c>
      <c r="H412" s="1" t="s">
        <v>31</v>
      </c>
      <c r="I412" s="1" t="s">
        <v>32</v>
      </c>
      <c r="J412" s="1" t="s">
        <v>33</v>
      </c>
      <c r="K412" s="1" t="s">
        <v>901</v>
      </c>
      <c r="L412" s="17">
        <v>28.349999999999998</v>
      </c>
      <c r="M412" s="1">
        <v>9</v>
      </c>
      <c r="N412" s="1">
        <v>0</v>
      </c>
      <c r="O412" s="17">
        <v>13.608000000000001</v>
      </c>
      <c r="P412" s="17">
        <f>('Work File (2)'!$L412*'Work File (2)'!$M412)*(1-'Work File (2)'!$N412)</f>
        <v>255.14999999999998</v>
      </c>
      <c r="Q412" s="1">
        <f>YEAR(Table2[[#This Row],[Order Date]])</f>
        <v>2019</v>
      </c>
      <c r="R412" s="18" t="str">
        <f>TEXT(Table2[[#This Row],[Order Date]],"mmm")</f>
        <v>Dec</v>
      </c>
      <c r="S412" s="18"/>
    </row>
    <row r="413" spans="1:19" x14ac:dyDescent="0.2">
      <c r="A413" s="1">
        <v>412</v>
      </c>
      <c r="B413" s="1" t="s">
        <v>895</v>
      </c>
      <c r="C413" s="2">
        <v>43807</v>
      </c>
      <c r="D413" s="1" t="s">
        <v>36</v>
      </c>
      <c r="E413" s="1" t="s">
        <v>896</v>
      </c>
      <c r="F413" s="1" t="s">
        <v>89</v>
      </c>
      <c r="G413" s="1" t="s">
        <v>30</v>
      </c>
      <c r="H413" s="1" t="s">
        <v>31</v>
      </c>
      <c r="I413" s="1" t="s">
        <v>32</v>
      </c>
      <c r="J413" s="1" t="s">
        <v>63</v>
      </c>
      <c r="K413" s="1" t="s">
        <v>902</v>
      </c>
      <c r="L413" s="17">
        <v>55.98</v>
      </c>
      <c r="M413" s="1">
        <v>1</v>
      </c>
      <c r="N413" s="1">
        <v>0</v>
      </c>
      <c r="O413" s="17">
        <v>27.430199999999999</v>
      </c>
      <c r="P413" s="17">
        <f>('Work File (2)'!$L413*'Work File (2)'!$M413)*(1-'Work File (2)'!$N413)</f>
        <v>55.98</v>
      </c>
      <c r="Q413" s="1">
        <f>YEAR(Table2[[#This Row],[Order Date]])</f>
        <v>2019</v>
      </c>
      <c r="R413" s="18" t="str">
        <f>TEXT(Table2[[#This Row],[Order Date]],"mmm")</f>
        <v>Dec</v>
      </c>
      <c r="S413" s="18"/>
    </row>
    <row r="414" spans="1:19" x14ac:dyDescent="0.2">
      <c r="A414" s="1">
        <v>413</v>
      </c>
      <c r="B414" s="1" t="s">
        <v>895</v>
      </c>
      <c r="C414" s="2">
        <v>43807</v>
      </c>
      <c r="D414" s="1" t="s">
        <v>36</v>
      </c>
      <c r="E414" s="1" t="s">
        <v>896</v>
      </c>
      <c r="F414" s="1" t="s">
        <v>89</v>
      </c>
      <c r="G414" s="1" t="s">
        <v>30</v>
      </c>
      <c r="H414" s="1" t="s">
        <v>31</v>
      </c>
      <c r="I414" s="1" t="s">
        <v>22</v>
      </c>
      <c r="J414" s="1" t="s">
        <v>23</v>
      </c>
      <c r="K414" s="1" t="s">
        <v>903</v>
      </c>
      <c r="L414" s="17">
        <v>1336.829</v>
      </c>
      <c r="M414" s="1">
        <v>13</v>
      </c>
      <c r="N414" s="1">
        <v>0.15</v>
      </c>
      <c r="O414" s="17">
        <v>31.454799999999949</v>
      </c>
      <c r="P414" s="17">
        <f>('Work File (2)'!$L414*'Work File (2)'!$M414)*(1-'Work File (2)'!$N414)</f>
        <v>14771.960449999999</v>
      </c>
      <c r="Q414" s="1">
        <f>YEAR(Table2[[#This Row],[Order Date]])</f>
        <v>2019</v>
      </c>
      <c r="R414" s="18" t="str">
        <f>TEXT(Table2[[#This Row],[Order Date]],"mmm")</f>
        <v>Dec</v>
      </c>
      <c r="S414" s="18"/>
    </row>
    <row r="415" spans="1:19" x14ac:dyDescent="0.2">
      <c r="A415" s="1">
        <v>414</v>
      </c>
      <c r="B415" s="1" t="s">
        <v>895</v>
      </c>
      <c r="C415" s="2">
        <v>43807</v>
      </c>
      <c r="D415" s="1" t="s">
        <v>36</v>
      </c>
      <c r="E415" s="1" t="s">
        <v>896</v>
      </c>
      <c r="F415" s="1" t="s">
        <v>89</v>
      </c>
      <c r="G415" s="1" t="s">
        <v>30</v>
      </c>
      <c r="H415" s="1" t="s">
        <v>31</v>
      </c>
      <c r="I415" s="1" t="s">
        <v>22</v>
      </c>
      <c r="J415" s="1" t="s">
        <v>25</v>
      </c>
      <c r="K415" s="1" t="s">
        <v>904</v>
      </c>
      <c r="L415" s="17">
        <v>113.56800000000001</v>
      </c>
      <c r="M415" s="1">
        <v>2</v>
      </c>
      <c r="N415" s="1">
        <v>0.2</v>
      </c>
      <c r="O415" s="17">
        <v>-18.454800000000013</v>
      </c>
      <c r="P415" s="17">
        <f>('Work File (2)'!$L415*'Work File (2)'!$M415)*(1-'Work File (2)'!$N415)</f>
        <v>181.70880000000002</v>
      </c>
      <c r="Q415" s="1">
        <f>YEAR(Table2[[#This Row],[Order Date]])</f>
        <v>2019</v>
      </c>
      <c r="R415" s="18" t="str">
        <f>TEXT(Table2[[#This Row],[Order Date]],"mmm")</f>
        <v>Dec</v>
      </c>
      <c r="S415" s="18"/>
    </row>
    <row r="416" spans="1:19" x14ac:dyDescent="0.2">
      <c r="A416" s="1">
        <v>415</v>
      </c>
      <c r="B416" s="1" t="s">
        <v>905</v>
      </c>
      <c r="C416" s="2">
        <v>43772</v>
      </c>
      <c r="D416" s="1" t="s">
        <v>36</v>
      </c>
      <c r="E416" s="1" t="s">
        <v>906</v>
      </c>
      <c r="F416" s="1" t="s">
        <v>67</v>
      </c>
      <c r="G416" s="1" t="s">
        <v>68</v>
      </c>
      <c r="H416" s="1" t="s">
        <v>31</v>
      </c>
      <c r="I416" s="1" t="s">
        <v>32</v>
      </c>
      <c r="J416" s="1" t="s">
        <v>63</v>
      </c>
      <c r="K416" s="1" t="s">
        <v>907</v>
      </c>
      <c r="L416" s="17">
        <v>139.86000000000001</v>
      </c>
      <c r="M416" s="1">
        <v>7</v>
      </c>
      <c r="N416" s="1">
        <v>0</v>
      </c>
      <c r="O416" s="17">
        <v>65.734199999999987</v>
      </c>
      <c r="P416" s="17">
        <f>('Work File (2)'!$L416*'Work File (2)'!$M416)*(1-'Work File (2)'!$N416)</f>
        <v>979.0200000000001</v>
      </c>
      <c r="Q416" s="1">
        <f>YEAR(Table2[[#This Row],[Order Date]])</f>
        <v>2019</v>
      </c>
      <c r="R416" s="18" t="str">
        <f>TEXT(Table2[[#This Row],[Order Date]],"mmm")</f>
        <v>Nov</v>
      </c>
      <c r="S416" s="18"/>
    </row>
    <row r="417" spans="1:19" x14ac:dyDescent="0.2">
      <c r="A417" s="1">
        <v>416</v>
      </c>
      <c r="B417" s="1" t="s">
        <v>905</v>
      </c>
      <c r="C417" s="2">
        <v>43772</v>
      </c>
      <c r="D417" s="1" t="s">
        <v>36</v>
      </c>
      <c r="E417" s="1" t="s">
        <v>906</v>
      </c>
      <c r="F417" s="1" t="s">
        <v>67</v>
      </c>
      <c r="G417" s="1" t="s">
        <v>68</v>
      </c>
      <c r="H417" s="1" t="s">
        <v>31</v>
      </c>
      <c r="I417" s="1" t="s">
        <v>22</v>
      </c>
      <c r="J417" s="1" t="s">
        <v>25</v>
      </c>
      <c r="K417" s="1" t="s">
        <v>682</v>
      </c>
      <c r="L417" s="17">
        <v>307.13600000000002</v>
      </c>
      <c r="M417" s="1">
        <v>4</v>
      </c>
      <c r="N417" s="1">
        <v>0.2</v>
      </c>
      <c r="O417" s="17">
        <v>26.874400000000023</v>
      </c>
      <c r="P417" s="17">
        <f>('Work File (2)'!$L417*'Work File (2)'!$M417)*(1-'Work File (2)'!$N417)</f>
        <v>982.8352000000001</v>
      </c>
      <c r="Q417" s="1">
        <f>YEAR(Table2[[#This Row],[Order Date]])</f>
        <v>2019</v>
      </c>
      <c r="R417" s="18" t="str">
        <f>TEXT(Table2[[#This Row],[Order Date]],"mmm")</f>
        <v>Nov</v>
      </c>
      <c r="S417" s="18"/>
    </row>
    <row r="418" spans="1:19" x14ac:dyDescent="0.2">
      <c r="A418" s="1">
        <v>417</v>
      </c>
      <c r="B418" s="1" t="s">
        <v>908</v>
      </c>
      <c r="C418" s="2">
        <v>43640</v>
      </c>
      <c r="D418" s="1" t="s">
        <v>36</v>
      </c>
      <c r="E418" s="1" t="s">
        <v>909</v>
      </c>
      <c r="F418" s="1" t="s">
        <v>910</v>
      </c>
      <c r="G418" s="1" t="s">
        <v>30</v>
      </c>
      <c r="H418" s="1" t="s">
        <v>31</v>
      </c>
      <c r="I418" s="1" t="s">
        <v>32</v>
      </c>
      <c r="J418" s="1" t="s">
        <v>48</v>
      </c>
      <c r="K418" s="1" t="s">
        <v>911</v>
      </c>
      <c r="L418" s="17">
        <v>95.92</v>
      </c>
      <c r="M418" s="1">
        <v>8</v>
      </c>
      <c r="N418" s="1">
        <v>0</v>
      </c>
      <c r="O418" s="17">
        <v>25.898399999999995</v>
      </c>
      <c r="P418" s="17">
        <f>('Work File (2)'!$L418*'Work File (2)'!$M418)*(1-'Work File (2)'!$N418)</f>
        <v>767.36</v>
      </c>
      <c r="Q418" s="1">
        <f>YEAR(Table2[[#This Row],[Order Date]])</f>
        <v>2019</v>
      </c>
      <c r="R418" s="18" t="str">
        <f>TEXT(Table2[[#This Row],[Order Date]],"mmm")</f>
        <v>Jun</v>
      </c>
      <c r="S418" s="18"/>
    </row>
    <row r="419" spans="1:19" x14ac:dyDescent="0.2">
      <c r="A419" s="1">
        <v>418</v>
      </c>
      <c r="B419" s="1" t="s">
        <v>912</v>
      </c>
      <c r="C419" s="2">
        <v>43204</v>
      </c>
      <c r="D419" s="1" t="s">
        <v>36</v>
      </c>
      <c r="E419" s="1" t="s">
        <v>913</v>
      </c>
      <c r="F419" s="1" t="s">
        <v>29</v>
      </c>
      <c r="G419" s="1" t="s">
        <v>30</v>
      </c>
      <c r="H419" s="1" t="s">
        <v>31</v>
      </c>
      <c r="I419" s="1" t="s">
        <v>22</v>
      </c>
      <c r="J419" s="1" t="s">
        <v>25</v>
      </c>
      <c r="K419" s="1" t="s">
        <v>914</v>
      </c>
      <c r="L419" s="17">
        <v>383.8</v>
      </c>
      <c r="M419" s="1">
        <v>5</v>
      </c>
      <c r="N419" s="1">
        <v>0.2</v>
      </c>
      <c r="O419" s="17">
        <v>38.379999999999981</v>
      </c>
      <c r="P419" s="17">
        <f>('Work File (2)'!$L419*'Work File (2)'!$M419)*(1-'Work File (2)'!$N419)</f>
        <v>1535.2</v>
      </c>
      <c r="Q419" s="1">
        <f>YEAR(Table2[[#This Row],[Order Date]])</f>
        <v>2018</v>
      </c>
      <c r="R419" s="18" t="str">
        <f>TEXT(Table2[[#This Row],[Order Date]],"mmm")</f>
        <v>Apr</v>
      </c>
      <c r="S419" s="18"/>
    </row>
    <row r="420" spans="1:19" x14ac:dyDescent="0.2">
      <c r="A420" s="1">
        <v>419</v>
      </c>
      <c r="B420" s="1" t="s">
        <v>915</v>
      </c>
      <c r="C420" s="2">
        <v>43775</v>
      </c>
      <c r="D420" s="1" t="s">
        <v>36</v>
      </c>
      <c r="E420" s="1" t="s">
        <v>796</v>
      </c>
      <c r="F420" s="1" t="s">
        <v>916</v>
      </c>
      <c r="G420" s="1" t="s">
        <v>20</v>
      </c>
      <c r="H420" s="1" t="s">
        <v>21</v>
      </c>
      <c r="I420" s="1" t="s">
        <v>32</v>
      </c>
      <c r="J420" s="1" t="s">
        <v>63</v>
      </c>
      <c r="K420" s="1" t="s">
        <v>917</v>
      </c>
      <c r="L420" s="17">
        <v>5.78</v>
      </c>
      <c r="M420" s="1">
        <v>1</v>
      </c>
      <c r="N420" s="1">
        <v>0</v>
      </c>
      <c r="O420" s="17">
        <v>2.8322000000000003</v>
      </c>
      <c r="P420" s="17">
        <f>('Work File (2)'!$L420*'Work File (2)'!$M420)*(1-'Work File (2)'!$N420)</f>
        <v>5.78</v>
      </c>
      <c r="Q420" s="1">
        <f>YEAR(Table2[[#This Row],[Order Date]])</f>
        <v>2019</v>
      </c>
      <c r="R420" s="18" t="str">
        <f>TEXT(Table2[[#This Row],[Order Date]],"mmm")</f>
        <v>Nov</v>
      </c>
      <c r="S420" s="18"/>
    </row>
    <row r="421" spans="1:19" x14ac:dyDescent="0.2">
      <c r="A421" s="1">
        <v>420</v>
      </c>
      <c r="B421" s="1" t="s">
        <v>918</v>
      </c>
      <c r="C421" s="2">
        <v>43528</v>
      </c>
      <c r="D421" s="1" t="s">
        <v>36</v>
      </c>
      <c r="E421" s="1" t="s">
        <v>727</v>
      </c>
      <c r="F421" s="1" t="s">
        <v>29</v>
      </c>
      <c r="G421" s="1" t="s">
        <v>30</v>
      </c>
      <c r="H421" s="1" t="s">
        <v>31</v>
      </c>
      <c r="I421" s="1" t="s">
        <v>32</v>
      </c>
      <c r="J421" s="1" t="s">
        <v>48</v>
      </c>
      <c r="K421" s="1" t="s">
        <v>919</v>
      </c>
      <c r="L421" s="17">
        <v>9.32</v>
      </c>
      <c r="M421" s="1">
        <v>4</v>
      </c>
      <c r="N421" s="1">
        <v>0</v>
      </c>
      <c r="O421" s="17">
        <v>2.702799999999999</v>
      </c>
      <c r="P421" s="17">
        <f>('Work File (2)'!$L421*'Work File (2)'!$M421)*(1-'Work File (2)'!$N421)</f>
        <v>37.28</v>
      </c>
      <c r="Q421" s="1">
        <f>YEAR(Table2[[#This Row],[Order Date]])</f>
        <v>2019</v>
      </c>
      <c r="R421" s="18" t="str">
        <f>TEXT(Table2[[#This Row],[Order Date]],"mmm")</f>
        <v>Mar</v>
      </c>
      <c r="S421" s="18"/>
    </row>
    <row r="422" spans="1:19" x14ac:dyDescent="0.2">
      <c r="A422" s="1">
        <v>421</v>
      </c>
      <c r="B422" s="1" t="s">
        <v>918</v>
      </c>
      <c r="C422" s="2">
        <v>43528</v>
      </c>
      <c r="D422" s="1" t="s">
        <v>36</v>
      </c>
      <c r="E422" s="1" t="s">
        <v>727</v>
      </c>
      <c r="F422" s="1" t="s">
        <v>29</v>
      </c>
      <c r="G422" s="1" t="s">
        <v>30</v>
      </c>
      <c r="H422" s="1" t="s">
        <v>31</v>
      </c>
      <c r="I422" s="1" t="s">
        <v>32</v>
      </c>
      <c r="J422" s="1" t="s">
        <v>118</v>
      </c>
      <c r="K422" s="1" t="s">
        <v>920</v>
      </c>
      <c r="L422" s="17">
        <v>15.25</v>
      </c>
      <c r="M422" s="1">
        <v>1</v>
      </c>
      <c r="N422" s="1">
        <v>0</v>
      </c>
      <c r="O422" s="17">
        <v>7.0149999999999988</v>
      </c>
      <c r="P422" s="17">
        <f>('Work File (2)'!$L422*'Work File (2)'!$M422)*(1-'Work File (2)'!$N422)</f>
        <v>15.25</v>
      </c>
      <c r="Q422" s="1">
        <f>YEAR(Table2[[#This Row],[Order Date]])</f>
        <v>2019</v>
      </c>
      <c r="R422" s="18" t="str">
        <f>TEXT(Table2[[#This Row],[Order Date]],"mmm")</f>
        <v>Mar</v>
      </c>
      <c r="S422" s="18"/>
    </row>
    <row r="423" spans="1:19" x14ac:dyDescent="0.2">
      <c r="A423" s="1">
        <v>422</v>
      </c>
      <c r="B423" s="1" t="s">
        <v>921</v>
      </c>
      <c r="C423" s="2">
        <v>42543</v>
      </c>
      <c r="D423" s="1" t="s">
        <v>128</v>
      </c>
      <c r="E423" s="1" t="s">
        <v>220</v>
      </c>
      <c r="F423" s="1" t="s">
        <v>922</v>
      </c>
      <c r="G423" s="1" t="s">
        <v>298</v>
      </c>
      <c r="H423" s="1" t="s">
        <v>31</v>
      </c>
      <c r="I423" s="1" t="s">
        <v>50</v>
      </c>
      <c r="J423" s="1" t="s">
        <v>111</v>
      </c>
      <c r="K423" s="1" t="s">
        <v>923</v>
      </c>
      <c r="L423" s="17">
        <v>196.75200000000001</v>
      </c>
      <c r="M423" s="1">
        <v>6</v>
      </c>
      <c r="N423" s="1">
        <v>0.2</v>
      </c>
      <c r="O423" s="17">
        <v>56.566200000000009</v>
      </c>
      <c r="P423" s="17">
        <f>('Work File (2)'!$L423*'Work File (2)'!$M423)*(1-'Work File (2)'!$N423)</f>
        <v>944.40960000000018</v>
      </c>
      <c r="Q423" s="1">
        <f>YEAR(Table2[[#This Row],[Order Date]])</f>
        <v>2016</v>
      </c>
      <c r="R423" s="18" t="str">
        <f>TEXT(Table2[[#This Row],[Order Date]],"mmm")</f>
        <v>Jun</v>
      </c>
      <c r="S423" s="18"/>
    </row>
    <row r="424" spans="1:19" x14ac:dyDescent="0.2">
      <c r="A424" s="1">
        <v>423</v>
      </c>
      <c r="B424" s="1" t="s">
        <v>924</v>
      </c>
      <c r="C424" s="2">
        <v>43757</v>
      </c>
      <c r="D424" s="1" t="s">
        <v>36</v>
      </c>
      <c r="E424" s="1" t="s">
        <v>925</v>
      </c>
      <c r="F424" s="1" t="s">
        <v>926</v>
      </c>
      <c r="G424" s="1" t="s">
        <v>781</v>
      </c>
      <c r="H424" s="1" t="s">
        <v>103</v>
      </c>
      <c r="I424" s="1" t="s">
        <v>22</v>
      </c>
      <c r="J424" s="1" t="s">
        <v>46</v>
      </c>
      <c r="K424" s="1" t="s">
        <v>927</v>
      </c>
      <c r="L424" s="17">
        <v>56.56</v>
      </c>
      <c r="M424" s="1">
        <v>4</v>
      </c>
      <c r="N424" s="1">
        <v>0</v>
      </c>
      <c r="O424" s="17">
        <v>14.705600000000004</v>
      </c>
      <c r="P424" s="17">
        <f>('Work File (2)'!$L424*'Work File (2)'!$M424)*(1-'Work File (2)'!$N424)</f>
        <v>226.24</v>
      </c>
      <c r="Q424" s="1">
        <f>YEAR(Table2[[#This Row],[Order Date]])</f>
        <v>2019</v>
      </c>
      <c r="R424" s="18" t="str">
        <f>TEXT(Table2[[#This Row],[Order Date]],"mmm")</f>
        <v>Oct</v>
      </c>
      <c r="S424" s="18"/>
    </row>
    <row r="425" spans="1:19" x14ac:dyDescent="0.2">
      <c r="A425" s="1">
        <v>424</v>
      </c>
      <c r="B425" s="1" t="s">
        <v>924</v>
      </c>
      <c r="C425" s="2">
        <v>43757</v>
      </c>
      <c r="D425" s="1" t="s">
        <v>36</v>
      </c>
      <c r="E425" s="1" t="s">
        <v>925</v>
      </c>
      <c r="F425" s="1" t="s">
        <v>926</v>
      </c>
      <c r="G425" s="1" t="s">
        <v>781</v>
      </c>
      <c r="H425" s="1" t="s">
        <v>103</v>
      </c>
      <c r="I425" s="1" t="s">
        <v>32</v>
      </c>
      <c r="J425" s="1" t="s">
        <v>42</v>
      </c>
      <c r="K425" s="1" t="s">
        <v>928</v>
      </c>
      <c r="L425" s="17">
        <v>32.700000000000003</v>
      </c>
      <c r="M425" s="1">
        <v>3</v>
      </c>
      <c r="N425" s="1">
        <v>0</v>
      </c>
      <c r="O425" s="17">
        <v>8.5019999999999989</v>
      </c>
      <c r="P425" s="17">
        <f>('Work File (2)'!$L425*'Work File (2)'!$M425)*(1-'Work File (2)'!$N425)</f>
        <v>98.100000000000009</v>
      </c>
      <c r="Q425" s="1">
        <f>YEAR(Table2[[#This Row],[Order Date]])</f>
        <v>2019</v>
      </c>
      <c r="R425" s="18" t="str">
        <f>TEXT(Table2[[#This Row],[Order Date]],"mmm")</f>
        <v>Oct</v>
      </c>
      <c r="S425" s="18"/>
    </row>
    <row r="426" spans="1:19" x14ac:dyDescent="0.2">
      <c r="A426" s="1">
        <v>425</v>
      </c>
      <c r="B426" s="1" t="s">
        <v>929</v>
      </c>
      <c r="C426" s="2">
        <v>43698</v>
      </c>
      <c r="D426" s="1" t="s">
        <v>17</v>
      </c>
      <c r="E426" s="1" t="s">
        <v>930</v>
      </c>
      <c r="F426" s="1" t="s">
        <v>217</v>
      </c>
      <c r="G426" s="1" t="s">
        <v>931</v>
      </c>
      <c r="H426" s="1" t="s">
        <v>21</v>
      </c>
      <c r="I426" s="1" t="s">
        <v>22</v>
      </c>
      <c r="J426" s="1" t="s">
        <v>25</v>
      </c>
      <c r="K426" s="1" t="s">
        <v>932</v>
      </c>
      <c r="L426" s="17">
        <v>866.4</v>
      </c>
      <c r="M426" s="1">
        <v>4</v>
      </c>
      <c r="N426" s="1">
        <v>0</v>
      </c>
      <c r="O426" s="17">
        <v>225.26400000000001</v>
      </c>
      <c r="P426" s="17">
        <f>('Work File (2)'!$L426*'Work File (2)'!$M426)*(1-'Work File (2)'!$N426)</f>
        <v>3465.6</v>
      </c>
      <c r="Q426" s="1">
        <f>YEAR(Table2[[#This Row],[Order Date]])</f>
        <v>2019</v>
      </c>
      <c r="R426" s="18" t="str">
        <f>TEXT(Table2[[#This Row],[Order Date]],"mmm")</f>
        <v>Aug</v>
      </c>
      <c r="S426" s="18"/>
    </row>
    <row r="427" spans="1:19" x14ac:dyDescent="0.2">
      <c r="A427" s="1">
        <v>426</v>
      </c>
      <c r="B427" s="1" t="s">
        <v>933</v>
      </c>
      <c r="C427" s="2">
        <v>43792</v>
      </c>
      <c r="D427" s="1" t="s">
        <v>17</v>
      </c>
      <c r="E427" s="1" t="s">
        <v>177</v>
      </c>
      <c r="F427" s="1" t="s">
        <v>934</v>
      </c>
      <c r="G427" s="1" t="s">
        <v>160</v>
      </c>
      <c r="H427" s="1" t="s">
        <v>74</v>
      </c>
      <c r="I427" s="1" t="s">
        <v>22</v>
      </c>
      <c r="J427" s="1" t="s">
        <v>46</v>
      </c>
      <c r="K427" s="1" t="s">
        <v>935</v>
      </c>
      <c r="L427" s="17">
        <v>28.4</v>
      </c>
      <c r="M427" s="1">
        <v>2</v>
      </c>
      <c r="N427" s="1">
        <v>0</v>
      </c>
      <c r="O427" s="17">
        <v>11.076000000000001</v>
      </c>
      <c r="P427" s="17">
        <f>('Work File (2)'!$L427*'Work File (2)'!$M427)*(1-'Work File (2)'!$N427)</f>
        <v>56.8</v>
      </c>
      <c r="Q427" s="1">
        <f>YEAR(Table2[[#This Row],[Order Date]])</f>
        <v>2019</v>
      </c>
      <c r="R427" s="18" t="str">
        <f>TEXT(Table2[[#This Row],[Order Date]],"mmm")</f>
        <v>Nov</v>
      </c>
      <c r="S427" s="18"/>
    </row>
    <row r="428" spans="1:19" x14ac:dyDescent="0.2">
      <c r="A428" s="1">
        <v>427</v>
      </c>
      <c r="B428" s="1" t="s">
        <v>933</v>
      </c>
      <c r="C428" s="2">
        <v>43792</v>
      </c>
      <c r="D428" s="1" t="s">
        <v>17</v>
      </c>
      <c r="E428" s="1" t="s">
        <v>177</v>
      </c>
      <c r="F428" s="1" t="s">
        <v>934</v>
      </c>
      <c r="G428" s="1" t="s">
        <v>160</v>
      </c>
      <c r="H428" s="1" t="s">
        <v>74</v>
      </c>
      <c r="I428" s="1" t="s">
        <v>32</v>
      </c>
      <c r="J428" s="1" t="s">
        <v>53</v>
      </c>
      <c r="K428" s="1" t="s">
        <v>936</v>
      </c>
      <c r="L428" s="17">
        <v>287.92</v>
      </c>
      <c r="M428" s="1">
        <v>8</v>
      </c>
      <c r="N428" s="1">
        <v>0</v>
      </c>
      <c r="O428" s="17">
        <v>138.20160000000001</v>
      </c>
      <c r="P428" s="17">
        <f>('Work File (2)'!$L428*'Work File (2)'!$M428)*(1-'Work File (2)'!$N428)</f>
        <v>2303.36</v>
      </c>
      <c r="Q428" s="1">
        <f>YEAR(Table2[[#This Row],[Order Date]])</f>
        <v>2019</v>
      </c>
      <c r="R428" s="18" t="str">
        <f>TEXT(Table2[[#This Row],[Order Date]],"mmm")</f>
        <v>Nov</v>
      </c>
      <c r="S428" s="18"/>
    </row>
    <row r="429" spans="1:19" x14ac:dyDescent="0.2">
      <c r="A429" s="1">
        <v>428</v>
      </c>
      <c r="B429" s="1" t="s">
        <v>937</v>
      </c>
      <c r="C429" s="2">
        <v>42625</v>
      </c>
      <c r="D429" s="1" t="s">
        <v>128</v>
      </c>
      <c r="E429" s="1" t="s">
        <v>938</v>
      </c>
      <c r="F429" s="1" t="s">
        <v>939</v>
      </c>
      <c r="G429" s="1" t="s">
        <v>179</v>
      </c>
      <c r="H429" s="1" t="s">
        <v>103</v>
      </c>
      <c r="I429" s="1" t="s">
        <v>50</v>
      </c>
      <c r="J429" s="1" t="s">
        <v>439</v>
      </c>
      <c r="K429" s="1" t="s">
        <v>940</v>
      </c>
      <c r="L429" s="17">
        <v>69.989999999999995</v>
      </c>
      <c r="M429" s="1">
        <v>1</v>
      </c>
      <c r="N429" s="1">
        <v>0</v>
      </c>
      <c r="O429" s="17">
        <v>30.095700000000001</v>
      </c>
      <c r="P429" s="17">
        <f>('Work File (2)'!$L429*'Work File (2)'!$M429)*(1-'Work File (2)'!$N429)</f>
        <v>69.989999999999995</v>
      </c>
      <c r="Q429" s="1">
        <f>YEAR(Table2[[#This Row],[Order Date]])</f>
        <v>2016</v>
      </c>
      <c r="R429" s="18" t="str">
        <f>TEXT(Table2[[#This Row],[Order Date]],"mmm")</f>
        <v>Sep</v>
      </c>
      <c r="S429" s="18"/>
    </row>
    <row r="430" spans="1:19" x14ac:dyDescent="0.2">
      <c r="A430" s="1">
        <v>429</v>
      </c>
      <c r="B430" s="1" t="s">
        <v>941</v>
      </c>
      <c r="C430" s="2">
        <v>43739</v>
      </c>
      <c r="D430" s="1" t="s">
        <v>36</v>
      </c>
      <c r="E430" s="1" t="s">
        <v>942</v>
      </c>
      <c r="F430" s="1" t="s">
        <v>437</v>
      </c>
      <c r="G430" s="1" t="s">
        <v>73</v>
      </c>
      <c r="H430" s="1" t="s">
        <v>74</v>
      </c>
      <c r="I430" s="1" t="s">
        <v>32</v>
      </c>
      <c r="J430" s="1" t="s">
        <v>48</v>
      </c>
      <c r="K430" s="1" t="s">
        <v>943</v>
      </c>
      <c r="L430" s="17">
        <v>6.6719999999999988</v>
      </c>
      <c r="M430" s="1">
        <v>6</v>
      </c>
      <c r="N430" s="1">
        <v>0.2</v>
      </c>
      <c r="O430" s="17">
        <v>0.50039999999999996</v>
      </c>
      <c r="P430" s="17">
        <f>('Work File (2)'!$L430*'Work File (2)'!$M430)*(1-'Work File (2)'!$N430)</f>
        <v>32.025599999999997</v>
      </c>
      <c r="Q430" s="1">
        <f>YEAR(Table2[[#This Row],[Order Date]])</f>
        <v>2019</v>
      </c>
      <c r="R430" s="18" t="str">
        <f>TEXT(Table2[[#This Row],[Order Date]],"mmm")</f>
        <v>Oct</v>
      </c>
      <c r="S430" s="18"/>
    </row>
    <row r="431" spans="1:19" x14ac:dyDescent="0.2">
      <c r="A431" s="1">
        <v>430</v>
      </c>
      <c r="B431" s="1" t="s">
        <v>944</v>
      </c>
      <c r="C431" s="2">
        <v>43205</v>
      </c>
      <c r="D431" s="1" t="s">
        <v>36</v>
      </c>
      <c r="E431" s="1" t="s">
        <v>945</v>
      </c>
      <c r="F431" s="1" t="s">
        <v>946</v>
      </c>
      <c r="G431" s="1" t="s">
        <v>62</v>
      </c>
      <c r="H431" s="1" t="s">
        <v>21</v>
      </c>
      <c r="I431" s="1" t="s">
        <v>32</v>
      </c>
      <c r="J431" s="1" t="s">
        <v>53</v>
      </c>
      <c r="K431" s="1" t="s">
        <v>947</v>
      </c>
      <c r="L431" s="17">
        <v>189.58800000000005</v>
      </c>
      <c r="M431" s="1">
        <v>2</v>
      </c>
      <c r="N431" s="1">
        <v>0.7</v>
      </c>
      <c r="O431" s="17">
        <v>-145.35079999999999</v>
      </c>
      <c r="P431" s="17">
        <f>('Work File (2)'!$L431*'Work File (2)'!$M431)*(1-'Work File (2)'!$N431)</f>
        <v>113.75280000000005</v>
      </c>
      <c r="Q431" s="1">
        <f>YEAR(Table2[[#This Row],[Order Date]])</f>
        <v>2018</v>
      </c>
      <c r="R431" s="18" t="str">
        <f>TEXT(Table2[[#This Row],[Order Date]],"mmm")</f>
        <v>Apr</v>
      </c>
      <c r="S431" s="18"/>
    </row>
    <row r="432" spans="1:19" x14ac:dyDescent="0.2">
      <c r="A432" s="1">
        <v>431</v>
      </c>
      <c r="B432" s="1" t="s">
        <v>944</v>
      </c>
      <c r="C432" s="2">
        <v>43205</v>
      </c>
      <c r="D432" s="1" t="s">
        <v>36</v>
      </c>
      <c r="E432" s="1" t="s">
        <v>945</v>
      </c>
      <c r="F432" s="1" t="s">
        <v>946</v>
      </c>
      <c r="G432" s="1" t="s">
        <v>62</v>
      </c>
      <c r="H432" s="1" t="s">
        <v>21</v>
      </c>
      <c r="I432" s="1" t="s">
        <v>50</v>
      </c>
      <c r="J432" s="1" t="s">
        <v>111</v>
      </c>
      <c r="K432" s="1" t="s">
        <v>467</v>
      </c>
      <c r="L432" s="17">
        <v>408.74399999999997</v>
      </c>
      <c r="M432" s="1">
        <v>7</v>
      </c>
      <c r="N432" s="1">
        <v>0.2</v>
      </c>
      <c r="O432" s="17">
        <v>76.639499999999984</v>
      </c>
      <c r="P432" s="17">
        <f>('Work File (2)'!$L432*'Work File (2)'!$M432)*(1-'Work File (2)'!$N432)</f>
        <v>2288.9663999999998</v>
      </c>
      <c r="Q432" s="1">
        <f>YEAR(Table2[[#This Row],[Order Date]])</f>
        <v>2018</v>
      </c>
      <c r="R432" s="18" t="str">
        <f>TEXT(Table2[[#This Row],[Order Date]],"mmm")</f>
        <v>Apr</v>
      </c>
      <c r="S432" s="18"/>
    </row>
    <row r="433" spans="1:19" x14ac:dyDescent="0.2">
      <c r="A433" s="1">
        <v>432</v>
      </c>
      <c r="B433" s="1" t="s">
        <v>944</v>
      </c>
      <c r="C433" s="2">
        <v>43205</v>
      </c>
      <c r="D433" s="1" t="s">
        <v>36</v>
      </c>
      <c r="E433" s="1" t="s">
        <v>945</v>
      </c>
      <c r="F433" s="1" t="s">
        <v>946</v>
      </c>
      <c r="G433" s="1" t="s">
        <v>62</v>
      </c>
      <c r="H433" s="1" t="s">
        <v>21</v>
      </c>
      <c r="I433" s="1" t="s">
        <v>50</v>
      </c>
      <c r="J433" s="1" t="s">
        <v>111</v>
      </c>
      <c r="K433" s="1" t="s">
        <v>467</v>
      </c>
      <c r="L433" s="17">
        <v>291.95999999999998</v>
      </c>
      <c r="M433" s="1">
        <v>5</v>
      </c>
      <c r="N433" s="1">
        <v>0.2</v>
      </c>
      <c r="O433" s="17">
        <v>54.742499999999978</v>
      </c>
      <c r="P433" s="17">
        <f>('Work File (2)'!$L433*'Work File (2)'!$M433)*(1-'Work File (2)'!$N433)</f>
        <v>1167.8399999999999</v>
      </c>
      <c r="Q433" s="1">
        <f>YEAR(Table2[[#This Row],[Order Date]])</f>
        <v>2018</v>
      </c>
      <c r="R433" s="18" t="str">
        <f>TEXT(Table2[[#This Row],[Order Date]],"mmm")</f>
        <v>Apr</v>
      </c>
      <c r="S433" s="18"/>
    </row>
    <row r="434" spans="1:19" x14ac:dyDescent="0.2">
      <c r="A434" s="1">
        <v>433</v>
      </c>
      <c r="B434" s="1" t="s">
        <v>944</v>
      </c>
      <c r="C434" s="2">
        <v>43205</v>
      </c>
      <c r="D434" s="1" t="s">
        <v>36</v>
      </c>
      <c r="E434" s="1" t="s">
        <v>945</v>
      </c>
      <c r="F434" s="1" t="s">
        <v>946</v>
      </c>
      <c r="G434" s="1" t="s">
        <v>62</v>
      </c>
      <c r="H434" s="1" t="s">
        <v>21</v>
      </c>
      <c r="I434" s="1" t="s">
        <v>32</v>
      </c>
      <c r="J434" s="1" t="s">
        <v>42</v>
      </c>
      <c r="K434" s="1" t="s">
        <v>948</v>
      </c>
      <c r="L434" s="17">
        <v>4.7679999999999998</v>
      </c>
      <c r="M434" s="1">
        <v>2</v>
      </c>
      <c r="N434" s="1">
        <v>0.2</v>
      </c>
      <c r="O434" s="17">
        <v>-0.7748000000000006</v>
      </c>
      <c r="P434" s="17">
        <f>('Work File (2)'!$L434*'Work File (2)'!$M434)*(1-'Work File (2)'!$N434)</f>
        <v>7.6288</v>
      </c>
      <c r="Q434" s="1">
        <f>YEAR(Table2[[#This Row],[Order Date]])</f>
        <v>2018</v>
      </c>
      <c r="R434" s="18" t="str">
        <f>TEXT(Table2[[#This Row],[Order Date]],"mmm")</f>
        <v>Apr</v>
      </c>
      <c r="S434" s="18"/>
    </row>
    <row r="435" spans="1:19" x14ac:dyDescent="0.2">
      <c r="A435" s="1">
        <v>434</v>
      </c>
      <c r="B435" s="1" t="s">
        <v>949</v>
      </c>
      <c r="C435" s="2">
        <v>43257</v>
      </c>
      <c r="D435" s="1" t="s">
        <v>128</v>
      </c>
      <c r="E435" s="1" t="s">
        <v>414</v>
      </c>
      <c r="F435" s="1" t="s">
        <v>780</v>
      </c>
      <c r="G435" s="1" t="s">
        <v>781</v>
      </c>
      <c r="H435" s="1" t="s">
        <v>103</v>
      </c>
      <c r="I435" s="1" t="s">
        <v>32</v>
      </c>
      <c r="J435" s="1" t="s">
        <v>42</v>
      </c>
      <c r="K435" s="1" t="s">
        <v>950</v>
      </c>
      <c r="L435" s="17">
        <v>714.30000000000007</v>
      </c>
      <c r="M435" s="1">
        <v>5</v>
      </c>
      <c r="N435" s="1">
        <v>0</v>
      </c>
      <c r="O435" s="17">
        <v>207.14699999999993</v>
      </c>
      <c r="P435" s="17">
        <f>('Work File (2)'!$L435*'Work File (2)'!$M435)*(1-'Work File (2)'!$N435)</f>
        <v>3571.5000000000005</v>
      </c>
      <c r="Q435" s="1">
        <f>YEAR(Table2[[#This Row],[Order Date]])</f>
        <v>2018</v>
      </c>
      <c r="R435" s="18" t="str">
        <f>TEXT(Table2[[#This Row],[Order Date]],"mmm")</f>
        <v>Jun</v>
      </c>
      <c r="S435" s="18"/>
    </row>
    <row r="436" spans="1:19" x14ac:dyDescent="0.2">
      <c r="A436" s="1">
        <v>435</v>
      </c>
      <c r="B436" s="1" t="s">
        <v>951</v>
      </c>
      <c r="C436" s="2">
        <v>42723</v>
      </c>
      <c r="D436" s="1" t="s">
        <v>36</v>
      </c>
      <c r="E436" s="1" t="s">
        <v>952</v>
      </c>
      <c r="F436" s="1" t="s">
        <v>953</v>
      </c>
      <c r="G436" s="1" t="s">
        <v>39</v>
      </c>
      <c r="H436" s="1" t="s">
        <v>21</v>
      </c>
      <c r="I436" s="1" t="s">
        <v>32</v>
      </c>
      <c r="J436" s="1" t="s">
        <v>53</v>
      </c>
      <c r="K436" s="1" t="s">
        <v>954</v>
      </c>
      <c r="L436" s="17">
        <v>4.8120000000000003</v>
      </c>
      <c r="M436" s="1">
        <v>2</v>
      </c>
      <c r="N436" s="1">
        <v>0.7</v>
      </c>
      <c r="O436" s="17">
        <v>-3.6891999999999996</v>
      </c>
      <c r="P436" s="17">
        <f>('Work File (2)'!$L436*'Work File (2)'!$M436)*(1-'Work File (2)'!$N436)</f>
        <v>2.8872000000000004</v>
      </c>
      <c r="Q436" s="1">
        <f>YEAR(Table2[[#This Row],[Order Date]])</f>
        <v>2016</v>
      </c>
      <c r="R436" s="18" t="str">
        <f>TEXT(Table2[[#This Row],[Order Date]],"mmm")</f>
        <v>Dec</v>
      </c>
      <c r="S436" s="18"/>
    </row>
    <row r="437" spans="1:19" x14ac:dyDescent="0.2">
      <c r="A437" s="1">
        <v>436</v>
      </c>
      <c r="B437" s="1" t="s">
        <v>951</v>
      </c>
      <c r="C437" s="2">
        <v>42723</v>
      </c>
      <c r="D437" s="1" t="s">
        <v>36</v>
      </c>
      <c r="E437" s="1" t="s">
        <v>952</v>
      </c>
      <c r="F437" s="1" t="s">
        <v>953</v>
      </c>
      <c r="G437" s="1" t="s">
        <v>39</v>
      </c>
      <c r="H437" s="1" t="s">
        <v>21</v>
      </c>
      <c r="I437" s="1" t="s">
        <v>50</v>
      </c>
      <c r="J437" s="1" t="s">
        <v>111</v>
      </c>
      <c r="K437" s="1" t="s">
        <v>955</v>
      </c>
      <c r="L437" s="17">
        <v>247.8</v>
      </c>
      <c r="M437" s="1">
        <v>5</v>
      </c>
      <c r="N437" s="1">
        <v>0.2</v>
      </c>
      <c r="O437" s="17">
        <v>-18.584999999999994</v>
      </c>
      <c r="P437" s="17">
        <f>('Work File (2)'!$L437*'Work File (2)'!$M437)*(1-'Work File (2)'!$N437)</f>
        <v>991.2</v>
      </c>
      <c r="Q437" s="1">
        <f>YEAR(Table2[[#This Row],[Order Date]])</f>
        <v>2016</v>
      </c>
      <c r="R437" s="18" t="str">
        <f>TEXT(Table2[[#This Row],[Order Date]],"mmm")</f>
        <v>Dec</v>
      </c>
      <c r="S437" s="18"/>
    </row>
    <row r="438" spans="1:19" x14ac:dyDescent="0.2">
      <c r="A438" s="1">
        <v>437</v>
      </c>
      <c r="B438" s="1" t="s">
        <v>956</v>
      </c>
      <c r="C438" s="2">
        <v>43263</v>
      </c>
      <c r="D438" s="1" t="s">
        <v>17</v>
      </c>
      <c r="E438" s="1" t="s">
        <v>957</v>
      </c>
      <c r="F438" s="1" t="s">
        <v>200</v>
      </c>
      <c r="G438" s="1" t="s">
        <v>142</v>
      </c>
      <c r="H438" s="1" t="s">
        <v>74</v>
      </c>
      <c r="I438" s="1" t="s">
        <v>50</v>
      </c>
      <c r="J438" s="1" t="s">
        <v>439</v>
      </c>
      <c r="K438" s="1" t="s">
        <v>958</v>
      </c>
      <c r="L438" s="17">
        <v>1007.979</v>
      </c>
      <c r="M438" s="1">
        <v>3</v>
      </c>
      <c r="N438" s="1">
        <v>0.3</v>
      </c>
      <c r="O438" s="17">
        <v>43.199100000000044</v>
      </c>
      <c r="P438" s="17">
        <f>('Work File (2)'!$L438*'Work File (2)'!$M438)*(1-'Work File (2)'!$N438)</f>
        <v>2116.7558999999997</v>
      </c>
      <c r="Q438" s="1">
        <f>YEAR(Table2[[#This Row],[Order Date]])</f>
        <v>2018</v>
      </c>
      <c r="R438" s="18" t="str">
        <f>TEXT(Table2[[#This Row],[Order Date]],"mmm")</f>
        <v>Jun</v>
      </c>
      <c r="S438" s="18"/>
    </row>
    <row r="439" spans="1:19" x14ac:dyDescent="0.2">
      <c r="A439" s="1">
        <v>438</v>
      </c>
      <c r="B439" s="1" t="s">
        <v>956</v>
      </c>
      <c r="C439" s="2">
        <v>43263</v>
      </c>
      <c r="D439" s="1" t="s">
        <v>17</v>
      </c>
      <c r="E439" s="1" t="s">
        <v>957</v>
      </c>
      <c r="F439" s="1" t="s">
        <v>200</v>
      </c>
      <c r="G439" s="1" t="s">
        <v>142</v>
      </c>
      <c r="H439" s="1" t="s">
        <v>74</v>
      </c>
      <c r="I439" s="1" t="s">
        <v>32</v>
      </c>
      <c r="J439" s="1" t="s">
        <v>63</v>
      </c>
      <c r="K439" s="1" t="s">
        <v>902</v>
      </c>
      <c r="L439" s="17">
        <v>313.488</v>
      </c>
      <c r="M439" s="1">
        <v>7</v>
      </c>
      <c r="N439" s="1">
        <v>0.2</v>
      </c>
      <c r="O439" s="17">
        <v>113.63939999999998</v>
      </c>
      <c r="P439" s="17">
        <f>('Work File (2)'!$L439*'Work File (2)'!$M439)*(1-'Work File (2)'!$N439)</f>
        <v>1755.5328000000002</v>
      </c>
      <c r="Q439" s="1">
        <f>YEAR(Table2[[#This Row],[Order Date]])</f>
        <v>2018</v>
      </c>
      <c r="R439" s="18" t="str">
        <f>TEXT(Table2[[#This Row],[Order Date]],"mmm")</f>
        <v>Jun</v>
      </c>
      <c r="S439" s="18"/>
    </row>
    <row r="440" spans="1:19" x14ac:dyDescent="0.2">
      <c r="A440" s="1">
        <v>439</v>
      </c>
      <c r="B440" s="1" t="s">
        <v>959</v>
      </c>
      <c r="C440" s="2">
        <v>43723</v>
      </c>
      <c r="D440" s="1" t="s">
        <v>36</v>
      </c>
      <c r="E440" s="1" t="s">
        <v>960</v>
      </c>
      <c r="F440" s="1" t="s">
        <v>125</v>
      </c>
      <c r="G440" s="1" t="s">
        <v>73</v>
      </c>
      <c r="H440" s="1" t="s">
        <v>74</v>
      </c>
      <c r="I440" s="1" t="s">
        <v>32</v>
      </c>
      <c r="J440" s="1" t="s">
        <v>63</v>
      </c>
      <c r="K440" s="1" t="s">
        <v>961</v>
      </c>
      <c r="L440" s="17">
        <v>31.872000000000003</v>
      </c>
      <c r="M440" s="1">
        <v>8</v>
      </c>
      <c r="N440" s="1">
        <v>0.2</v>
      </c>
      <c r="O440" s="17">
        <v>11.553600000000003</v>
      </c>
      <c r="P440" s="17">
        <f>('Work File (2)'!$L440*'Work File (2)'!$M440)*(1-'Work File (2)'!$N440)</f>
        <v>203.98080000000004</v>
      </c>
      <c r="Q440" s="1">
        <f>YEAR(Table2[[#This Row],[Order Date]])</f>
        <v>2019</v>
      </c>
      <c r="R440" s="18" t="str">
        <f>TEXT(Table2[[#This Row],[Order Date]],"mmm")</f>
        <v>Sep</v>
      </c>
      <c r="S440" s="18"/>
    </row>
    <row r="441" spans="1:19" x14ac:dyDescent="0.2">
      <c r="A441" s="1">
        <v>440</v>
      </c>
      <c r="B441" s="1" t="s">
        <v>962</v>
      </c>
      <c r="C441" s="2">
        <v>43485</v>
      </c>
      <c r="D441" s="1" t="s">
        <v>17</v>
      </c>
      <c r="E441" s="1" t="s">
        <v>313</v>
      </c>
      <c r="F441" s="1" t="s">
        <v>178</v>
      </c>
      <c r="G441" s="1" t="s">
        <v>179</v>
      </c>
      <c r="H441" s="1" t="s">
        <v>103</v>
      </c>
      <c r="I441" s="1" t="s">
        <v>22</v>
      </c>
      <c r="J441" s="1" t="s">
        <v>25</v>
      </c>
      <c r="K441" s="1" t="s">
        <v>963</v>
      </c>
      <c r="L441" s="17">
        <v>207.84600000000003</v>
      </c>
      <c r="M441" s="1">
        <v>3</v>
      </c>
      <c r="N441" s="1">
        <v>0.1</v>
      </c>
      <c r="O441" s="17">
        <v>2.3093999999999895</v>
      </c>
      <c r="P441" s="17">
        <f>('Work File (2)'!$L441*'Work File (2)'!$M441)*(1-'Work File (2)'!$N441)</f>
        <v>561.18420000000015</v>
      </c>
      <c r="Q441" s="1">
        <f>YEAR(Table2[[#This Row],[Order Date]])</f>
        <v>2019</v>
      </c>
      <c r="R441" s="18" t="str">
        <f>TEXT(Table2[[#This Row],[Order Date]],"mmm")</f>
        <v>Jan</v>
      </c>
      <c r="S441" s="18"/>
    </row>
    <row r="442" spans="1:19" x14ac:dyDescent="0.2">
      <c r="A442" s="1">
        <v>441</v>
      </c>
      <c r="B442" s="1" t="s">
        <v>964</v>
      </c>
      <c r="C442" s="2">
        <v>43348</v>
      </c>
      <c r="D442" s="1" t="s">
        <v>17</v>
      </c>
      <c r="E442" s="1" t="s">
        <v>78</v>
      </c>
      <c r="F442" s="1" t="s">
        <v>560</v>
      </c>
      <c r="G442" s="1" t="s">
        <v>160</v>
      </c>
      <c r="H442" s="1" t="s">
        <v>74</v>
      </c>
      <c r="I442" s="1" t="s">
        <v>22</v>
      </c>
      <c r="J442" s="1" t="s">
        <v>46</v>
      </c>
      <c r="K442" s="1" t="s">
        <v>965</v>
      </c>
      <c r="L442" s="17">
        <v>12.22</v>
      </c>
      <c r="M442" s="1">
        <v>1</v>
      </c>
      <c r="N442" s="1">
        <v>0</v>
      </c>
      <c r="O442" s="17">
        <v>3.6659999999999986</v>
      </c>
      <c r="P442" s="17">
        <f>('Work File (2)'!$L442*'Work File (2)'!$M442)*(1-'Work File (2)'!$N442)</f>
        <v>12.22</v>
      </c>
      <c r="Q442" s="1">
        <f>YEAR(Table2[[#This Row],[Order Date]])</f>
        <v>2018</v>
      </c>
      <c r="R442" s="18" t="str">
        <f>TEXT(Table2[[#This Row],[Order Date]],"mmm")</f>
        <v>Sep</v>
      </c>
      <c r="S442" s="18"/>
    </row>
    <row r="443" spans="1:19" x14ac:dyDescent="0.2">
      <c r="A443" s="1">
        <v>442</v>
      </c>
      <c r="B443" s="1" t="s">
        <v>964</v>
      </c>
      <c r="C443" s="2">
        <v>43348</v>
      </c>
      <c r="D443" s="1" t="s">
        <v>17</v>
      </c>
      <c r="E443" s="1" t="s">
        <v>78</v>
      </c>
      <c r="F443" s="1" t="s">
        <v>560</v>
      </c>
      <c r="G443" s="1" t="s">
        <v>160</v>
      </c>
      <c r="H443" s="1" t="s">
        <v>74</v>
      </c>
      <c r="I443" s="1" t="s">
        <v>32</v>
      </c>
      <c r="J443" s="1" t="s">
        <v>42</v>
      </c>
      <c r="K443" s="1" t="s">
        <v>966</v>
      </c>
      <c r="L443" s="17">
        <v>194.94</v>
      </c>
      <c r="M443" s="1">
        <v>3</v>
      </c>
      <c r="N443" s="1">
        <v>0</v>
      </c>
      <c r="O443" s="17">
        <v>23.392800000000008</v>
      </c>
      <c r="P443" s="17">
        <f>('Work File (2)'!$L443*'Work File (2)'!$M443)*(1-'Work File (2)'!$N443)</f>
        <v>584.81999999999994</v>
      </c>
      <c r="Q443" s="1">
        <f>YEAR(Table2[[#This Row],[Order Date]])</f>
        <v>2018</v>
      </c>
      <c r="R443" s="18" t="str">
        <f>TEXT(Table2[[#This Row],[Order Date]],"mmm")</f>
        <v>Sep</v>
      </c>
      <c r="S443" s="18"/>
    </row>
    <row r="444" spans="1:19" x14ac:dyDescent="0.2">
      <c r="A444" s="1">
        <v>443</v>
      </c>
      <c r="B444" s="1" t="s">
        <v>964</v>
      </c>
      <c r="C444" s="2">
        <v>43348</v>
      </c>
      <c r="D444" s="1" t="s">
        <v>17</v>
      </c>
      <c r="E444" s="1" t="s">
        <v>78</v>
      </c>
      <c r="F444" s="1" t="s">
        <v>560</v>
      </c>
      <c r="G444" s="1" t="s">
        <v>160</v>
      </c>
      <c r="H444" s="1" t="s">
        <v>74</v>
      </c>
      <c r="I444" s="1" t="s">
        <v>32</v>
      </c>
      <c r="J444" s="1" t="s">
        <v>42</v>
      </c>
      <c r="K444" s="1" t="s">
        <v>967</v>
      </c>
      <c r="L444" s="17">
        <v>70.949999999999989</v>
      </c>
      <c r="M444" s="1">
        <v>3</v>
      </c>
      <c r="N444" s="1">
        <v>0</v>
      </c>
      <c r="O444" s="17">
        <v>20.575499999999998</v>
      </c>
      <c r="P444" s="17">
        <f>('Work File (2)'!$L444*'Work File (2)'!$M444)*(1-'Work File (2)'!$N444)</f>
        <v>212.84999999999997</v>
      </c>
      <c r="Q444" s="1">
        <f>YEAR(Table2[[#This Row],[Order Date]])</f>
        <v>2018</v>
      </c>
      <c r="R444" s="18" t="str">
        <f>TEXT(Table2[[#This Row],[Order Date]],"mmm")</f>
        <v>Sep</v>
      </c>
      <c r="S444" s="18"/>
    </row>
    <row r="445" spans="1:19" x14ac:dyDescent="0.2">
      <c r="A445" s="1">
        <v>444</v>
      </c>
      <c r="B445" s="1" t="s">
        <v>964</v>
      </c>
      <c r="C445" s="2">
        <v>43348</v>
      </c>
      <c r="D445" s="1" t="s">
        <v>17</v>
      </c>
      <c r="E445" s="1" t="s">
        <v>78</v>
      </c>
      <c r="F445" s="1" t="s">
        <v>560</v>
      </c>
      <c r="G445" s="1" t="s">
        <v>160</v>
      </c>
      <c r="H445" s="1" t="s">
        <v>74</v>
      </c>
      <c r="I445" s="1" t="s">
        <v>32</v>
      </c>
      <c r="J445" s="1" t="s">
        <v>63</v>
      </c>
      <c r="K445" s="1" t="s">
        <v>968</v>
      </c>
      <c r="L445" s="17">
        <v>91.36</v>
      </c>
      <c r="M445" s="1">
        <v>4</v>
      </c>
      <c r="N445" s="1">
        <v>0</v>
      </c>
      <c r="O445" s="17">
        <v>42.025599999999997</v>
      </c>
      <c r="P445" s="17">
        <f>('Work File (2)'!$L445*'Work File (2)'!$M445)*(1-'Work File (2)'!$N445)</f>
        <v>365.44</v>
      </c>
      <c r="Q445" s="1">
        <f>YEAR(Table2[[#This Row],[Order Date]])</f>
        <v>2018</v>
      </c>
      <c r="R445" s="18" t="str">
        <f>TEXT(Table2[[#This Row],[Order Date]],"mmm")</f>
        <v>Sep</v>
      </c>
      <c r="S445" s="18"/>
    </row>
    <row r="446" spans="1:19" x14ac:dyDescent="0.2">
      <c r="A446" s="1">
        <v>445</v>
      </c>
      <c r="B446" s="1" t="s">
        <v>964</v>
      </c>
      <c r="C446" s="2">
        <v>43348</v>
      </c>
      <c r="D446" s="1" t="s">
        <v>17</v>
      </c>
      <c r="E446" s="1" t="s">
        <v>78</v>
      </c>
      <c r="F446" s="1" t="s">
        <v>560</v>
      </c>
      <c r="G446" s="1" t="s">
        <v>160</v>
      </c>
      <c r="H446" s="1" t="s">
        <v>74</v>
      </c>
      <c r="I446" s="1" t="s">
        <v>22</v>
      </c>
      <c r="J446" s="1" t="s">
        <v>25</v>
      </c>
      <c r="K446" s="1" t="s">
        <v>969</v>
      </c>
      <c r="L446" s="17">
        <v>242.94</v>
      </c>
      <c r="M446" s="1">
        <v>3</v>
      </c>
      <c r="N446" s="1">
        <v>0</v>
      </c>
      <c r="O446" s="17">
        <v>29.152800000000013</v>
      </c>
      <c r="P446" s="17">
        <f>('Work File (2)'!$L446*'Work File (2)'!$M446)*(1-'Work File (2)'!$N446)</f>
        <v>728.81999999999994</v>
      </c>
      <c r="Q446" s="1">
        <f>YEAR(Table2[[#This Row],[Order Date]])</f>
        <v>2018</v>
      </c>
      <c r="R446" s="18" t="str">
        <f>TEXT(Table2[[#This Row],[Order Date]],"mmm")</f>
        <v>Sep</v>
      </c>
      <c r="S446" s="18"/>
    </row>
    <row r="447" spans="1:19" x14ac:dyDescent="0.2">
      <c r="A447" s="1">
        <v>446</v>
      </c>
      <c r="B447" s="1" t="s">
        <v>964</v>
      </c>
      <c r="C447" s="2">
        <v>43348</v>
      </c>
      <c r="D447" s="1" t="s">
        <v>17</v>
      </c>
      <c r="E447" s="1" t="s">
        <v>78</v>
      </c>
      <c r="F447" s="1" t="s">
        <v>560</v>
      </c>
      <c r="G447" s="1" t="s">
        <v>160</v>
      </c>
      <c r="H447" s="1" t="s">
        <v>74</v>
      </c>
      <c r="I447" s="1" t="s">
        <v>32</v>
      </c>
      <c r="J447" s="1" t="s">
        <v>33</v>
      </c>
      <c r="K447" s="1" t="s">
        <v>970</v>
      </c>
      <c r="L447" s="17">
        <v>22.05</v>
      </c>
      <c r="M447" s="1">
        <v>7</v>
      </c>
      <c r="N447" s="1">
        <v>0</v>
      </c>
      <c r="O447" s="17">
        <v>10.584</v>
      </c>
      <c r="P447" s="17">
        <f>('Work File (2)'!$L447*'Work File (2)'!$M447)*(1-'Work File (2)'!$N447)</f>
        <v>154.35</v>
      </c>
      <c r="Q447" s="1">
        <f>YEAR(Table2[[#This Row],[Order Date]])</f>
        <v>2018</v>
      </c>
      <c r="R447" s="18" t="str">
        <f>TEXT(Table2[[#This Row],[Order Date]],"mmm")</f>
        <v>Sep</v>
      </c>
      <c r="S447" s="18"/>
    </row>
    <row r="448" spans="1:19" x14ac:dyDescent="0.2">
      <c r="A448" s="1">
        <v>447</v>
      </c>
      <c r="B448" s="1" t="s">
        <v>971</v>
      </c>
      <c r="C448" s="2">
        <v>43544</v>
      </c>
      <c r="D448" s="1" t="s">
        <v>17</v>
      </c>
      <c r="E448" s="1" t="s">
        <v>972</v>
      </c>
      <c r="F448" s="1" t="s">
        <v>323</v>
      </c>
      <c r="G448" s="1" t="s">
        <v>171</v>
      </c>
      <c r="H448" s="1" t="s">
        <v>74</v>
      </c>
      <c r="I448" s="1" t="s">
        <v>22</v>
      </c>
      <c r="J448" s="1" t="s">
        <v>46</v>
      </c>
      <c r="K448" s="1" t="s">
        <v>973</v>
      </c>
      <c r="L448" s="17">
        <v>2.91</v>
      </c>
      <c r="M448" s="1">
        <v>1</v>
      </c>
      <c r="N448" s="1">
        <v>0</v>
      </c>
      <c r="O448" s="17">
        <v>1.3676999999999999</v>
      </c>
      <c r="P448" s="17">
        <f>('Work File (2)'!$L448*'Work File (2)'!$M448)*(1-'Work File (2)'!$N448)</f>
        <v>2.91</v>
      </c>
      <c r="Q448" s="1">
        <f>YEAR(Table2[[#This Row],[Order Date]])</f>
        <v>2019</v>
      </c>
      <c r="R448" s="18" t="str">
        <f>TEXT(Table2[[#This Row],[Order Date]],"mmm")</f>
        <v>Mar</v>
      </c>
      <c r="S448" s="18"/>
    </row>
    <row r="449" spans="1:19" x14ac:dyDescent="0.2">
      <c r="A449" s="1">
        <v>448</v>
      </c>
      <c r="B449" s="1" t="s">
        <v>974</v>
      </c>
      <c r="C449" s="2">
        <v>43191</v>
      </c>
      <c r="D449" s="1" t="s">
        <v>17</v>
      </c>
      <c r="E449" s="1" t="s">
        <v>975</v>
      </c>
      <c r="F449" s="1" t="s">
        <v>976</v>
      </c>
      <c r="G449" s="1" t="s">
        <v>179</v>
      </c>
      <c r="H449" s="1" t="s">
        <v>103</v>
      </c>
      <c r="I449" s="1" t="s">
        <v>32</v>
      </c>
      <c r="J449" s="1" t="s">
        <v>48</v>
      </c>
      <c r="K449" s="1" t="s">
        <v>977</v>
      </c>
      <c r="L449" s="17">
        <v>59.519999999999996</v>
      </c>
      <c r="M449" s="1">
        <v>3</v>
      </c>
      <c r="N449" s="1">
        <v>0</v>
      </c>
      <c r="O449" s="17">
        <v>15.475200000000001</v>
      </c>
      <c r="P449" s="17">
        <f>('Work File (2)'!$L449*'Work File (2)'!$M449)*(1-'Work File (2)'!$N449)</f>
        <v>178.56</v>
      </c>
      <c r="Q449" s="1">
        <f>YEAR(Table2[[#This Row],[Order Date]])</f>
        <v>2018</v>
      </c>
      <c r="R449" s="18" t="str">
        <f>TEXT(Table2[[#This Row],[Order Date]],"mmm")</f>
        <v>Apr</v>
      </c>
      <c r="S449" s="18"/>
    </row>
    <row r="450" spans="1:19" x14ac:dyDescent="0.2">
      <c r="A450" s="1">
        <v>449</v>
      </c>
      <c r="B450" s="1" t="s">
        <v>974</v>
      </c>
      <c r="C450" s="2">
        <v>43191</v>
      </c>
      <c r="D450" s="1" t="s">
        <v>17</v>
      </c>
      <c r="E450" s="1" t="s">
        <v>975</v>
      </c>
      <c r="F450" s="1" t="s">
        <v>976</v>
      </c>
      <c r="G450" s="1" t="s">
        <v>179</v>
      </c>
      <c r="H450" s="1" t="s">
        <v>103</v>
      </c>
      <c r="I450" s="1" t="s">
        <v>32</v>
      </c>
      <c r="J450" s="1" t="s">
        <v>42</v>
      </c>
      <c r="K450" s="1" t="s">
        <v>978</v>
      </c>
      <c r="L450" s="17">
        <v>161.94</v>
      </c>
      <c r="M450" s="1">
        <v>3</v>
      </c>
      <c r="N450" s="1">
        <v>0</v>
      </c>
      <c r="O450" s="17">
        <v>9.716399999999993</v>
      </c>
      <c r="P450" s="17">
        <f>('Work File (2)'!$L450*'Work File (2)'!$M450)*(1-'Work File (2)'!$N450)</f>
        <v>485.82</v>
      </c>
      <c r="Q450" s="1">
        <f>YEAR(Table2[[#This Row],[Order Date]])</f>
        <v>2018</v>
      </c>
      <c r="R450" s="18" t="str">
        <f>TEXT(Table2[[#This Row],[Order Date]],"mmm")</f>
        <v>Apr</v>
      </c>
      <c r="S450" s="18"/>
    </row>
    <row r="451" spans="1:19" x14ac:dyDescent="0.2">
      <c r="A451" s="1">
        <v>450</v>
      </c>
      <c r="B451" s="1" t="s">
        <v>974</v>
      </c>
      <c r="C451" s="2">
        <v>43191</v>
      </c>
      <c r="D451" s="1" t="s">
        <v>17</v>
      </c>
      <c r="E451" s="1" t="s">
        <v>975</v>
      </c>
      <c r="F451" s="1" t="s">
        <v>976</v>
      </c>
      <c r="G451" s="1" t="s">
        <v>179</v>
      </c>
      <c r="H451" s="1" t="s">
        <v>103</v>
      </c>
      <c r="I451" s="1" t="s">
        <v>32</v>
      </c>
      <c r="J451" s="1" t="s">
        <v>48</v>
      </c>
      <c r="K451" s="1" t="s">
        <v>979</v>
      </c>
      <c r="L451" s="17">
        <v>263.88</v>
      </c>
      <c r="M451" s="1">
        <v>6</v>
      </c>
      <c r="N451" s="1">
        <v>0</v>
      </c>
      <c r="O451" s="17">
        <v>71.247600000000006</v>
      </c>
      <c r="P451" s="17">
        <f>('Work File (2)'!$L451*'Work File (2)'!$M451)*(1-'Work File (2)'!$N451)</f>
        <v>1583.28</v>
      </c>
      <c r="Q451" s="1">
        <f>YEAR(Table2[[#This Row],[Order Date]])</f>
        <v>2018</v>
      </c>
      <c r="R451" s="18" t="str">
        <f>TEXT(Table2[[#This Row],[Order Date]],"mmm")</f>
        <v>Apr</v>
      </c>
      <c r="S451" s="18"/>
    </row>
    <row r="452" spans="1:19" x14ac:dyDescent="0.2">
      <c r="A452" s="1">
        <v>451</v>
      </c>
      <c r="B452" s="1" t="s">
        <v>974</v>
      </c>
      <c r="C452" s="2">
        <v>43191</v>
      </c>
      <c r="D452" s="1" t="s">
        <v>17</v>
      </c>
      <c r="E452" s="1" t="s">
        <v>975</v>
      </c>
      <c r="F452" s="1" t="s">
        <v>976</v>
      </c>
      <c r="G452" s="1" t="s">
        <v>179</v>
      </c>
      <c r="H452" s="1" t="s">
        <v>103</v>
      </c>
      <c r="I452" s="1" t="s">
        <v>32</v>
      </c>
      <c r="J452" s="1" t="s">
        <v>48</v>
      </c>
      <c r="K452" s="1" t="s">
        <v>980</v>
      </c>
      <c r="L452" s="17">
        <v>30.48</v>
      </c>
      <c r="M452" s="1">
        <v>3</v>
      </c>
      <c r="N452" s="1">
        <v>0</v>
      </c>
      <c r="O452" s="17">
        <v>7.9248000000000012</v>
      </c>
      <c r="P452" s="17">
        <f>('Work File (2)'!$L452*'Work File (2)'!$M452)*(1-'Work File (2)'!$N452)</f>
        <v>91.44</v>
      </c>
      <c r="Q452" s="1">
        <f>YEAR(Table2[[#This Row],[Order Date]])</f>
        <v>2018</v>
      </c>
      <c r="R452" s="18" t="str">
        <f>TEXT(Table2[[#This Row],[Order Date]],"mmm")</f>
        <v>Apr</v>
      </c>
      <c r="S452" s="18"/>
    </row>
    <row r="453" spans="1:19" x14ac:dyDescent="0.2">
      <c r="A453" s="1">
        <v>452</v>
      </c>
      <c r="B453" s="1" t="s">
        <v>974</v>
      </c>
      <c r="C453" s="2">
        <v>43191</v>
      </c>
      <c r="D453" s="1" t="s">
        <v>17</v>
      </c>
      <c r="E453" s="1" t="s">
        <v>975</v>
      </c>
      <c r="F453" s="1" t="s">
        <v>976</v>
      </c>
      <c r="G453" s="1" t="s">
        <v>179</v>
      </c>
      <c r="H453" s="1" t="s">
        <v>103</v>
      </c>
      <c r="I453" s="1" t="s">
        <v>32</v>
      </c>
      <c r="J453" s="1" t="s">
        <v>48</v>
      </c>
      <c r="K453" s="1" t="s">
        <v>981</v>
      </c>
      <c r="L453" s="17">
        <v>9.84</v>
      </c>
      <c r="M453" s="1">
        <v>3</v>
      </c>
      <c r="N453" s="1">
        <v>0</v>
      </c>
      <c r="O453" s="17">
        <v>2.8535999999999988</v>
      </c>
      <c r="P453" s="17">
        <f>('Work File (2)'!$L453*'Work File (2)'!$M453)*(1-'Work File (2)'!$N453)</f>
        <v>29.52</v>
      </c>
      <c r="Q453" s="1">
        <f>YEAR(Table2[[#This Row],[Order Date]])</f>
        <v>2018</v>
      </c>
      <c r="R453" s="18" t="str">
        <f>TEXT(Table2[[#This Row],[Order Date]],"mmm")</f>
        <v>Apr</v>
      </c>
      <c r="S453" s="18"/>
    </row>
    <row r="454" spans="1:19" x14ac:dyDescent="0.2">
      <c r="A454" s="1">
        <v>453</v>
      </c>
      <c r="B454" s="1" t="s">
        <v>974</v>
      </c>
      <c r="C454" s="2">
        <v>43191</v>
      </c>
      <c r="D454" s="1" t="s">
        <v>17</v>
      </c>
      <c r="E454" s="1" t="s">
        <v>975</v>
      </c>
      <c r="F454" s="1" t="s">
        <v>976</v>
      </c>
      <c r="G454" s="1" t="s">
        <v>179</v>
      </c>
      <c r="H454" s="1" t="s">
        <v>103</v>
      </c>
      <c r="I454" s="1" t="s">
        <v>50</v>
      </c>
      <c r="J454" s="1" t="s">
        <v>51</v>
      </c>
      <c r="K454" s="1" t="s">
        <v>982</v>
      </c>
      <c r="L454" s="17">
        <v>35.119999999999997</v>
      </c>
      <c r="M454" s="1">
        <v>4</v>
      </c>
      <c r="N454" s="1">
        <v>0</v>
      </c>
      <c r="O454" s="17">
        <v>9.1311999999999998</v>
      </c>
      <c r="P454" s="17">
        <f>('Work File (2)'!$L454*'Work File (2)'!$M454)*(1-'Work File (2)'!$N454)</f>
        <v>140.47999999999999</v>
      </c>
      <c r="Q454" s="1">
        <f>YEAR(Table2[[#This Row],[Order Date]])</f>
        <v>2018</v>
      </c>
      <c r="R454" s="18" t="str">
        <f>TEXT(Table2[[#This Row],[Order Date]],"mmm")</f>
        <v>Apr</v>
      </c>
      <c r="S454" s="18"/>
    </row>
    <row r="455" spans="1:19" x14ac:dyDescent="0.2">
      <c r="A455" s="1">
        <v>454</v>
      </c>
      <c r="B455" s="1" t="s">
        <v>983</v>
      </c>
      <c r="C455" s="2">
        <v>43758</v>
      </c>
      <c r="D455" s="1" t="s">
        <v>36</v>
      </c>
      <c r="E455" s="1" t="s">
        <v>984</v>
      </c>
      <c r="F455" s="1" t="s">
        <v>512</v>
      </c>
      <c r="G455" s="1" t="s">
        <v>324</v>
      </c>
      <c r="H455" s="1" t="s">
        <v>103</v>
      </c>
      <c r="I455" s="1" t="s">
        <v>22</v>
      </c>
      <c r="J455" s="1" t="s">
        <v>40</v>
      </c>
      <c r="K455" s="1" t="s">
        <v>57</v>
      </c>
      <c r="L455" s="17">
        <v>284.36399999999998</v>
      </c>
      <c r="M455" s="1">
        <v>2</v>
      </c>
      <c r="N455" s="1">
        <v>0.4</v>
      </c>
      <c r="O455" s="17">
        <v>-75.830400000000054</v>
      </c>
      <c r="P455" s="17">
        <f>('Work File (2)'!$L455*'Work File (2)'!$M455)*(1-'Work File (2)'!$N455)</f>
        <v>341.23679999999996</v>
      </c>
      <c r="Q455" s="1">
        <f>YEAR(Table2[[#This Row],[Order Date]])</f>
        <v>2019</v>
      </c>
      <c r="R455" s="18" t="str">
        <f>TEXT(Table2[[#This Row],[Order Date]],"mmm")</f>
        <v>Oct</v>
      </c>
      <c r="S455" s="18"/>
    </row>
    <row r="456" spans="1:19" x14ac:dyDescent="0.2">
      <c r="A456" s="1">
        <v>455</v>
      </c>
      <c r="B456" s="1" t="s">
        <v>983</v>
      </c>
      <c r="C456" s="2">
        <v>43758</v>
      </c>
      <c r="D456" s="1" t="s">
        <v>36</v>
      </c>
      <c r="E456" s="1" t="s">
        <v>984</v>
      </c>
      <c r="F456" s="1" t="s">
        <v>512</v>
      </c>
      <c r="G456" s="1" t="s">
        <v>324</v>
      </c>
      <c r="H456" s="1" t="s">
        <v>103</v>
      </c>
      <c r="I456" s="1" t="s">
        <v>32</v>
      </c>
      <c r="J456" s="1" t="s">
        <v>42</v>
      </c>
      <c r="K456" s="1" t="s">
        <v>985</v>
      </c>
      <c r="L456" s="17">
        <v>665.40800000000002</v>
      </c>
      <c r="M456" s="1">
        <v>2</v>
      </c>
      <c r="N456" s="1">
        <v>0.2</v>
      </c>
      <c r="O456" s="17">
        <v>66.540799999999962</v>
      </c>
      <c r="P456" s="17">
        <f>('Work File (2)'!$L456*'Work File (2)'!$M456)*(1-'Work File (2)'!$N456)</f>
        <v>1064.6528000000001</v>
      </c>
      <c r="Q456" s="1">
        <f>YEAR(Table2[[#This Row],[Order Date]])</f>
        <v>2019</v>
      </c>
      <c r="R456" s="18" t="str">
        <f>TEXT(Table2[[#This Row],[Order Date]],"mmm")</f>
        <v>Oct</v>
      </c>
      <c r="S456" s="18"/>
    </row>
    <row r="457" spans="1:19" x14ac:dyDescent="0.2">
      <c r="A457" s="1">
        <v>456</v>
      </c>
      <c r="B457" s="1" t="s">
        <v>986</v>
      </c>
      <c r="C457" s="2">
        <v>43447</v>
      </c>
      <c r="D457" s="1" t="s">
        <v>36</v>
      </c>
      <c r="E457" s="1" t="s">
        <v>942</v>
      </c>
      <c r="F457" s="1" t="s">
        <v>987</v>
      </c>
      <c r="G457" s="1" t="s">
        <v>418</v>
      </c>
      <c r="H457" s="1" t="s">
        <v>74</v>
      </c>
      <c r="I457" s="1" t="s">
        <v>50</v>
      </c>
      <c r="J457" s="1" t="s">
        <v>111</v>
      </c>
      <c r="K457" s="1" t="s">
        <v>988</v>
      </c>
      <c r="L457" s="17">
        <v>63.88</v>
      </c>
      <c r="M457" s="1">
        <v>4</v>
      </c>
      <c r="N457" s="1">
        <v>0</v>
      </c>
      <c r="O457" s="17">
        <v>24.913200000000003</v>
      </c>
      <c r="P457" s="17">
        <f>('Work File (2)'!$L457*'Work File (2)'!$M457)*(1-'Work File (2)'!$N457)</f>
        <v>255.52</v>
      </c>
      <c r="Q457" s="1">
        <f>YEAR(Table2[[#This Row],[Order Date]])</f>
        <v>2018</v>
      </c>
      <c r="R457" s="18" t="str">
        <f>TEXT(Table2[[#This Row],[Order Date]],"mmm")</f>
        <v>Dec</v>
      </c>
      <c r="S457" s="18"/>
    </row>
    <row r="458" spans="1:19" x14ac:dyDescent="0.2">
      <c r="A458" s="1">
        <v>457</v>
      </c>
      <c r="B458" s="1" t="s">
        <v>989</v>
      </c>
      <c r="C458" s="2">
        <v>42412</v>
      </c>
      <c r="D458" s="1" t="s">
        <v>36</v>
      </c>
      <c r="E458" s="1" t="s">
        <v>990</v>
      </c>
      <c r="F458" s="1" t="s">
        <v>61</v>
      </c>
      <c r="G458" s="1" t="s">
        <v>30</v>
      </c>
      <c r="H458" s="1" t="s">
        <v>31</v>
      </c>
      <c r="I458" s="1" t="s">
        <v>22</v>
      </c>
      <c r="J458" s="1" t="s">
        <v>25</v>
      </c>
      <c r="K458" s="1" t="s">
        <v>991</v>
      </c>
      <c r="L458" s="17">
        <v>129.56800000000001</v>
      </c>
      <c r="M458" s="1">
        <v>2</v>
      </c>
      <c r="N458" s="1">
        <v>0.2</v>
      </c>
      <c r="O458" s="17">
        <v>-24.294000000000018</v>
      </c>
      <c r="P458" s="17">
        <f>('Work File (2)'!$L458*'Work File (2)'!$M458)*(1-'Work File (2)'!$N458)</f>
        <v>207.30880000000002</v>
      </c>
      <c r="Q458" s="1">
        <f>YEAR(Table2[[#This Row],[Order Date]])</f>
        <v>2016</v>
      </c>
      <c r="R458" s="18" t="str">
        <f>TEXT(Table2[[#This Row],[Order Date]],"mmm")</f>
        <v>Feb</v>
      </c>
      <c r="S458" s="18"/>
    </row>
    <row r="459" spans="1:19" x14ac:dyDescent="0.2">
      <c r="A459" s="1">
        <v>458</v>
      </c>
      <c r="B459" s="1" t="s">
        <v>992</v>
      </c>
      <c r="C459" s="2">
        <v>43369</v>
      </c>
      <c r="D459" s="1" t="s">
        <v>36</v>
      </c>
      <c r="E459" s="1" t="s">
        <v>930</v>
      </c>
      <c r="F459" s="1" t="s">
        <v>235</v>
      </c>
      <c r="G459" s="1" t="s">
        <v>142</v>
      </c>
      <c r="H459" s="1" t="s">
        <v>74</v>
      </c>
      <c r="I459" s="1" t="s">
        <v>22</v>
      </c>
      <c r="J459" s="1" t="s">
        <v>25</v>
      </c>
      <c r="K459" s="1" t="s">
        <v>993</v>
      </c>
      <c r="L459" s="17">
        <v>747.55799999999999</v>
      </c>
      <c r="M459" s="1">
        <v>3</v>
      </c>
      <c r="N459" s="1">
        <v>0.3</v>
      </c>
      <c r="O459" s="17">
        <v>-96.11460000000011</v>
      </c>
      <c r="P459" s="17">
        <f>('Work File (2)'!$L459*'Work File (2)'!$M459)*(1-'Work File (2)'!$N459)</f>
        <v>1569.8717999999999</v>
      </c>
      <c r="Q459" s="1">
        <f>YEAR(Table2[[#This Row],[Order Date]])</f>
        <v>2018</v>
      </c>
      <c r="R459" s="18" t="str">
        <f>TEXT(Table2[[#This Row],[Order Date]],"mmm")</f>
        <v>Sep</v>
      </c>
      <c r="S459" s="18"/>
    </row>
    <row r="460" spans="1:19" x14ac:dyDescent="0.2">
      <c r="A460" s="1">
        <v>459</v>
      </c>
      <c r="B460" s="1" t="s">
        <v>992</v>
      </c>
      <c r="C460" s="2">
        <v>43369</v>
      </c>
      <c r="D460" s="1" t="s">
        <v>36</v>
      </c>
      <c r="E460" s="1" t="s">
        <v>930</v>
      </c>
      <c r="F460" s="1" t="s">
        <v>235</v>
      </c>
      <c r="G460" s="1" t="s">
        <v>142</v>
      </c>
      <c r="H460" s="1" t="s">
        <v>74</v>
      </c>
      <c r="I460" s="1" t="s">
        <v>32</v>
      </c>
      <c r="J460" s="1" t="s">
        <v>118</v>
      </c>
      <c r="K460" s="1" t="s">
        <v>431</v>
      </c>
      <c r="L460" s="17">
        <v>8.9280000000000008</v>
      </c>
      <c r="M460" s="1">
        <v>2</v>
      </c>
      <c r="N460" s="1">
        <v>0.2</v>
      </c>
      <c r="O460" s="17">
        <v>3.3479999999999999</v>
      </c>
      <c r="P460" s="17">
        <f>('Work File (2)'!$L460*'Work File (2)'!$M460)*(1-'Work File (2)'!$N460)</f>
        <v>14.284800000000002</v>
      </c>
      <c r="Q460" s="1">
        <f>YEAR(Table2[[#This Row],[Order Date]])</f>
        <v>2018</v>
      </c>
      <c r="R460" s="18" t="str">
        <f>TEXT(Table2[[#This Row],[Order Date]],"mmm")</f>
        <v>Sep</v>
      </c>
      <c r="S460" s="18"/>
    </row>
    <row r="461" spans="1:19" x14ac:dyDescent="0.2">
      <c r="A461" s="1">
        <v>460</v>
      </c>
      <c r="B461" s="1" t="s">
        <v>994</v>
      </c>
      <c r="C461" s="2">
        <v>43084</v>
      </c>
      <c r="D461" s="1" t="s">
        <v>36</v>
      </c>
      <c r="E461" s="1" t="s">
        <v>531</v>
      </c>
      <c r="F461" s="1" t="s">
        <v>67</v>
      </c>
      <c r="G461" s="1" t="s">
        <v>68</v>
      </c>
      <c r="H461" s="1" t="s">
        <v>31</v>
      </c>
      <c r="I461" s="1" t="s">
        <v>32</v>
      </c>
      <c r="J461" s="1" t="s">
        <v>55</v>
      </c>
      <c r="K461" s="1" t="s">
        <v>995</v>
      </c>
      <c r="L461" s="17">
        <v>103.92</v>
      </c>
      <c r="M461" s="1">
        <v>4</v>
      </c>
      <c r="N461" s="1">
        <v>0</v>
      </c>
      <c r="O461" s="17">
        <v>36.372</v>
      </c>
      <c r="P461" s="17">
        <f>('Work File (2)'!$L461*'Work File (2)'!$M461)*(1-'Work File (2)'!$N461)</f>
        <v>415.68</v>
      </c>
      <c r="Q461" s="1">
        <f>YEAR(Table2[[#This Row],[Order Date]])</f>
        <v>2017</v>
      </c>
      <c r="R461" s="18" t="str">
        <f>TEXT(Table2[[#This Row],[Order Date]],"mmm")</f>
        <v>Dec</v>
      </c>
      <c r="S461" s="18"/>
    </row>
    <row r="462" spans="1:19" x14ac:dyDescent="0.2">
      <c r="A462" s="1">
        <v>461</v>
      </c>
      <c r="B462" s="1" t="s">
        <v>994</v>
      </c>
      <c r="C462" s="2">
        <v>43084</v>
      </c>
      <c r="D462" s="1" t="s">
        <v>36</v>
      </c>
      <c r="E462" s="1" t="s">
        <v>531</v>
      </c>
      <c r="F462" s="1" t="s">
        <v>67</v>
      </c>
      <c r="G462" s="1" t="s">
        <v>68</v>
      </c>
      <c r="H462" s="1" t="s">
        <v>31</v>
      </c>
      <c r="I462" s="1" t="s">
        <v>50</v>
      </c>
      <c r="J462" s="1" t="s">
        <v>111</v>
      </c>
      <c r="K462" s="1" t="s">
        <v>996</v>
      </c>
      <c r="L462" s="17">
        <v>899.91</v>
      </c>
      <c r="M462" s="1">
        <v>9</v>
      </c>
      <c r="N462" s="1">
        <v>0</v>
      </c>
      <c r="O462" s="17">
        <v>377.96220000000005</v>
      </c>
      <c r="P462" s="17">
        <f>('Work File (2)'!$L462*'Work File (2)'!$M462)*(1-'Work File (2)'!$N462)</f>
        <v>8099.19</v>
      </c>
      <c r="Q462" s="1">
        <f>YEAR(Table2[[#This Row],[Order Date]])</f>
        <v>2017</v>
      </c>
      <c r="R462" s="18" t="str">
        <f>TEXT(Table2[[#This Row],[Order Date]],"mmm")</f>
        <v>Dec</v>
      </c>
      <c r="S462" s="18"/>
    </row>
    <row r="463" spans="1:19" x14ac:dyDescent="0.2">
      <c r="A463" s="1">
        <v>462</v>
      </c>
      <c r="B463" s="1" t="s">
        <v>994</v>
      </c>
      <c r="C463" s="2">
        <v>43084</v>
      </c>
      <c r="D463" s="1" t="s">
        <v>36</v>
      </c>
      <c r="E463" s="1" t="s">
        <v>531</v>
      </c>
      <c r="F463" s="1" t="s">
        <v>67</v>
      </c>
      <c r="G463" s="1" t="s">
        <v>68</v>
      </c>
      <c r="H463" s="1" t="s">
        <v>31</v>
      </c>
      <c r="I463" s="1" t="s">
        <v>32</v>
      </c>
      <c r="J463" s="1" t="s">
        <v>53</v>
      </c>
      <c r="K463" s="1" t="s">
        <v>997</v>
      </c>
      <c r="L463" s="17">
        <v>51.311999999999998</v>
      </c>
      <c r="M463" s="1">
        <v>3</v>
      </c>
      <c r="N463" s="1">
        <v>0.2</v>
      </c>
      <c r="O463" s="17">
        <v>18.600599999999996</v>
      </c>
      <c r="P463" s="17">
        <f>('Work File (2)'!$L463*'Work File (2)'!$M463)*(1-'Work File (2)'!$N463)</f>
        <v>123.14879999999999</v>
      </c>
      <c r="Q463" s="1">
        <f>YEAR(Table2[[#This Row],[Order Date]])</f>
        <v>2017</v>
      </c>
      <c r="R463" s="18" t="str">
        <f>TEXT(Table2[[#This Row],[Order Date]],"mmm")</f>
        <v>Dec</v>
      </c>
      <c r="S463" s="18"/>
    </row>
    <row r="464" spans="1:19" x14ac:dyDescent="0.2">
      <c r="A464" s="1">
        <v>463</v>
      </c>
      <c r="B464" s="1" t="s">
        <v>998</v>
      </c>
      <c r="C464" s="2">
        <v>43212</v>
      </c>
      <c r="D464" s="1" t="s">
        <v>36</v>
      </c>
      <c r="E464" s="1" t="s">
        <v>999</v>
      </c>
      <c r="F464" s="1" t="s">
        <v>352</v>
      </c>
      <c r="G464" s="1" t="s">
        <v>205</v>
      </c>
      <c r="H464" s="1" t="s">
        <v>31</v>
      </c>
      <c r="I464" s="1" t="s">
        <v>22</v>
      </c>
      <c r="J464" s="1" t="s">
        <v>46</v>
      </c>
      <c r="K464" s="1" t="s">
        <v>804</v>
      </c>
      <c r="L464" s="17">
        <v>23.56</v>
      </c>
      <c r="M464" s="1">
        <v>5</v>
      </c>
      <c r="N464" s="1">
        <v>0.2</v>
      </c>
      <c r="O464" s="17">
        <v>7.0680000000000005</v>
      </c>
      <c r="P464" s="17">
        <f>('Work File (2)'!$L464*'Work File (2)'!$M464)*(1-'Work File (2)'!$N464)</f>
        <v>94.240000000000009</v>
      </c>
      <c r="Q464" s="1">
        <f>YEAR(Table2[[#This Row],[Order Date]])</f>
        <v>2018</v>
      </c>
      <c r="R464" s="18" t="str">
        <f>TEXT(Table2[[#This Row],[Order Date]],"mmm")</f>
        <v>Apr</v>
      </c>
      <c r="S464" s="18"/>
    </row>
    <row r="465" spans="1:19" x14ac:dyDescent="0.2">
      <c r="A465" s="1">
        <v>464</v>
      </c>
      <c r="B465" s="1" t="s">
        <v>998</v>
      </c>
      <c r="C465" s="2">
        <v>43212</v>
      </c>
      <c r="D465" s="1" t="s">
        <v>36</v>
      </c>
      <c r="E465" s="1" t="s">
        <v>999</v>
      </c>
      <c r="F465" s="1" t="s">
        <v>352</v>
      </c>
      <c r="G465" s="1" t="s">
        <v>205</v>
      </c>
      <c r="H465" s="1" t="s">
        <v>31</v>
      </c>
      <c r="I465" s="1" t="s">
        <v>22</v>
      </c>
      <c r="J465" s="1" t="s">
        <v>40</v>
      </c>
      <c r="K465" s="1" t="s">
        <v>1000</v>
      </c>
      <c r="L465" s="17">
        <v>1272.6299999999999</v>
      </c>
      <c r="M465" s="1">
        <v>6</v>
      </c>
      <c r="N465" s="1">
        <v>0.5</v>
      </c>
      <c r="O465" s="17">
        <v>-814.4831999999999</v>
      </c>
      <c r="P465" s="17">
        <f>('Work File (2)'!$L465*'Work File (2)'!$M465)*(1-'Work File (2)'!$N465)</f>
        <v>3817.8899999999994</v>
      </c>
      <c r="Q465" s="1">
        <f>YEAR(Table2[[#This Row],[Order Date]])</f>
        <v>2018</v>
      </c>
      <c r="R465" s="18" t="str">
        <f>TEXT(Table2[[#This Row],[Order Date]],"mmm")</f>
        <v>Apr</v>
      </c>
      <c r="S465" s="18"/>
    </row>
    <row r="466" spans="1:19" x14ac:dyDescent="0.2">
      <c r="A466" s="1">
        <v>465</v>
      </c>
      <c r="B466" s="1" t="s">
        <v>998</v>
      </c>
      <c r="C466" s="2">
        <v>43212</v>
      </c>
      <c r="D466" s="1" t="s">
        <v>36</v>
      </c>
      <c r="E466" s="1" t="s">
        <v>999</v>
      </c>
      <c r="F466" s="1" t="s">
        <v>352</v>
      </c>
      <c r="G466" s="1" t="s">
        <v>205</v>
      </c>
      <c r="H466" s="1" t="s">
        <v>31</v>
      </c>
      <c r="I466" s="1" t="s">
        <v>32</v>
      </c>
      <c r="J466" s="1" t="s">
        <v>53</v>
      </c>
      <c r="K466" s="1" t="s">
        <v>1001</v>
      </c>
      <c r="L466" s="17">
        <v>28.484999999999999</v>
      </c>
      <c r="M466" s="1">
        <v>5</v>
      </c>
      <c r="N466" s="1">
        <v>0.7</v>
      </c>
      <c r="O466" s="17">
        <v>-20.888999999999989</v>
      </c>
      <c r="P466" s="17">
        <f>('Work File (2)'!$L466*'Work File (2)'!$M466)*(1-'Work File (2)'!$N466)</f>
        <v>42.727500000000006</v>
      </c>
      <c r="Q466" s="1">
        <f>YEAR(Table2[[#This Row],[Order Date]])</f>
        <v>2018</v>
      </c>
      <c r="R466" s="18" t="str">
        <f>TEXT(Table2[[#This Row],[Order Date]],"mmm")</f>
        <v>Apr</v>
      </c>
      <c r="S466" s="18"/>
    </row>
    <row r="467" spans="1:19" x14ac:dyDescent="0.2">
      <c r="A467" s="1">
        <v>466</v>
      </c>
      <c r="B467" s="1" t="s">
        <v>998</v>
      </c>
      <c r="C467" s="2">
        <v>43212</v>
      </c>
      <c r="D467" s="1" t="s">
        <v>36</v>
      </c>
      <c r="E467" s="1" t="s">
        <v>999</v>
      </c>
      <c r="F467" s="1" t="s">
        <v>352</v>
      </c>
      <c r="G467" s="1" t="s">
        <v>205</v>
      </c>
      <c r="H467" s="1" t="s">
        <v>31</v>
      </c>
      <c r="I467" s="1" t="s">
        <v>32</v>
      </c>
      <c r="J467" s="1" t="s">
        <v>372</v>
      </c>
      <c r="K467" s="1" t="s">
        <v>1002</v>
      </c>
      <c r="L467" s="17">
        <v>185.376</v>
      </c>
      <c r="M467" s="1">
        <v>2</v>
      </c>
      <c r="N467" s="1">
        <v>0.2</v>
      </c>
      <c r="O467" s="17">
        <v>-34.758000000000017</v>
      </c>
      <c r="P467" s="17">
        <f>('Work File (2)'!$L467*'Work File (2)'!$M467)*(1-'Work File (2)'!$N467)</f>
        <v>296.60160000000002</v>
      </c>
      <c r="Q467" s="1">
        <f>YEAR(Table2[[#This Row],[Order Date]])</f>
        <v>2018</v>
      </c>
      <c r="R467" s="18" t="str">
        <f>TEXT(Table2[[#This Row],[Order Date]],"mmm")</f>
        <v>Apr</v>
      </c>
      <c r="S467" s="18"/>
    </row>
    <row r="468" spans="1:19" x14ac:dyDescent="0.2">
      <c r="A468" s="1">
        <v>467</v>
      </c>
      <c r="B468" s="1" t="s">
        <v>998</v>
      </c>
      <c r="C468" s="2">
        <v>43212</v>
      </c>
      <c r="D468" s="1" t="s">
        <v>36</v>
      </c>
      <c r="E468" s="1" t="s">
        <v>999</v>
      </c>
      <c r="F468" s="1" t="s">
        <v>352</v>
      </c>
      <c r="G468" s="1" t="s">
        <v>205</v>
      </c>
      <c r="H468" s="1" t="s">
        <v>31</v>
      </c>
      <c r="I468" s="1" t="s">
        <v>32</v>
      </c>
      <c r="J468" s="1" t="s">
        <v>55</v>
      </c>
      <c r="K468" s="1" t="s">
        <v>1003</v>
      </c>
      <c r="L468" s="17">
        <v>78.272000000000006</v>
      </c>
      <c r="M468" s="1">
        <v>2</v>
      </c>
      <c r="N468" s="1">
        <v>0.2</v>
      </c>
      <c r="O468" s="17">
        <v>5.8704000000000001</v>
      </c>
      <c r="P468" s="17">
        <f>('Work File (2)'!$L468*'Work File (2)'!$M468)*(1-'Work File (2)'!$N468)</f>
        <v>125.23520000000002</v>
      </c>
      <c r="Q468" s="1">
        <f>YEAR(Table2[[#This Row],[Order Date]])</f>
        <v>2018</v>
      </c>
      <c r="R468" s="18" t="str">
        <f>TEXT(Table2[[#This Row],[Order Date]],"mmm")</f>
        <v>Apr</v>
      </c>
      <c r="S468" s="18"/>
    </row>
    <row r="469" spans="1:19" x14ac:dyDescent="0.2">
      <c r="A469" s="1">
        <v>468</v>
      </c>
      <c r="B469" s="1" t="s">
        <v>1004</v>
      </c>
      <c r="C469" s="2">
        <v>42752</v>
      </c>
      <c r="D469" s="1" t="s">
        <v>36</v>
      </c>
      <c r="E469" s="1" t="s">
        <v>1005</v>
      </c>
      <c r="F469" s="1" t="s">
        <v>1006</v>
      </c>
      <c r="G469" s="1" t="s">
        <v>142</v>
      </c>
      <c r="H469" s="1" t="s">
        <v>74</v>
      </c>
      <c r="I469" s="1" t="s">
        <v>22</v>
      </c>
      <c r="J469" s="1" t="s">
        <v>46</v>
      </c>
      <c r="K469" s="1" t="s">
        <v>683</v>
      </c>
      <c r="L469" s="17">
        <v>254.74400000000003</v>
      </c>
      <c r="M469" s="1">
        <v>7</v>
      </c>
      <c r="N469" s="1">
        <v>0.6</v>
      </c>
      <c r="O469" s="17">
        <v>-312.06139999999994</v>
      </c>
      <c r="P469" s="17">
        <f>('Work File (2)'!$L469*'Work File (2)'!$M469)*(1-'Work File (2)'!$N469)</f>
        <v>713.28320000000008</v>
      </c>
      <c r="Q469" s="1">
        <f>YEAR(Table2[[#This Row],[Order Date]])</f>
        <v>2017</v>
      </c>
      <c r="R469" s="18" t="str">
        <f>TEXT(Table2[[#This Row],[Order Date]],"mmm")</f>
        <v>Jan</v>
      </c>
      <c r="S469" s="18"/>
    </row>
    <row r="470" spans="1:19" x14ac:dyDescent="0.2">
      <c r="A470" s="1">
        <v>469</v>
      </c>
      <c r="B470" s="1" t="s">
        <v>1007</v>
      </c>
      <c r="C470" s="2">
        <v>43555</v>
      </c>
      <c r="D470" s="1" t="s">
        <v>36</v>
      </c>
      <c r="E470" s="1" t="s">
        <v>559</v>
      </c>
      <c r="F470" s="1" t="s">
        <v>1008</v>
      </c>
      <c r="G470" s="1" t="s">
        <v>73</v>
      </c>
      <c r="H470" s="1" t="s">
        <v>74</v>
      </c>
      <c r="I470" s="1" t="s">
        <v>22</v>
      </c>
      <c r="J470" s="1" t="s">
        <v>23</v>
      </c>
      <c r="K470" s="1" t="s">
        <v>1009</v>
      </c>
      <c r="L470" s="17">
        <v>205.33279999999996</v>
      </c>
      <c r="M470" s="1">
        <v>2</v>
      </c>
      <c r="N470" s="1">
        <v>0.32</v>
      </c>
      <c r="O470" s="17">
        <v>-36.235200000000006</v>
      </c>
      <c r="P470" s="17">
        <f>('Work File (2)'!$L470*'Work File (2)'!$M470)*(1-'Work File (2)'!$N470)</f>
        <v>279.25260799999995</v>
      </c>
      <c r="Q470" s="1">
        <f>YEAR(Table2[[#This Row],[Order Date]])</f>
        <v>2019</v>
      </c>
      <c r="R470" s="18" t="str">
        <f>TEXT(Table2[[#This Row],[Order Date]],"mmm")</f>
        <v>Mar</v>
      </c>
      <c r="S470" s="18"/>
    </row>
    <row r="471" spans="1:19" x14ac:dyDescent="0.2">
      <c r="A471" s="1">
        <v>470</v>
      </c>
      <c r="B471" s="1" t="s">
        <v>1010</v>
      </c>
      <c r="C471" s="2">
        <v>43450</v>
      </c>
      <c r="D471" s="1" t="s">
        <v>17</v>
      </c>
      <c r="E471" s="1" t="s">
        <v>611</v>
      </c>
      <c r="F471" s="1" t="s">
        <v>200</v>
      </c>
      <c r="G471" s="1" t="s">
        <v>142</v>
      </c>
      <c r="H471" s="1" t="s">
        <v>74</v>
      </c>
      <c r="I471" s="1" t="s">
        <v>32</v>
      </c>
      <c r="J471" s="1" t="s">
        <v>53</v>
      </c>
      <c r="K471" s="1" t="s">
        <v>1011</v>
      </c>
      <c r="L471" s="17">
        <v>4.7879999999999985</v>
      </c>
      <c r="M471" s="1">
        <v>3</v>
      </c>
      <c r="N471" s="1">
        <v>0.8</v>
      </c>
      <c r="O471" s="17">
        <v>-7.9001999999999999</v>
      </c>
      <c r="P471" s="17">
        <f>('Work File (2)'!$L471*'Work File (2)'!$M471)*(1-'Work File (2)'!$N471)</f>
        <v>2.8727999999999985</v>
      </c>
      <c r="Q471" s="1">
        <f>YEAR(Table2[[#This Row],[Order Date]])</f>
        <v>2018</v>
      </c>
      <c r="R471" s="18" t="str">
        <f>TEXT(Table2[[#This Row],[Order Date]],"mmm")</f>
        <v>Dec</v>
      </c>
      <c r="S471" s="18"/>
    </row>
    <row r="472" spans="1:19" x14ac:dyDescent="0.2">
      <c r="A472" s="1">
        <v>471</v>
      </c>
      <c r="B472" s="1" t="s">
        <v>1012</v>
      </c>
      <c r="C472" s="2">
        <v>43089</v>
      </c>
      <c r="D472" s="1" t="s">
        <v>36</v>
      </c>
      <c r="E472" s="1" t="s">
        <v>1013</v>
      </c>
      <c r="F472" s="1" t="s">
        <v>1014</v>
      </c>
      <c r="G472" s="1" t="s">
        <v>179</v>
      </c>
      <c r="H472" s="1" t="s">
        <v>103</v>
      </c>
      <c r="I472" s="1" t="s">
        <v>32</v>
      </c>
      <c r="J472" s="1" t="s">
        <v>63</v>
      </c>
      <c r="K472" s="1" t="s">
        <v>1015</v>
      </c>
      <c r="L472" s="17">
        <v>55.48</v>
      </c>
      <c r="M472" s="1">
        <v>1</v>
      </c>
      <c r="N472" s="1">
        <v>0</v>
      </c>
      <c r="O472" s="17">
        <v>26.630399999999998</v>
      </c>
      <c r="P472" s="17">
        <f>('Work File (2)'!$L472*'Work File (2)'!$M472)*(1-'Work File (2)'!$N472)</f>
        <v>55.48</v>
      </c>
      <c r="Q472" s="1">
        <f>YEAR(Table2[[#This Row],[Order Date]])</f>
        <v>2017</v>
      </c>
      <c r="R472" s="18" t="str">
        <f>TEXT(Table2[[#This Row],[Order Date]],"mmm")</f>
        <v>Dec</v>
      </c>
      <c r="S472" s="18"/>
    </row>
    <row r="473" spans="1:19" x14ac:dyDescent="0.2">
      <c r="A473" s="1">
        <v>472</v>
      </c>
      <c r="B473" s="1" t="s">
        <v>1016</v>
      </c>
      <c r="C473" s="2">
        <v>42683</v>
      </c>
      <c r="D473" s="1" t="s">
        <v>17</v>
      </c>
      <c r="E473" s="1" t="s">
        <v>1017</v>
      </c>
      <c r="F473" s="1" t="s">
        <v>89</v>
      </c>
      <c r="G473" s="1" t="s">
        <v>30</v>
      </c>
      <c r="H473" s="1" t="s">
        <v>31</v>
      </c>
      <c r="I473" s="1" t="s">
        <v>32</v>
      </c>
      <c r="J473" s="1" t="s">
        <v>42</v>
      </c>
      <c r="K473" s="1" t="s">
        <v>1018</v>
      </c>
      <c r="L473" s="17">
        <v>340.92</v>
      </c>
      <c r="M473" s="1">
        <v>3</v>
      </c>
      <c r="N473" s="1">
        <v>0</v>
      </c>
      <c r="O473" s="17">
        <v>3.4091999999999842</v>
      </c>
      <c r="P473" s="17">
        <f>('Work File (2)'!$L473*'Work File (2)'!$M473)*(1-'Work File (2)'!$N473)</f>
        <v>1022.76</v>
      </c>
      <c r="Q473" s="1">
        <f>YEAR(Table2[[#This Row],[Order Date]])</f>
        <v>2016</v>
      </c>
      <c r="R473" s="18" t="str">
        <f>TEXT(Table2[[#This Row],[Order Date]],"mmm")</f>
        <v>Nov</v>
      </c>
      <c r="S473" s="18"/>
    </row>
    <row r="474" spans="1:19" x14ac:dyDescent="0.2">
      <c r="A474" s="1">
        <v>473</v>
      </c>
      <c r="B474" s="1" t="s">
        <v>1016</v>
      </c>
      <c r="C474" s="2">
        <v>42683</v>
      </c>
      <c r="D474" s="1" t="s">
        <v>17</v>
      </c>
      <c r="E474" s="1" t="s">
        <v>1017</v>
      </c>
      <c r="F474" s="1" t="s">
        <v>89</v>
      </c>
      <c r="G474" s="1" t="s">
        <v>30</v>
      </c>
      <c r="H474" s="1" t="s">
        <v>31</v>
      </c>
      <c r="I474" s="1" t="s">
        <v>22</v>
      </c>
      <c r="J474" s="1" t="s">
        <v>23</v>
      </c>
      <c r="K474" s="1" t="s">
        <v>1019</v>
      </c>
      <c r="L474" s="17">
        <v>222.66599999999997</v>
      </c>
      <c r="M474" s="1">
        <v>2</v>
      </c>
      <c r="N474" s="1">
        <v>0.15</v>
      </c>
      <c r="O474" s="17">
        <v>10.478399999999979</v>
      </c>
      <c r="P474" s="17">
        <f>('Work File (2)'!$L474*'Work File (2)'!$M474)*(1-'Work File (2)'!$N474)</f>
        <v>378.53219999999993</v>
      </c>
      <c r="Q474" s="1">
        <f>YEAR(Table2[[#This Row],[Order Date]])</f>
        <v>2016</v>
      </c>
      <c r="R474" s="18" t="str">
        <f>TEXT(Table2[[#This Row],[Order Date]],"mmm")</f>
        <v>Nov</v>
      </c>
      <c r="S474" s="18"/>
    </row>
    <row r="475" spans="1:19" x14ac:dyDescent="0.2">
      <c r="A475" s="1">
        <v>474</v>
      </c>
      <c r="B475" s="1" t="s">
        <v>1016</v>
      </c>
      <c r="C475" s="2">
        <v>42683</v>
      </c>
      <c r="D475" s="1" t="s">
        <v>17</v>
      </c>
      <c r="E475" s="1" t="s">
        <v>1017</v>
      </c>
      <c r="F475" s="1" t="s">
        <v>89</v>
      </c>
      <c r="G475" s="1" t="s">
        <v>30</v>
      </c>
      <c r="H475" s="1" t="s">
        <v>31</v>
      </c>
      <c r="I475" s="1" t="s">
        <v>50</v>
      </c>
      <c r="J475" s="1" t="s">
        <v>51</v>
      </c>
      <c r="K475" s="1" t="s">
        <v>1020</v>
      </c>
      <c r="L475" s="17">
        <v>703.96800000000007</v>
      </c>
      <c r="M475" s="1">
        <v>4</v>
      </c>
      <c r="N475" s="1">
        <v>0.2</v>
      </c>
      <c r="O475" s="17">
        <v>87.995999999999924</v>
      </c>
      <c r="P475" s="17">
        <f>('Work File (2)'!$L475*'Work File (2)'!$M475)*(1-'Work File (2)'!$N475)</f>
        <v>2252.6976000000004</v>
      </c>
      <c r="Q475" s="1">
        <f>YEAR(Table2[[#This Row],[Order Date]])</f>
        <v>2016</v>
      </c>
      <c r="R475" s="18" t="str">
        <f>TEXT(Table2[[#This Row],[Order Date]],"mmm")</f>
        <v>Nov</v>
      </c>
      <c r="S475" s="18"/>
    </row>
    <row r="476" spans="1:19" x14ac:dyDescent="0.2">
      <c r="A476" s="1">
        <v>475</v>
      </c>
      <c r="B476" s="1" t="s">
        <v>1016</v>
      </c>
      <c r="C476" s="2">
        <v>42683</v>
      </c>
      <c r="D476" s="1" t="s">
        <v>17</v>
      </c>
      <c r="E476" s="1" t="s">
        <v>1017</v>
      </c>
      <c r="F476" s="1" t="s">
        <v>89</v>
      </c>
      <c r="G476" s="1" t="s">
        <v>30</v>
      </c>
      <c r="H476" s="1" t="s">
        <v>31</v>
      </c>
      <c r="I476" s="1" t="s">
        <v>32</v>
      </c>
      <c r="J476" s="1" t="s">
        <v>42</v>
      </c>
      <c r="K476" s="1" t="s">
        <v>1021</v>
      </c>
      <c r="L476" s="17">
        <v>92.52</v>
      </c>
      <c r="M476" s="1">
        <v>6</v>
      </c>
      <c r="N476" s="1">
        <v>0</v>
      </c>
      <c r="O476" s="17">
        <v>24.980400000000007</v>
      </c>
      <c r="P476" s="17">
        <f>('Work File (2)'!$L476*'Work File (2)'!$M476)*(1-'Work File (2)'!$N476)</f>
        <v>555.12</v>
      </c>
      <c r="Q476" s="1">
        <f>YEAR(Table2[[#This Row],[Order Date]])</f>
        <v>2016</v>
      </c>
      <c r="R476" s="18" t="str">
        <f>TEXT(Table2[[#This Row],[Order Date]],"mmm")</f>
        <v>Nov</v>
      </c>
      <c r="S476" s="18"/>
    </row>
    <row r="477" spans="1:19" x14ac:dyDescent="0.2">
      <c r="A477" s="1">
        <v>476</v>
      </c>
      <c r="B477" s="1" t="s">
        <v>1016</v>
      </c>
      <c r="C477" s="2">
        <v>42683</v>
      </c>
      <c r="D477" s="1" t="s">
        <v>17</v>
      </c>
      <c r="E477" s="1" t="s">
        <v>1017</v>
      </c>
      <c r="F477" s="1" t="s">
        <v>89</v>
      </c>
      <c r="G477" s="1" t="s">
        <v>30</v>
      </c>
      <c r="H477" s="1" t="s">
        <v>31</v>
      </c>
      <c r="I477" s="1" t="s">
        <v>32</v>
      </c>
      <c r="J477" s="1" t="s">
        <v>63</v>
      </c>
      <c r="K477" s="1" t="s">
        <v>1022</v>
      </c>
      <c r="L477" s="17">
        <v>62.649999999999991</v>
      </c>
      <c r="M477" s="1">
        <v>7</v>
      </c>
      <c r="N477" s="1">
        <v>0</v>
      </c>
      <c r="O477" s="17">
        <v>28.818999999999996</v>
      </c>
      <c r="P477" s="17">
        <f>('Work File (2)'!$L477*'Work File (2)'!$M477)*(1-'Work File (2)'!$N477)</f>
        <v>438.54999999999995</v>
      </c>
      <c r="Q477" s="1">
        <f>YEAR(Table2[[#This Row],[Order Date]])</f>
        <v>2016</v>
      </c>
      <c r="R477" s="18" t="str">
        <f>TEXT(Table2[[#This Row],[Order Date]],"mmm")</f>
        <v>Nov</v>
      </c>
      <c r="S477" s="18"/>
    </row>
    <row r="478" spans="1:19" x14ac:dyDescent="0.2">
      <c r="A478" s="1">
        <v>477</v>
      </c>
      <c r="B478" s="1" t="s">
        <v>1016</v>
      </c>
      <c r="C478" s="2">
        <v>42683</v>
      </c>
      <c r="D478" s="1" t="s">
        <v>17</v>
      </c>
      <c r="E478" s="1" t="s">
        <v>1017</v>
      </c>
      <c r="F478" s="1" t="s">
        <v>89</v>
      </c>
      <c r="G478" s="1" t="s">
        <v>30</v>
      </c>
      <c r="H478" s="1" t="s">
        <v>31</v>
      </c>
      <c r="I478" s="1" t="s">
        <v>32</v>
      </c>
      <c r="J478" s="1" t="s">
        <v>63</v>
      </c>
      <c r="K478" s="1" t="s">
        <v>1023</v>
      </c>
      <c r="L478" s="17">
        <v>94.85</v>
      </c>
      <c r="M478" s="1">
        <v>5</v>
      </c>
      <c r="N478" s="1">
        <v>0</v>
      </c>
      <c r="O478" s="17">
        <v>45.527999999999992</v>
      </c>
      <c r="P478" s="17">
        <f>('Work File (2)'!$L478*'Work File (2)'!$M478)*(1-'Work File (2)'!$N478)</f>
        <v>474.25</v>
      </c>
      <c r="Q478" s="1">
        <f>YEAR(Table2[[#This Row],[Order Date]])</f>
        <v>2016</v>
      </c>
      <c r="R478" s="18" t="str">
        <f>TEXT(Table2[[#This Row],[Order Date]],"mmm")</f>
        <v>Nov</v>
      </c>
      <c r="S478" s="18"/>
    </row>
    <row r="479" spans="1:19" x14ac:dyDescent="0.2">
      <c r="A479" s="1">
        <v>478</v>
      </c>
      <c r="B479" s="1" t="s">
        <v>1024</v>
      </c>
      <c r="C479" s="2">
        <v>43293</v>
      </c>
      <c r="D479" s="1" t="s">
        <v>36</v>
      </c>
      <c r="E479" s="1" t="s">
        <v>641</v>
      </c>
      <c r="F479" s="1" t="s">
        <v>29</v>
      </c>
      <c r="G479" s="1" t="s">
        <v>30</v>
      </c>
      <c r="H479" s="1" t="s">
        <v>31</v>
      </c>
      <c r="I479" s="1" t="s">
        <v>50</v>
      </c>
      <c r="J479" s="1" t="s">
        <v>51</v>
      </c>
      <c r="K479" s="1" t="s">
        <v>1025</v>
      </c>
      <c r="L479" s="17">
        <v>95.76</v>
      </c>
      <c r="M479" s="1">
        <v>6</v>
      </c>
      <c r="N479" s="1">
        <v>0.2</v>
      </c>
      <c r="O479" s="17">
        <v>7.1819999999999951</v>
      </c>
      <c r="P479" s="17">
        <f>('Work File (2)'!$L479*'Work File (2)'!$M479)*(1-'Work File (2)'!$N479)</f>
        <v>459.64800000000008</v>
      </c>
      <c r="Q479" s="1">
        <f>YEAR(Table2[[#This Row],[Order Date]])</f>
        <v>2018</v>
      </c>
      <c r="R479" s="18" t="str">
        <f>TEXT(Table2[[#This Row],[Order Date]],"mmm")</f>
        <v>Jul</v>
      </c>
      <c r="S479" s="18"/>
    </row>
    <row r="480" spans="1:19" x14ac:dyDescent="0.2">
      <c r="A480" s="1">
        <v>479</v>
      </c>
      <c r="B480" s="1" t="s">
        <v>1026</v>
      </c>
      <c r="C480" s="2">
        <v>43400</v>
      </c>
      <c r="D480" s="1" t="s">
        <v>36</v>
      </c>
      <c r="E480" s="1" t="s">
        <v>1027</v>
      </c>
      <c r="F480" s="1" t="s">
        <v>185</v>
      </c>
      <c r="G480" s="1" t="s">
        <v>179</v>
      </c>
      <c r="H480" s="1" t="s">
        <v>103</v>
      </c>
      <c r="I480" s="1" t="s">
        <v>22</v>
      </c>
      <c r="J480" s="1" t="s">
        <v>46</v>
      </c>
      <c r="K480" s="1" t="s">
        <v>697</v>
      </c>
      <c r="L480" s="17">
        <v>40.200000000000003</v>
      </c>
      <c r="M480" s="1">
        <v>3</v>
      </c>
      <c r="N480" s="1">
        <v>0</v>
      </c>
      <c r="O480" s="17">
        <v>19.295999999999999</v>
      </c>
      <c r="P480" s="17">
        <f>('Work File (2)'!$L480*'Work File (2)'!$M480)*(1-'Work File (2)'!$N480)</f>
        <v>120.60000000000001</v>
      </c>
      <c r="Q480" s="1">
        <f>YEAR(Table2[[#This Row],[Order Date]])</f>
        <v>2018</v>
      </c>
      <c r="R480" s="18" t="str">
        <f>TEXT(Table2[[#This Row],[Order Date]],"mmm")</f>
        <v>Oct</v>
      </c>
      <c r="S480" s="18"/>
    </row>
    <row r="481" spans="1:19" x14ac:dyDescent="0.2">
      <c r="A481" s="1">
        <v>480</v>
      </c>
      <c r="B481" s="1" t="s">
        <v>1028</v>
      </c>
      <c r="C481" s="2">
        <v>43277</v>
      </c>
      <c r="D481" s="1" t="s">
        <v>36</v>
      </c>
      <c r="E481" s="1" t="s">
        <v>1029</v>
      </c>
      <c r="F481" s="1" t="s">
        <v>178</v>
      </c>
      <c r="G481" s="1" t="s">
        <v>179</v>
      </c>
      <c r="H481" s="1" t="s">
        <v>103</v>
      </c>
      <c r="I481" s="1" t="s">
        <v>32</v>
      </c>
      <c r="J481" s="1" t="s">
        <v>48</v>
      </c>
      <c r="K481" s="1" t="s">
        <v>1030</v>
      </c>
      <c r="L481" s="17">
        <v>14.7</v>
      </c>
      <c r="M481" s="1">
        <v>5</v>
      </c>
      <c r="N481" s="1">
        <v>0</v>
      </c>
      <c r="O481" s="17">
        <v>6.6150000000000002</v>
      </c>
      <c r="P481" s="17">
        <f>('Work File (2)'!$L481*'Work File (2)'!$M481)*(1-'Work File (2)'!$N481)</f>
        <v>73.5</v>
      </c>
      <c r="Q481" s="1">
        <f>YEAR(Table2[[#This Row],[Order Date]])</f>
        <v>2018</v>
      </c>
      <c r="R481" s="18" t="str">
        <f>TEXT(Table2[[#This Row],[Order Date]],"mmm")</f>
        <v>Jun</v>
      </c>
      <c r="S481" s="18"/>
    </row>
    <row r="482" spans="1:19" x14ac:dyDescent="0.2">
      <c r="A482" s="1">
        <v>481</v>
      </c>
      <c r="B482" s="1" t="s">
        <v>1028</v>
      </c>
      <c r="C482" s="2">
        <v>43277</v>
      </c>
      <c r="D482" s="1" t="s">
        <v>36</v>
      </c>
      <c r="E482" s="1" t="s">
        <v>1029</v>
      </c>
      <c r="F482" s="1" t="s">
        <v>178</v>
      </c>
      <c r="G482" s="1" t="s">
        <v>179</v>
      </c>
      <c r="H482" s="1" t="s">
        <v>103</v>
      </c>
      <c r="I482" s="1" t="s">
        <v>32</v>
      </c>
      <c r="J482" s="1" t="s">
        <v>42</v>
      </c>
      <c r="K482" s="1" t="s">
        <v>1031</v>
      </c>
      <c r="L482" s="17">
        <v>704.25</v>
      </c>
      <c r="M482" s="1">
        <v>5</v>
      </c>
      <c r="N482" s="1">
        <v>0</v>
      </c>
      <c r="O482" s="17">
        <v>84.51</v>
      </c>
      <c r="P482" s="17">
        <f>('Work File (2)'!$L482*'Work File (2)'!$M482)*(1-'Work File (2)'!$N482)</f>
        <v>3521.25</v>
      </c>
      <c r="Q482" s="1">
        <f>YEAR(Table2[[#This Row],[Order Date]])</f>
        <v>2018</v>
      </c>
      <c r="R482" s="18" t="str">
        <f>TEXT(Table2[[#This Row],[Order Date]],"mmm")</f>
        <v>Jun</v>
      </c>
      <c r="S482" s="18"/>
    </row>
    <row r="483" spans="1:19" x14ac:dyDescent="0.2">
      <c r="A483" s="1">
        <v>482</v>
      </c>
      <c r="B483" s="1" t="s">
        <v>1032</v>
      </c>
      <c r="C483" s="2">
        <v>42649</v>
      </c>
      <c r="D483" s="1" t="s">
        <v>36</v>
      </c>
      <c r="E483" s="1" t="s">
        <v>1033</v>
      </c>
      <c r="F483" s="1" t="s">
        <v>600</v>
      </c>
      <c r="G483" s="1" t="s">
        <v>30</v>
      </c>
      <c r="H483" s="1" t="s">
        <v>31</v>
      </c>
      <c r="I483" s="1" t="s">
        <v>50</v>
      </c>
      <c r="J483" s="1" t="s">
        <v>111</v>
      </c>
      <c r="K483" s="1" t="s">
        <v>1034</v>
      </c>
      <c r="L483" s="17">
        <v>9.09</v>
      </c>
      <c r="M483" s="1">
        <v>3</v>
      </c>
      <c r="N483" s="1">
        <v>0</v>
      </c>
      <c r="O483" s="17">
        <v>1.9088999999999996</v>
      </c>
      <c r="P483" s="17">
        <f>('Work File (2)'!$L483*'Work File (2)'!$M483)*(1-'Work File (2)'!$N483)</f>
        <v>27.27</v>
      </c>
      <c r="Q483" s="1">
        <f>YEAR(Table2[[#This Row],[Order Date]])</f>
        <v>2016</v>
      </c>
      <c r="R483" s="18" t="str">
        <f>TEXT(Table2[[#This Row],[Order Date]],"mmm")</f>
        <v>Oct</v>
      </c>
      <c r="S483" s="18"/>
    </row>
    <row r="484" spans="1:19" x14ac:dyDescent="0.2">
      <c r="A484" s="1">
        <v>483</v>
      </c>
      <c r="B484" s="1" t="s">
        <v>1035</v>
      </c>
      <c r="C484" s="2">
        <v>42573</v>
      </c>
      <c r="D484" s="1" t="s">
        <v>36</v>
      </c>
      <c r="E484" s="1" t="s">
        <v>1036</v>
      </c>
      <c r="F484" s="1" t="s">
        <v>178</v>
      </c>
      <c r="G484" s="1" t="s">
        <v>179</v>
      </c>
      <c r="H484" s="1" t="s">
        <v>103</v>
      </c>
      <c r="I484" s="1" t="s">
        <v>32</v>
      </c>
      <c r="J484" s="1" t="s">
        <v>48</v>
      </c>
      <c r="K484" s="1" t="s">
        <v>241</v>
      </c>
      <c r="L484" s="17">
        <v>5.96</v>
      </c>
      <c r="M484" s="1">
        <v>2</v>
      </c>
      <c r="N484" s="1">
        <v>0</v>
      </c>
      <c r="O484" s="17">
        <v>1.6688000000000001</v>
      </c>
      <c r="P484" s="17">
        <f>('Work File (2)'!$L484*'Work File (2)'!$M484)*(1-'Work File (2)'!$N484)</f>
        <v>11.92</v>
      </c>
      <c r="Q484" s="1">
        <f>YEAR(Table2[[#This Row],[Order Date]])</f>
        <v>2016</v>
      </c>
      <c r="R484" s="18" t="str">
        <f>TEXT(Table2[[#This Row],[Order Date]],"mmm")</f>
        <v>Jul</v>
      </c>
      <c r="S484" s="18"/>
    </row>
    <row r="485" spans="1:19" x14ac:dyDescent="0.2">
      <c r="A485" s="1">
        <v>484</v>
      </c>
      <c r="B485" s="1" t="s">
        <v>1035</v>
      </c>
      <c r="C485" s="2">
        <v>42573</v>
      </c>
      <c r="D485" s="1" t="s">
        <v>36</v>
      </c>
      <c r="E485" s="1" t="s">
        <v>1036</v>
      </c>
      <c r="F485" s="1" t="s">
        <v>178</v>
      </c>
      <c r="G485" s="1" t="s">
        <v>179</v>
      </c>
      <c r="H485" s="1" t="s">
        <v>103</v>
      </c>
      <c r="I485" s="1" t="s">
        <v>50</v>
      </c>
      <c r="J485" s="1" t="s">
        <v>111</v>
      </c>
      <c r="K485" s="1" t="s">
        <v>1037</v>
      </c>
      <c r="L485" s="17">
        <v>159.97999999999999</v>
      </c>
      <c r="M485" s="1">
        <v>2</v>
      </c>
      <c r="N485" s="1">
        <v>0</v>
      </c>
      <c r="O485" s="17">
        <v>57.592799999999997</v>
      </c>
      <c r="P485" s="17">
        <f>('Work File (2)'!$L485*'Work File (2)'!$M485)*(1-'Work File (2)'!$N485)</f>
        <v>319.95999999999998</v>
      </c>
      <c r="Q485" s="1">
        <f>YEAR(Table2[[#This Row],[Order Date]])</f>
        <v>2016</v>
      </c>
      <c r="R485" s="18" t="str">
        <f>TEXT(Table2[[#This Row],[Order Date]],"mmm")</f>
        <v>Jul</v>
      </c>
      <c r="S485" s="18"/>
    </row>
    <row r="486" spans="1:19" x14ac:dyDescent="0.2">
      <c r="A486" s="1">
        <v>485</v>
      </c>
      <c r="B486" s="1" t="s">
        <v>1038</v>
      </c>
      <c r="C486" s="2">
        <v>43626</v>
      </c>
      <c r="D486" s="1" t="s">
        <v>128</v>
      </c>
      <c r="E486" s="1" t="s">
        <v>1039</v>
      </c>
      <c r="F486" s="1" t="s">
        <v>29</v>
      </c>
      <c r="G486" s="1" t="s">
        <v>30</v>
      </c>
      <c r="H486" s="1" t="s">
        <v>31</v>
      </c>
      <c r="I486" s="1" t="s">
        <v>32</v>
      </c>
      <c r="J486" s="1" t="s">
        <v>33</v>
      </c>
      <c r="K486" s="1" t="s">
        <v>1040</v>
      </c>
      <c r="L486" s="17">
        <v>29.6</v>
      </c>
      <c r="M486" s="1">
        <v>2</v>
      </c>
      <c r="N486" s="1">
        <v>0</v>
      </c>
      <c r="O486" s="17">
        <v>14.8</v>
      </c>
      <c r="P486" s="17">
        <f>('Work File (2)'!$L486*'Work File (2)'!$M486)*(1-'Work File (2)'!$N486)</f>
        <v>59.2</v>
      </c>
      <c r="Q486" s="1">
        <f>YEAR(Table2[[#This Row],[Order Date]])</f>
        <v>2019</v>
      </c>
      <c r="R486" s="18" t="str">
        <f>TEXT(Table2[[#This Row],[Order Date]],"mmm")</f>
        <v>Jun</v>
      </c>
      <c r="S486" s="18"/>
    </row>
    <row r="487" spans="1:19" x14ac:dyDescent="0.2">
      <c r="A487" s="1">
        <v>486</v>
      </c>
      <c r="B487" s="1" t="s">
        <v>1038</v>
      </c>
      <c r="C487" s="2">
        <v>43626</v>
      </c>
      <c r="D487" s="1" t="s">
        <v>128</v>
      </c>
      <c r="E487" s="1" t="s">
        <v>1039</v>
      </c>
      <c r="F487" s="1" t="s">
        <v>29</v>
      </c>
      <c r="G487" s="1" t="s">
        <v>30</v>
      </c>
      <c r="H487" s="1" t="s">
        <v>31</v>
      </c>
      <c r="I487" s="1" t="s">
        <v>22</v>
      </c>
      <c r="J487" s="1" t="s">
        <v>23</v>
      </c>
      <c r="K487" s="1" t="s">
        <v>1041</v>
      </c>
      <c r="L487" s="17">
        <v>514.16499999999996</v>
      </c>
      <c r="M487" s="1">
        <v>5</v>
      </c>
      <c r="N487" s="1">
        <v>0.15</v>
      </c>
      <c r="O487" s="17">
        <v>-30.24499999999999</v>
      </c>
      <c r="P487" s="17">
        <f>('Work File (2)'!$L487*'Work File (2)'!$M487)*(1-'Work File (2)'!$N487)</f>
        <v>2185.2012499999996</v>
      </c>
      <c r="Q487" s="1">
        <f>YEAR(Table2[[#This Row],[Order Date]])</f>
        <v>2019</v>
      </c>
      <c r="R487" s="18" t="str">
        <f>TEXT(Table2[[#This Row],[Order Date]],"mmm")</f>
        <v>Jun</v>
      </c>
      <c r="S487" s="18"/>
    </row>
    <row r="488" spans="1:19" x14ac:dyDescent="0.2">
      <c r="A488" s="1">
        <v>487</v>
      </c>
      <c r="B488" s="1" t="s">
        <v>1038</v>
      </c>
      <c r="C488" s="2">
        <v>43626</v>
      </c>
      <c r="D488" s="1" t="s">
        <v>128</v>
      </c>
      <c r="E488" s="1" t="s">
        <v>1039</v>
      </c>
      <c r="F488" s="1" t="s">
        <v>29</v>
      </c>
      <c r="G488" s="1" t="s">
        <v>30</v>
      </c>
      <c r="H488" s="1" t="s">
        <v>31</v>
      </c>
      <c r="I488" s="1" t="s">
        <v>50</v>
      </c>
      <c r="J488" s="1" t="s">
        <v>51</v>
      </c>
      <c r="K488" s="1" t="s">
        <v>1042</v>
      </c>
      <c r="L488" s="17">
        <v>279.95999999999998</v>
      </c>
      <c r="M488" s="1">
        <v>5</v>
      </c>
      <c r="N488" s="1">
        <v>0.2</v>
      </c>
      <c r="O488" s="17">
        <v>17.497500000000016</v>
      </c>
      <c r="P488" s="17">
        <f>('Work File (2)'!$L488*'Work File (2)'!$M488)*(1-'Work File (2)'!$N488)</f>
        <v>1119.8399999999999</v>
      </c>
      <c r="Q488" s="1">
        <f>YEAR(Table2[[#This Row],[Order Date]])</f>
        <v>2019</v>
      </c>
      <c r="R488" s="18" t="str">
        <f>TEXT(Table2[[#This Row],[Order Date]],"mmm")</f>
        <v>Jun</v>
      </c>
      <c r="S488" s="18"/>
    </row>
    <row r="489" spans="1:19" x14ac:dyDescent="0.2">
      <c r="A489" s="1">
        <v>488</v>
      </c>
      <c r="B489" s="1" t="s">
        <v>1043</v>
      </c>
      <c r="C489" s="2">
        <v>42672</v>
      </c>
      <c r="D489" s="1" t="s">
        <v>128</v>
      </c>
      <c r="E489" s="1" t="s">
        <v>1044</v>
      </c>
      <c r="F489" s="1" t="s">
        <v>200</v>
      </c>
      <c r="G489" s="1" t="s">
        <v>142</v>
      </c>
      <c r="H489" s="1" t="s">
        <v>74</v>
      </c>
      <c r="I489" s="1" t="s">
        <v>50</v>
      </c>
      <c r="J489" s="1" t="s">
        <v>51</v>
      </c>
      <c r="K489" s="1" t="s">
        <v>1045</v>
      </c>
      <c r="L489" s="17">
        <v>2735.9520000000002</v>
      </c>
      <c r="M489" s="1">
        <v>6</v>
      </c>
      <c r="N489" s="1">
        <v>0.2</v>
      </c>
      <c r="O489" s="17">
        <v>341.99399999999969</v>
      </c>
      <c r="P489" s="17">
        <f>('Work File (2)'!$L489*'Work File (2)'!$M489)*(1-'Work File (2)'!$N489)</f>
        <v>13132.569600000001</v>
      </c>
      <c r="Q489" s="1">
        <f>YEAR(Table2[[#This Row],[Order Date]])</f>
        <v>2016</v>
      </c>
      <c r="R489" s="18" t="str">
        <f>TEXT(Table2[[#This Row],[Order Date]],"mmm")</f>
        <v>Oct</v>
      </c>
      <c r="S489" s="18"/>
    </row>
    <row r="490" spans="1:19" x14ac:dyDescent="0.2">
      <c r="A490" s="1">
        <v>489</v>
      </c>
      <c r="B490" s="1" t="s">
        <v>1046</v>
      </c>
      <c r="C490" s="2">
        <v>42530</v>
      </c>
      <c r="D490" s="1" t="s">
        <v>17</v>
      </c>
      <c r="E490" s="1" t="s">
        <v>1047</v>
      </c>
      <c r="F490" s="1" t="s">
        <v>1048</v>
      </c>
      <c r="G490" s="1" t="s">
        <v>73</v>
      </c>
      <c r="H490" s="1" t="s">
        <v>74</v>
      </c>
      <c r="I490" s="1" t="s">
        <v>50</v>
      </c>
      <c r="J490" s="1" t="s">
        <v>51</v>
      </c>
      <c r="K490" s="1" t="s">
        <v>1049</v>
      </c>
      <c r="L490" s="17">
        <v>7.9920000000000009</v>
      </c>
      <c r="M490" s="1">
        <v>1</v>
      </c>
      <c r="N490" s="1">
        <v>0.2</v>
      </c>
      <c r="O490" s="17">
        <v>0.59940000000000015</v>
      </c>
      <c r="P490" s="17">
        <f>('Work File (2)'!$L490*'Work File (2)'!$M490)*(1-'Work File (2)'!$N490)</f>
        <v>6.3936000000000011</v>
      </c>
      <c r="Q490" s="1">
        <f>YEAR(Table2[[#This Row],[Order Date]])</f>
        <v>2016</v>
      </c>
      <c r="R490" s="18" t="str">
        <f>TEXT(Table2[[#This Row],[Order Date]],"mmm")</f>
        <v>Jun</v>
      </c>
      <c r="S490" s="18"/>
    </row>
    <row r="491" spans="1:19" x14ac:dyDescent="0.2">
      <c r="A491" s="1">
        <v>490</v>
      </c>
      <c r="B491" s="1" t="s">
        <v>1046</v>
      </c>
      <c r="C491" s="2">
        <v>42530</v>
      </c>
      <c r="D491" s="1" t="s">
        <v>17</v>
      </c>
      <c r="E491" s="1" t="s">
        <v>1047</v>
      </c>
      <c r="F491" s="1" t="s">
        <v>1048</v>
      </c>
      <c r="G491" s="1" t="s">
        <v>73</v>
      </c>
      <c r="H491" s="1" t="s">
        <v>74</v>
      </c>
      <c r="I491" s="1" t="s">
        <v>50</v>
      </c>
      <c r="J491" s="1" t="s">
        <v>111</v>
      </c>
      <c r="K491" s="1" t="s">
        <v>1050</v>
      </c>
      <c r="L491" s="17">
        <v>63.984000000000009</v>
      </c>
      <c r="M491" s="1">
        <v>2</v>
      </c>
      <c r="N491" s="1">
        <v>0.2</v>
      </c>
      <c r="O491" s="17">
        <v>10.397399999999998</v>
      </c>
      <c r="P491" s="17">
        <f>('Work File (2)'!$L491*'Work File (2)'!$M491)*(1-'Work File (2)'!$N491)</f>
        <v>102.37440000000002</v>
      </c>
      <c r="Q491" s="1">
        <f>YEAR(Table2[[#This Row],[Order Date]])</f>
        <v>2016</v>
      </c>
      <c r="R491" s="18" t="str">
        <f>TEXT(Table2[[#This Row],[Order Date]],"mmm")</f>
        <v>Jun</v>
      </c>
      <c r="S491" s="18"/>
    </row>
    <row r="492" spans="1:19" x14ac:dyDescent="0.2">
      <c r="A492" s="1">
        <v>491</v>
      </c>
      <c r="B492" s="1" t="s">
        <v>1046</v>
      </c>
      <c r="C492" s="2">
        <v>42530</v>
      </c>
      <c r="D492" s="1" t="s">
        <v>17</v>
      </c>
      <c r="E492" s="1" t="s">
        <v>1047</v>
      </c>
      <c r="F492" s="1" t="s">
        <v>1048</v>
      </c>
      <c r="G492" s="1" t="s">
        <v>73</v>
      </c>
      <c r="H492" s="1" t="s">
        <v>74</v>
      </c>
      <c r="I492" s="1" t="s">
        <v>32</v>
      </c>
      <c r="J492" s="1" t="s">
        <v>48</v>
      </c>
      <c r="K492" s="1" t="s">
        <v>979</v>
      </c>
      <c r="L492" s="17">
        <v>70.367999999999995</v>
      </c>
      <c r="M492" s="1">
        <v>2</v>
      </c>
      <c r="N492" s="1">
        <v>0.2</v>
      </c>
      <c r="O492" s="17">
        <v>6.1572000000000031</v>
      </c>
      <c r="P492" s="17">
        <f>('Work File (2)'!$L492*'Work File (2)'!$M492)*(1-'Work File (2)'!$N492)</f>
        <v>112.58879999999999</v>
      </c>
      <c r="Q492" s="1">
        <f>YEAR(Table2[[#This Row],[Order Date]])</f>
        <v>2016</v>
      </c>
      <c r="R492" s="18" t="str">
        <f>TEXT(Table2[[#This Row],[Order Date]],"mmm")</f>
        <v>Jun</v>
      </c>
      <c r="S492" s="18"/>
    </row>
    <row r="493" spans="1:19" x14ac:dyDescent="0.2">
      <c r="A493" s="1">
        <v>492</v>
      </c>
      <c r="B493" s="1" t="s">
        <v>1051</v>
      </c>
      <c r="C493" s="2">
        <v>42627</v>
      </c>
      <c r="D493" s="1" t="s">
        <v>36</v>
      </c>
      <c r="E493" s="1" t="s">
        <v>1052</v>
      </c>
      <c r="F493" s="1" t="s">
        <v>256</v>
      </c>
      <c r="G493" s="1" t="s">
        <v>179</v>
      </c>
      <c r="H493" s="1" t="s">
        <v>103</v>
      </c>
      <c r="I493" s="1" t="s">
        <v>32</v>
      </c>
      <c r="J493" s="1" t="s">
        <v>42</v>
      </c>
      <c r="K493" s="1" t="s">
        <v>1053</v>
      </c>
      <c r="L493" s="17">
        <v>449.15</v>
      </c>
      <c r="M493" s="1">
        <v>5</v>
      </c>
      <c r="N493" s="1">
        <v>0</v>
      </c>
      <c r="O493" s="17">
        <v>8.9829999999999899</v>
      </c>
      <c r="P493" s="17">
        <f>('Work File (2)'!$L493*'Work File (2)'!$M493)*(1-'Work File (2)'!$N493)</f>
        <v>2245.75</v>
      </c>
      <c r="Q493" s="1">
        <f>YEAR(Table2[[#This Row],[Order Date]])</f>
        <v>2016</v>
      </c>
      <c r="R493" s="18" t="str">
        <f>TEXT(Table2[[#This Row],[Order Date]],"mmm")</f>
        <v>Sep</v>
      </c>
      <c r="S493" s="18"/>
    </row>
    <row r="494" spans="1:19" x14ac:dyDescent="0.2">
      <c r="A494" s="1">
        <v>493</v>
      </c>
      <c r="B494" s="1" t="s">
        <v>1051</v>
      </c>
      <c r="C494" s="2">
        <v>42627</v>
      </c>
      <c r="D494" s="1" t="s">
        <v>36</v>
      </c>
      <c r="E494" s="1" t="s">
        <v>1052</v>
      </c>
      <c r="F494" s="1" t="s">
        <v>256</v>
      </c>
      <c r="G494" s="1" t="s">
        <v>179</v>
      </c>
      <c r="H494" s="1" t="s">
        <v>103</v>
      </c>
      <c r="I494" s="1" t="s">
        <v>32</v>
      </c>
      <c r="J494" s="1" t="s">
        <v>118</v>
      </c>
      <c r="K494" s="1" t="s">
        <v>1054</v>
      </c>
      <c r="L494" s="17">
        <v>11.07</v>
      </c>
      <c r="M494" s="1">
        <v>3</v>
      </c>
      <c r="N494" s="1">
        <v>0</v>
      </c>
      <c r="O494" s="17">
        <v>5.0921999999999992</v>
      </c>
      <c r="P494" s="17">
        <f>('Work File (2)'!$L494*'Work File (2)'!$M494)*(1-'Work File (2)'!$N494)</f>
        <v>33.21</v>
      </c>
      <c r="Q494" s="1">
        <f>YEAR(Table2[[#This Row],[Order Date]])</f>
        <v>2016</v>
      </c>
      <c r="R494" s="18" t="str">
        <f>TEXT(Table2[[#This Row],[Order Date]],"mmm")</f>
        <v>Sep</v>
      </c>
      <c r="S494" s="18"/>
    </row>
    <row r="495" spans="1:19" x14ac:dyDescent="0.2">
      <c r="A495" s="1">
        <v>494</v>
      </c>
      <c r="B495" s="1" t="s">
        <v>1055</v>
      </c>
      <c r="C495" s="2">
        <v>43229</v>
      </c>
      <c r="D495" s="1" t="s">
        <v>36</v>
      </c>
      <c r="E495" s="1" t="s">
        <v>1056</v>
      </c>
      <c r="F495" s="1" t="s">
        <v>67</v>
      </c>
      <c r="G495" s="1" t="s">
        <v>68</v>
      </c>
      <c r="H495" s="1" t="s">
        <v>31</v>
      </c>
      <c r="I495" s="1" t="s">
        <v>50</v>
      </c>
      <c r="J495" s="1" t="s">
        <v>111</v>
      </c>
      <c r="K495" s="1" t="s">
        <v>1057</v>
      </c>
      <c r="L495" s="17">
        <v>93.98</v>
      </c>
      <c r="M495" s="1">
        <v>2</v>
      </c>
      <c r="N495" s="1">
        <v>0</v>
      </c>
      <c r="O495" s="17">
        <v>13.157200000000003</v>
      </c>
      <c r="P495" s="17">
        <f>('Work File (2)'!$L495*'Work File (2)'!$M495)*(1-'Work File (2)'!$N495)</f>
        <v>187.96</v>
      </c>
      <c r="Q495" s="1">
        <f>YEAR(Table2[[#This Row],[Order Date]])</f>
        <v>2018</v>
      </c>
      <c r="R495" s="18" t="str">
        <f>TEXT(Table2[[#This Row],[Order Date]],"mmm")</f>
        <v>May</v>
      </c>
      <c r="S495" s="18"/>
    </row>
    <row r="496" spans="1:19" x14ac:dyDescent="0.2">
      <c r="A496" s="1">
        <v>495</v>
      </c>
      <c r="B496" s="1" t="s">
        <v>1058</v>
      </c>
      <c r="C496" s="2">
        <v>43177</v>
      </c>
      <c r="D496" s="1" t="s">
        <v>17</v>
      </c>
      <c r="E496" s="1" t="s">
        <v>1059</v>
      </c>
      <c r="F496" s="1" t="s">
        <v>221</v>
      </c>
      <c r="G496" s="1" t="s">
        <v>222</v>
      </c>
      <c r="H496" s="1" t="s">
        <v>21</v>
      </c>
      <c r="I496" s="1" t="s">
        <v>22</v>
      </c>
      <c r="J496" s="1" t="s">
        <v>40</v>
      </c>
      <c r="K496" s="1" t="s">
        <v>1060</v>
      </c>
      <c r="L496" s="17">
        <v>189.88200000000001</v>
      </c>
      <c r="M496" s="1">
        <v>3</v>
      </c>
      <c r="N496" s="1">
        <v>0.4</v>
      </c>
      <c r="O496" s="17">
        <v>-94.941000000000017</v>
      </c>
      <c r="P496" s="17">
        <f>('Work File (2)'!$L496*'Work File (2)'!$M496)*(1-'Work File (2)'!$N496)</f>
        <v>341.78759999999994</v>
      </c>
      <c r="Q496" s="1">
        <f>YEAR(Table2[[#This Row],[Order Date]])</f>
        <v>2018</v>
      </c>
      <c r="R496" s="18" t="str">
        <f>TEXT(Table2[[#This Row],[Order Date]],"mmm")</f>
        <v>Mar</v>
      </c>
      <c r="S496" s="18"/>
    </row>
    <row r="497" spans="1:19" x14ac:dyDescent="0.2">
      <c r="A497" s="1">
        <v>496</v>
      </c>
      <c r="B497" s="1" t="s">
        <v>1061</v>
      </c>
      <c r="C497" s="2">
        <v>43096</v>
      </c>
      <c r="D497" s="1" t="s">
        <v>36</v>
      </c>
      <c r="E497" s="1" t="s">
        <v>1062</v>
      </c>
      <c r="F497" s="1" t="s">
        <v>1063</v>
      </c>
      <c r="G497" s="1" t="s">
        <v>1064</v>
      </c>
      <c r="H497" s="1" t="s">
        <v>21</v>
      </c>
      <c r="I497" s="1" t="s">
        <v>32</v>
      </c>
      <c r="J497" s="1" t="s">
        <v>118</v>
      </c>
      <c r="K497" s="1" t="s">
        <v>1065</v>
      </c>
      <c r="L497" s="17">
        <v>105.42</v>
      </c>
      <c r="M497" s="1">
        <v>2</v>
      </c>
      <c r="N497" s="1">
        <v>0</v>
      </c>
      <c r="O497" s="17">
        <v>51.655799999999999</v>
      </c>
      <c r="P497" s="17">
        <f>('Work File (2)'!$L497*'Work File (2)'!$M497)*(1-'Work File (2)'!$N497)</f>
        <v>210.84</v>
      </c>
      <c r="Q497" s="1">
        <f>YEAR(Table2[[#This Row],[Order Date]])</f>
        <v>2017</v>
      </c>
      <c r="R497" s="18" t="str">
        <f>TEXT(Table2[[#This Row],[Order Date]],"mmm")</f>
        <v>Dec</v>
      </c>
      <c r="S497" s="18"/>
    </row>
    <row r="498" spans="1:19" x14ac:dyDescent="0.2">
      <c r="A498" s="1">
        <v>497</v>
      </c>
      <c r="B498" s="1" t="s">
        <v>1066</v>
      </c>
      <c r="C498" s="2">
        <v>43306</v>
      </c>
      <c r="D498" s="1" t="s">
        <v>36</v>
      </c>
      <c r="E498" s="1" t="s">
        <v>990</v>
      </c>
      <c r="F498" s="1" t="s">
        <v>1067</v>
      </c>
      <c r="G498" s="1" t="s">
        <v>30</v>
      </c>
      <c r="H498" s="1" t="s">
        <v>31</v>
      </c>
      <c r="I498" s="1" t="s">
        <v>32</v>
      </c>
      <c r="J498" s="1" t="s">
        <v>53</v>
      </c>
      <c r="K498" s="1" t="s">
        <v>1068</v>
      </c>
      <c r="L498" s="17">
        <v>119.61600000000001</v>
      </c>
      <c r="M498" s="1">
        <v>8</v>
      </c>
      <c r="N498" s="1">
        <v>0.2</v>
      </c>
      <c r="O498" s="17">
        <v>40.370399999999997</v>
      </c>
      <c r="P498" s="17">
        <f>('Work File (2)'!$L498*'Work File (2)'!$M498)*(1-'Work File (2)'!$N498)</f>
        <v>765.54240000000016</v>
      </c>
      <c r="Q498" s="1">
        <f>YEAR(Table2[[#This Row],[Order Date]])</f>
        <v>2018</v>
      </c>
      <c r="R498" s="18" t="str">
        <f>TEXT(Table2[[#This Row],[Order Date]],"mmm")</f>
        <v>Jul</v>
      </c>
      <c r="S498" s="18"/>
    </row>
    <row r="499" spans="1:19" x14ac:dyDescent="0.2">
      <c r="A499" s="1">
        <v>498</v>
      </c>
      <c r="B499" s="1" t="s">
        <v>1066</v>
      </c>
      <c r="C499" s="2">
        <v>43306</v>
      </c>
      <c r="D499" s="1" t="s">
        <v>36</v>
      </c>
      <c r="E499" s="1" t="s">
        <v>990</v>
      </c>
      <c r="F499" s="1" t="s">
        <v>1067</v>
      </c>
      <c r="G499" s="1" t="s">
        <v>30</v>
      </c>
      <c r="H499" s="1" t="s">
        <v>31</v>
      </c>
      <c r="I499" s="1" t="s">
        <v>22</v>
      </c>
      <c r="J499" s="1" t="s">
        <v>46</v>
      </c>
      <c r="K499" s="1" t="s">
        <v>1069</v>
      </c>
      <c r="L499" s="17">
        <v>255.76</v>
      </c>
      <c r="M499" s="1">
        <v>4</v>
      </c>
      <c r="N499" s="1">
        <v>0</v>
      </c>
      <c r="O499" s="17">
        <v>81.843199999999996</v>
      </c>
      <c r="P499" s="17">
        <f>('Work File (2)'!$L499*'Work File (2)'!$M499)*(1-'Work File (2)'!$N499)</f>
        <v>1023.04</v>
      </c>
      <c r="Q499" s="1">
        <f>YEAR(Table2[[#This Row],[Order Date]])</f>
        <v>2018</v>
      </c>
      <c r="R499" s="18" t="str">
        <f>TEXT(Table2[[#This Row],[Order Date]],"mmm")</f>
        <v>Jul</v>
      </c>
      <c r="S499" s="18"/>
    </row>
    <row r="500" spans="1:19" x14ac:dyDescent="0.2">
      <c r="A500" s="1">
        <v>499</v>
      </c>
      <c r="B500" s="1" t="s">
        <v>1066</v>
      </c>
      <c r="C500" s="2">
        <v>43306</v>
      </c>
      <c r="D500" s="1" t="s">
        <v>36</v>
      </c>
      <c r="E500" s="1" t="s">
        <v>990</v>
      </c>
      <c r="F500" s="1" t="s">
        <v>1067</v>
      </c>
      <c r="G500" s="1" t="s">
        <v>30</v>
      </c>
      <c r="H500" s="1" t="s">
        <v>31</v>
      </c>
      <c r="I500" s="1" t="s">
        <v>22</v>
      </c>
      <c r="J500" s="1" t="s">
        <v>25</v>
      </c>
      <c r="K500" s="1" t="s">
        <v>731</v>
      </c>
      <c r="L500" s="17">
        <v>241.56799999999998</v>
      </c>
      <c r="M500" s="1">
        <v>2</v>
      </c>
      <c r="N500" s="1">
        <v>0.2</v>
      </c>
      <c r="O500" s="17">
        <v>18.11760000000001</v>
      </c>
      <c r="P500" s="17">
        <f>('Work File (2)'!$L500*'Work File (2)'!$M500)*(1-'Work File (2)'!$N500)</f>
        <v>386.50880000000001</v>
      </c>
      <c r="Q500" s="1">
        <f>YEAR(Table2[[#This Row],[Order Date]])</f>
        <v>2018</v>
      </c>
      <c r="R500" s="18" t="str">
        <f>TEXT(Table2[[#This Row],[Order Date]],"mmm")</f>
        <v>Jul</v>
      </c>
      <c r="S500" s="18"/>
    </row>
    <row r="501" spans="1:19" x14ac:dyDescent="0.2">
      <c r="A501" s="1">
        <v>500</v>
      </c>
      <c r="B501" s="1" t="s">
        <v>1066</v>
      </c>
      <c r="C501" s="2">
        <v>43306</v>
      </c>
      <c r="D501" s="1" t="s">
        <v>36</v>
      </c>
      <c r="E501" s="1" t="s">
        <v>990</v>
      </c>
      <c r="F501" s="1" t="s">
        <v>1067</v>
      </c>
      <c r="G501" s="1" t="s">
        <v>30</v>
      </c>
      <c r="H501" s="1" t="s">
        <v>31</v>
      </c>
      <c r="I501" s="1" t="s">
        <v>22</v>
      </c>
      <c r="J501" s="1" t="s">
        <v>46</v>
      </c>
      <c r="K501" s="1" t="s">
        <v>1070</v>
      </c>
      <c r="L501" s="17">
        <v>69.3</v>
      </c>
      <c r="M501" s="1">
        <v>9</v>
      </c>
      <c r="N501" s="1">
        <v>0</v>
      </c>
      <c r="O501" s="17">
        <v>22.868999999999996</v>
      </c>
      <c r="P501" s="17">
        <f>('Work File (2)'!$L501*'Work File (2)'!$M501)*(1-'Work File (2)'!$N501)</f>
        <v>623.69999999999993</v>
      </c>
      <c r="Q501" s="1">
        <f>YEAR(Table2[[#This Row],[Order Date]])</f>
        <v>2018</v>
      </c>
      <c r="R501" s="18" t="str">
        <f>TEXT(Table2[[#This Row],[Order Date]],"mmm")</f>
        <v>Jul</v>
      </c>
      <c r="S501" s="18"/>
    </row>
    <row r="502" spans="1:19" x14ac:dyDescent="0.2">
      <c r="A502" s="1">
        <v>501</v>
      </c>
      <c r="B502" s="1" t="s">
        <v>1071</v>
      </c>
      <c r="C502" s="2">
        <v>43250</v>
      </c>
      <c r="D502" s="1" t="s">
        <v>36</v>
      </c>
      <c r="E502" s="1" t="s">
        <v>1072</v>
      </c>
      <c r="F502" s="1" t="s">
        <v>1073</v>
      </c>
      <c r="G502" s="1" t="s">
        <v>298</v>
      </c>
      <c r="H502" s="1" t="s">
        <v>31</v>
      </c>
      <c r="I502" s="1" t="s">
        <v>32</v>
      </c>
      <c r="J502" s="1" t="s">
        <v>53</v>
      </c>
      <c r="K502" s="1" t="s">
        <v>1074</v>
      </c>
      <c r="L502" s="17">
        <v>22.620000000000005</v>
      </c>
      <c r="M502" s="1">
        <v>2</v>
      </c>
      <c r="N502" s="1">
        <v>0.7</v>
      </c>
      <c r="O502" s="17">
        <v>-15.079999999999998</v>
      </c>
      <c r="P502" s="17">
        <f>('Work File (2)'!$L502*'Work File (2)'!$M502)*(1-'Work File (2)'!$N502)</f>
        <v>13.572000000000005</v>
      </c>
      <c r="Q502" s="1">
        <f>YEAR(Table2[[#This Row],[Order Date]])</f>
        <v>2018</v>
      </c>
      <c r="R502" s="18" t="str">
        <f>TEXT(Table2[[#This Row],[Order Date]],"mmm")</f>
        <v>May</v>
      </c>
      <c r="S502" s="18"/>
    </row>
    <row r="503" spans="1:19" x14ac:dyDescent="0.2">
      <c r="A503" s="1">
        <v>502</v>
      </c>
      <c r="B503" s="1" t="s">
        <v>1071</v>
      </c>
      <c r="C503" s="2">
        <v>43250</v>
      </c>
      <c r="D503" s="1" t="s">
        <v>36</v>
      </c>
      <c r="E503" s="1" t="s">
        <v>1072</v>
      </c>
      <c r="F503" s="1" t="s">
        <v>1073</v>
      </c>
      <c r="G503" s="1" t="s">
        <v>298</v>
      </c>
      <c r="H503" s="1" t="s">
        <v>31</v>
      </c>
      <c r="I503" s="1" t="s">
        <v>32</v>
      </c>
      <c r="J503" s="1" t="s">
        <v>53</v>
      </c>
      <c r="K503" s="1" t="s">
        <v>1075</v>
      </c>
      <c r="L503" s="17">
        <v>14.952000000000004</v>
      </c>
      <c r="M503" s="1">
        <v>2</v>
      </c>
      <c r="N503" s="1">
        <v>0.7</v>
      </c>
      <c r="O503" s="17">
        <v>-11.961599999999997</v>
      </c>
      <c r="P503" s="17">
        <f>('Work File (2)'!$L503*'Work File (2)'!$M503)*(1-'Work File (2)'!$N503)</f>
        <v>8.9712000000000032</v>
      </c>
      <c r="Q503" s="1">
        <f>YEAR(Table2[[#This Row],[Order Date]])</f>
        <v>2018</v>
      </c>
      <c r="R503" s="18" t="str">
        <f>TEXT(Table2[[#This Row],[Order Date]],"mmm")</f>
        <v>May</v>
      </c>
      <c r="S503" s="18"/>
    </row>
    <row r="504" spans="1:19" x14ac:dyDescent="0.2">
      <c r="A504" s="1">
        <v>503</v>
      </c>
      <c r="B504" s="1" t="s">
        <v>1071</v>
      </c>
      <c r="C504" s="2">
        <v>43250</v>
      </c>
      <c r="D504" s="1" t="s">
        <v>36</v>
      </c>
      <c r="E504" s="1" t="s">
        <v>1072</v>
      </c>
      <c r="F504" s="1" t="s">
        <v>1073</v>
      </c>
      <c r="G504" s="1" t="s">
        <v>298</v>
      </c>
      <c r="H504" s="1" t="s">
        <v>31</v>
      </c>
      <c r="I504" s="1" t="s">
        <v>22</v>
      </c>
      <c r="J504" s="1" t="s">
        <v>25</v>
      </c>
      <c r="K504" s="1" t="s">
        <v>1076</v>
      </c>
      <c r="L504" s="17">
        <v>801.5680000000001</v>
      </c>
      <c r="M504" s="1">
        <v>2</v>
      </c>
      <c r="N504" s="1">
        <v>0.2</v>
      </c>
      <c r="O504" s="17">
        <v>50.097999999999985</v>
      </c>
      <c r="P504" s="17">
        <f>('Work File (2)'!$L504*'Work File (2)'!$M504)*(1-'Work File (2)'!$N504)</f>
        <v>1282.5088000000003</v>
      </c>
      <c r="Q504" s="1">
        <f>YEAR(Table2[[#This Row],[Order Date]])</f>
        <v>2018</v>
      </c>
      <c r="R504" s="18" t="str">
        <f>TEXT(Table2[[#This Row],[Order Date]],"mmm")</f>
        <v>May</v>
      </c>
      <c r="S504" s="18"/>
    </row>
    <row r="505" spans="1:19" x14ac:dyDescent="0.2">
      <c r="A505" s="1">
        <v>504</v>
      </c>
      <c r="B505" s="1" t="s">
        <v>1071</v>
      </c>
      <c r="C505" s="2">
        <v>43250</v>
      </c>
      <c r="D505" s="1" t="s">
        <v>36</v>
      </c>
      <c r="E505" s="1" t="s">
        <v>1072</v>
      </c>
      <c r="F505" s="1" t="s">
        <v>1073</v>
      </c>
      <c r="G505" s="1" t="s">
        <v>298</v>
      </c>
      <c r="H505" s="1" t="s">
        <v>31</v>
      </c>
      <c r="I505" s="1" t="s">
        <v>32</v>
      </c>
      <c r="J505" s="1" t="s">
        <v>53</v>
      </c>
      <c r="K505" s="1" t="s">
        <v>1077</v>
      </c>
      <c r="L505" s="17">
        <v>2.3760000000000003</v>
      </c>
      <c r="M505" s="1">
        <v>3</v>
      </c>
      <c r="N505" s="1">
        <v>0.7</v>
      </c>
      <c r="O505" s="17">
        <v>-1.9007999999999998</v>
      </c>
      <c r="P505" s="17">
        <f>('Work File (2)'!$L505*'Work File (2)'!$M505)*(1-'Work File (2)'!$N505)</f>
        <v>2.1384000000000007</v>
      </c>
      <c r="Q505" s="1">
        <f>YEAR(Table2[[#This Row],[Order Date]])</f>
        <v>2018</v>
      </c>
      <c r="R505" s="18" t="str">
        <f>TEXT(Table2[[#This Row],[Order Date]],"mmm")</f>
        <v>May</v>
      </c>
      <c r="S505" s="18"/>
    </row>
    <row r="506" spans="1:19" x14ac:dyDescent="0.2">
      <c r="A506" s="1">
        <v>505</v>
      </c>
      <c r="B506" s="1" t="s">
        <v>1071</v>
      </c>
      <c r="C506" s="2">
        <v>43250</v>
      </c>
      <c r="D506" s="1" t="s">
        <v>36</v>
      </c>
      <c r="E506" s="1" t="s">
        <v>1072</v>
      </c>
      <c r="F506" s="1" t="s">
        <v>1073</v>
      </c>
      <c r="G506" s="1" t="s">
        <v>298</v>
      </c>
      <c r="H506" s="1" t="s">
        <v>31</v>
      </c>
      <c r="I506" s="1" t="s">
        <v>32</v>
      </c>
      <c r="J506" s="1" t="s">
        <v>63</v>
      </c>
      <c r="K506" s="1" t="s">
        <v>1078</v>
      </c>
      <c r="L506" s="17">
        <v>32.792000000000002</v>
      </c>
      <c r="M506" s="1">
        <v>1</v>
      </c>
      <c r="N506" s="1">
        <v>0.2</v>
      </c>
      <c r="O506" s="17">
        <v>11.8871</v>
      </c>
      <c r="P506" s="17">
        <f>('Work File (2)'!$L506*'Work File (2)'!$M506)*(1-'Work File (2)'!$N506)</f>
        <v>26.233600000000003</v>
      </c>
      <c r="Q506" s="1">
        <f>YEAR(Table2[[#This Row],[Order Date]])</f>
        <v>2018</v>
      </c>
      <c r="R506" s="18" t="str">
        <f>TEXT(Table2[[#This Row],[Order Date]],"mmm")</f>
        <v>May</v>
      </c>
      <c r="S506" s="18"/>
    </row>
    <row r="507" spans="1:19" x14ac:dyDescent="0.2">
      <c r="A507" s="1">
        <v>506</v>
      </c>
      <c r="B507" s="1" t="s">
        <v>1079</v>
      </c>
      <c r="C507" s="2">
        <v>43781</v>
      </c>
      <c r="D507" s="1" t="s">
        <v>17</v>
      </c>
      <c r="E507" s="1" t="s">
        <v>984</v>
      </c>
      <c r="F507" s="1" t="s">
        <v>178</v>
      </c>
      <c r="G507" s="1" t="s">
        <v>179</v>
      </c>
      <c r="H507" s="1" t="s">
        <v>103</v>
      </c>
      <c r="I507" s="1" t="s">
        <v>32</v>
      </c>
      <c r="J507" s="1" t="s">
        <v>53</v>
      </c>
      <c r="K507" s="1" t="s">
        <v>353</v>
      </c>
      <c r="L507" s="17">
        <v>15.920000000000002</v>
      </c>
      <c r="M507" s="1">
        <v>5</v>
      </c>
      <c r="N507" s="1">
        <v>0.2</v>
      </c>
      <c r="O507" s="17">
        <v>5.3729999999999993</v>
      </c>
      <c r="P507" s="17">
        <f>('Work File (2)'!$L507*'Work File (2)'!$M507)*(1-'Work File (2)'!$N507)</f>
        <v>63.680000000000007</v>
      </c>
      <c r="Q507" s="1">
        <f>YEAR(Table2[[#This Row],[Order Date]])</f>
        <v>2019</v>
      </c>
      <c r="R507" s="18" t="str">
        <f>TEXT(Table2[[#This Row],[Order Date]],"mmm")</f>
        <v>Nov</v>
      </c>
      <c r="S507" s="18"/>
    </row>
    <row r="508" spans="1:19" x14ac:dyDescent="0.2">
      <c r="A508" s="1">
        <v>507</v>
      </c>
      <c r="B508" s="1" t="s">
        <v>1080</v>
      </c>
      <c r="C508" s="2">
        <v>42810</v>
      </c>
      <c r="D508" s="1" t="s">
        <v>36</v>
      </c>
      <c r="E508" s="1" t="s">
        <v>1081</v>
      </c>
      <c r="F508" s="1" t="s">
        <v>1082</v>
      </c>
      <c r="G508" s="1" t="s">
        <v>797</v>
      </c>
      <c r="H508" s="1" t="s">
        <v>21</v>
      </c>
      <c r="I508" s="1" t="s">
        <v>32</v>
      </c>
      <c r="J508" s="1" t="s">
        <v>48</v>
      </c>
      <c r="K508" s="1" t="s">
        <v>1083</v>
      </c>
      <c r="L508" s="17">
        <v>2.74</v>
      </c>
      <c r="M508" s="1">
        <v>1</v>
      </c>
      <c r="N508" s="1">
        <v>0</v>
      </c>
      <c r="O508" s="17">
        <v>0.73980000000000024</v>
      </c>
      <c r="P508" s="17">
        <f>('Work File (2)'!$L508*'Work File (2)'!$M508)*(1-'Work File (2)'!$N508)</f>
        <v>2.74</v>
      </c>
      <c r="Q508" s="1">
        <f>YEAR(Table2[[#This Row],[Order Date]])</f>
        <v>2017</v>
      </c>
      <c r="R508" s="18" t="str">
        <f>TEXT(Table2[[#This Row],[Order Date]],"mmm")</f>
        <v>Mar</v>
      </c>
      <c r="S508" s="18"/>
    </row>
    <row r="509" spans="1:19" x14ac:dyDescent="0.2">
      <c r="A509" s="1">
        <v>508</v>
      </c>
      <c r="B509" s="1" t="s">
        <v>1080</v>
      </c>
      <c r="C509" s="2">
        <v>42810</v>
      </c>
      <c r="D509" s="1" t="s">
        <v>36</v>
      </c>
      <c r="E509" s="1" t="s">
        <v>1081</v>
      </c>
      <c r="F509" s="1" t="s">
        <v>1082</v>
      </c>
      <c r="G509" s="1" t="s">
        <v>797</v>
      </c>
      <c r="H509" s="1" t="s">
        <v>21</v>
      </c>
      <c r="I509" s="1" t="s">
        <v>32</v>
      </c>
      <c r="J509" s="1" t="s">
        <v>48</v>
      </c>
      <c r="K509" s="1" t="s">
        <v>1084</v>
      </c>
      <c r="L509" s="17">
        <v>8.34</v>
      </c>
      <c r="M509" s="1">
        <v>3</v>
      </c>
      <c r="N509" s="1">
        <v>0</v>
      </c>
      <c r="O509" s="17">
        <v>2.1683999999999997</v>
      </c>
      <c r="P509" s="17">
        <f>('Work File (2)'!$L509*'Work File (2)'!$M509)*(1-'Work File (2)'!$N509)</f>
        <v>25.02</v>
      </c>
      <c r="Q509" s="1">
        <f>YEAR(Table2[[#This Row],[Order Date]])</f>
        <v>2017</v>
      </c>
      <c r="R509" s="18" t="str">
        <f>TEXT(Table2[[#This Row],[Order Date]],"mmm")</f>
        <v>Mar</v>
      </c>
      <c r="S509" s="18"/>
    </row>
    <row r="510" spans="1:19" x14ac:dyDescent="0.2">
      <c r="A510" s="1">
        <v>509</v>
      </c>
      <c r="B510" s="1" t="s">
        <v>1080</v>
      </c>
      <c r="C510" s="2">
        <v>42810</v>
      </c>
      <c r="D510" s="1" t="s">
        <v>36</v>
      </c>
      <c r="E510" s="1" t="s">
        <v>1081</v>
      </c>
      <c r="F510" s="1" t="s">
        <v>1082</v>
      </c>
      <c r="G510" s="1" t="s">
        <v>797</v>
      </c>
      <c r="H510" s="1" t="s">
        <v>21</v>
      </c>
      <c r="I510" s="1" t="s">
        <v>32</v>
      </c>
      <c r="J510" s="1" t="s">
        <v>42</v>
      </c>
      <c r="K510" s="1" t="s">
        <v>1085</v>
      </c>
      <c r="L510" s="17">
        <v>46.74</v>
      </c>
      <c r="M510" s="1">
        <v>3</v>
      </c>
      <c r="N510" s="1">
        <v>0</v>
      </c>
      <c r="O510" s="17">
        <v>11.684999999999999</v>
      </c>
      <c r="P510" s="17">
        <f>('Work File (2)'!$L510*'Work File (2)'!$M510)*(1-'Work File (2)'!$N510)</f>
        <v>140.22</v>
      </c>
      <c r="Q510" s="1">
        <f>YEAR(Table2[[#This Row],[Order Date]])</f>
        <v>2017</v>
      </c>
      <c r="R510" s="18" t="str">
        <f>TEXT(Table2[[#This Row],[Order Date]],"mmm")</f>
        <v>Mar</v>
      </c>
      <c r="S510" s="18"/>
    </row>
    <row r="511" spans="1:19" x14ac:dyDescent="0.2">
      <c r="A511" s="1">
        <v>510</v>
      </c>
      <c r="B511" s="1" t="s">
        <v>1080</v>
      </c>
      <c r="C511" s="2">
        <v>42810</v>
      </c>
      <c r="D511" s="1" t="s">
        <v>36</v>
      </c>
      <c r="E511" s="1" t="s">
        <v>1081</v>
      </c>
      <c r="F511" s="1" t="s">
        <v>1082</v>
      </c>
      <c r="G511" s="1" t="s">
        <v>797</v>
      </c>
      <c r="H511" s="1" t="s">
        <v>21</v>
      </c>
      <c r="I511" s="1" t="s">
        <v>32</v>
      </c>
      <c r="J511" s="1" t="s">
        <v>53</v>
      </c>
      <c r="K511" s="1" t="s">
        <v>1086</v>
      </c>
      <c r="L511" s="17">
        <v>6354.95</v>
      </c>
      <c r="M511" s="1">
        <v>5</v>
      </c>
      <c r="N511" s="1">
        <v>0</v>
      </c>
      <c r="O511" s="17">
        <v>3177.4749999999999</v>
      </c>
      <c r="P511" s="17">
        <f>('Work File (2)'!$L511*'Work File (2)'!$M511)*(1-'Work File (2)'!$N511)</f>
        <v>31774.75</v>
      </c>
      <c r="Q511" s="1">
        <f>YEAR(Table2[[#This Row],[Order Date]])</f>
        <v>2017</v>
      </c>
      <c r="R511" s="18" t="str">
        <f>TEXT(Table2[[#This Row],[Order Date]],"mmm")</f>
        <v>Mar</v>
      </c>
      <c r="S511" s="18"/>
    </row>
    <row r="512" spans="1:19" x14ac:dyDescent="0.2">
      <c r="A512" s="1">
        <v>511</v>
      </c>
      <c r="B512" s="1" t="s">
        <v>1087</v>
      </c>
      <c r="C512" s="2">
        <v>43795</v>
      </c>
      <c r="D512" s="1" t="s">
        <v>128</v>
      </c>
      <c r="E512" s="1" t="s">
        <v>1088</v>
      </c>
      <c r="F512" s="1" t="s">
        <v>1089</v>
      </c>
      <c r="G512" s="1" t="s">
        <v>384</v>
      </c>
      <c r="H512" s="1" t="s">
        <v>74</v>
      </c>
      <c r="I512" s="1" t="s">
        <v>22</v>
      </c>
      <c r="J512" s="1" t="s">
        <v>46</v>
      </c>
      <c r="K512" s="1" t="s">
        <v>1090</v>
      </c>
      <c r="L512" s="17">
        <v>126.30000000000001</v>
      </c>
      <c r="M512" s="1">
        <v>3</v>
      </c>
      <c r="N512" s="1">
        <v>0</v>
      </c>
      <c r="O512" s="17">
        <v>40.415999999999997</v>
      </c>
      <c r="P512" s="17">
        <f>('Work File (2)'!$L512*'Work File (2)'!$M512)*(1-'Work File (2)'!$N512)</f>
        <v>378.90000000000003</v>
      </c>
      <c r="Q512" s="1">
        <f>YEAR(Table2[[#This Row],[Order Date]])</f>
        <v>2019</v>
      </c>
      <c r="R512" s="18" t="str">
        <f>TEXT(Table2[[#This Row],[Order Date]],"mmm")</f>
        <v>Nov</v>
      </c>
      <c r="S512" s="18"/>
    </row>
    <row r="513" spans="1:19" x14ac:dyDescent="0.2">
      <c r="A513" s="1">
        <v>512</v>
      </c>
      <c r="B513" s="1" t="s">
        <v>1087</v>
      </c>
      <c r="C513" s="2">
        <v>43795</v>
      </c>
      <c r="D513" s="1" t="s">
        <v>128</v>
      </c>
      <c r="E513" s="1" t="s">
        <v>1088</v>
      </c>
      <c r="F513" s="1" t="s">
        <v>1089</v>
      </c>
      <c r="G513" s="1" t="s">
        <v>384</v>
      </c>
      <c r="H513" s="1" t="s">
        <v>74</v>
      </c>
      <c r="I513" s="1" t="s">
        <v>50</v>
      </c>
      <c r="J513" s="1" t="s">
        <v>111</v>
      </c>
      <c r="K513" s="1" t="s">
        <v>1091</v>
      </c>
      <c r="L513" s="17">
        <v>38.04</v>
      </c>
      <c r="M513" s="1">
        <v>2</v>
      </c>
      <c r="N513" s="1">
        <v>0</v>
      </c>
      <c r="O513" s="17">
        <v>12.172799999999999</v>
      </c>
      <c r="P513" s="17">
        <f>('Work File (2)'!$L513*'Work File (2)'!$M513)*(1-'Work File (2)'!$N513)</f>
        <v>76.08</v>
      </c>
      <c r="Q513" s="1">
        <f>YEAR(Table2[[#This Row],[Order Date]])</f>
        <v>2019</v>
      </c>
      <c r="R513" s="18" t="str">
        <f>TEXT(Table2[[#This Row],[Order Date]],"mmm")</f>
        <v>Nov</v>
      </c>
      <c r="S513" s="18"/>
    </row>
    <row r="514" spans="1:19" x14ac:dyDescent="0.2">
      <c r="A514" s="1">
        <v>513</v>
      </c>
      <c r="B514" s="1" t="s">
        <v>1092</v>
      </c>
      <c r="C514" s="2">
        <v>43393</v>
      </c>
      <c r="D514" s="1" t="s">
        <v>128</v>
      </c>
      <c r="E514" s="1" t="s">
        <v>887</v>
      </c>
      <c r="F514" s="1" t="s">
        <v>391</v>
      </c>
      <c r="G514" s="1" t="s">
        <v>324</v>
      </c>
      <c r="H514" s="1" t="s">
        <v>103</v>
      </c>
      <c r="I514" s="1" t="s">
        <v>32</v>
      </c>
      <c r="J514" s="1" t="s">
        <v>48</v>
      </c>
      <c r="K514" s="1" t="s">
        <v>241</v>
      </c>
      <c r="L514" s="17">
        <v>7.1519999999999992</v>
      </c>
      <c r="M514" s="1">
        <v>3</v>
      </c>
      <c r="N514" s="1">
        <v>0.2</v>
      </c>
      <c r="O514" s="17">
        <v>0.71520000000000028</v>
      </c>
      <c r="P514" s="17">
        <f>('Work File (2)'!$L514*'Work File (2)'!$M514)*(1-'Work File (2)'!$N514)</f>
        <v>17.164799999999996</v>
      </c>
      <c r="Q514" s="1">
        <f>YEAR(Table2[[#This Row],[Order Date]])</f>
        <v>2018</v>
      </c>
      <c r="R514" s="18" t="str">
        <f>TEXT(Table2[[#This Row],[Order Date]],"mmm")</f>
        <v>Oct</v>
      </c>
      <c r="S514" s="18"/>
    </row>
    <row r="515" spans="1:19" x14ac:dyDescent="0.2">
      <c r="A515" s="1">
        <v>514</v>
      </c>
      <c r="B515" s="1" t="s">
        <v>1093</v>
      </c>
      <c r="C515" s="2">
        <v>43820</v>
      </c>
      <c r="D515" s="1" t="s">
        <v>36</v>
      </c>
      <c r="E515" s="1" t="s">
        <v>1094</v>
      </c>
      <c r="F515" s="1" t="s">
        <v>29</v>
      </c>
      <c r="G515" s="1" t="s">
        <v>30</v>
      </c>
      <c r="H515" s="1" t="s">
        <v>31</v>
      </c>
      <c r="I515" s="1" t="s">
        <v>32</v>
      </c>
      <c r="J515" s="1" t="s">
        <v>48</v>
      </c>
      <c r="K515" s="1" t="s">
        <v>1095</v>
      </c>
      <c r="L515" s="17">
        <v>6.63</v>
      </c>
      <c r="M515" s="1">
        <v>3</v>
      </c>
      <c r="N515" s="1">
        <v>0</v>
      </c>
      <c r="O515" s="17">
        <v>1.7901</v>
      </c>
      <c r="P515" s="17">
        <f>('Work File (2)'!$L515*'Work File (2)'!$M515)*(1-'Work File (2)'!$N515)</f>
        <v>19.89</v>
      </c>
      <c r="Q515" s="1">
        <f>YEAR(Table2[[#This Row],[Order Date]])</f>
        <v>2019</v>
      </c>
      <c r="R515" s="18" t="str">
        <f>TEXT(Table2[[#This Row],[Order Date]],"mmm")</f>
        <v>Dec</v>
      </c>
      <c r="S515" s="18"/>
    </row>
    <row r="516" spans="1:19" x14ac:dyDescent="0.2">
      <c r="A516" s="1">
        <v>515</v>
      </c>
      <c r="B516" s="1" t="s">
        <v>1093</v>
      </c>
      <c r="C516" s="2">
        <v>43820</v>
      </c>
      <c r="D516" s="1" t="s">
        <v>36</v>
      </c>
      <c r="E516" s="1" t="s">
        <v>1094</v>
      </c>
      <c r="F516" s="1" t="s">
        <v>29</v>
      </c>
      <c r="G516" s="1" t="s">
        <v>30</v>
      </c>
      <c r="H516" s="1" t="s">
        <v>31</v>
      </c>
      <c r="I516" s="1" t="s">
        <v>32</v>
      </c>
      <c r="J516" s="1" t="s">
        <v>48</v>
      </c>
      <c r="K516" s="1" t="s">
        <v>1096</v>
      </c>
      <c r="L516" s="17">
        <v>5.88</v>
      </c>
      <c r="M516" s="1">
        <v>2</v>
      </c>
      <c r="N516" s="1">
        <v>0</v>
      </c>
      <c r="O516" s="17">
        <v>1.7051999999999996</v>
      </c>
      <c r="P516" s="17">
        <f>('Work File (2)'!$L516*'Work File (2)'!$M516)*(1-'Work File (2)'!$N516)</f>
        <v>11.76</v>
      </c>
      <c r="Q516" s="1">
        <f>YEAR(Table2[[#This Row],[Order Date]])</f>
        <v>2019</v>
      </c>
      <c r="R516" s="18" t="str">
        <f>TEXT(Table2[[#This Row],[Order Date]],"mmm")</f>
        <v>Dec</v>
      </c>
      <c r="S516" s="18"/>
    </row>
    <row r="517" spans="1:19" x14ac:dyDescent="0.2">
      <c r="A517" s="1">
        <v>516</v>
      </c>
      <c r="B517" s="1" t="s">
        <v>1097</v>
      </c>
      <c r="C517" s="2">
        <v>43487</v>
      </c>
      <c r="D517" s="1" t="s">
        <v>36</v>
      </c>
      <c r="E517" s="1" t="s">
        <v>344</v>
      </c>
      <c r="F517" s="1" t="s">
        <v>1098</v>
      </c>
      <c r="G517" s="1" t="s">
        <v>1099</v>
      </c>
      <c r="H517" s="1" t="s">
        <v>31</v>
      </c>
      <c r="I517" s="1" t="s">
        <v>50</v>
      </c>
      <c r="J517" s="1" t="s">
        <v>761</v>
      </c>
      <c r="K517" s="1" t="s">
        <v>1100</v>
      </c>
      <c r="L517" s="17">
        <v>2999.95</v>
      </c>
      <c r="M517" s="1">
        <v>5</v>
      </c>
      <c r="N517" s="1">
        <v>0</v>
      </c>
      <c r="O517" s="17">
        <v>1379.9769999999999</v>
      </c>
      <c r="P517" s="17">
        <f>('Work File (2)'!$L517*'Work File (2)'!$M517)*(1-'Work File (2)'!$N517)</f>
        <v>14999.75</v>
      </c>
      <c r="Q517" s="1">
        <f>YEAR(Table2[[#This Row],[Order Date]])</f>
        <v>2019</v>
      </c>
      <c r="R517" s="18" t="str">
        <f>TEXT(Table2[[#This Row],[Order Date]],"mmm")</f>
        <v>Jan</v>
      </c>
      <c r="S517" s="18"/>
    </row>
    <row r="518" spans="1:19" x14ac:dyDescent="0.2">
      <c r="A518" s="1">
        <v>517</v>
      </c>
      <c r="B518" s="1" t="s">
        <v>1097</v>
      </c>
      <c r="C518" s="2">
        <v>43487</v>
      </c>
      <c r="D518" s="1" t="s">
        <v>36</v>
      </c>
      <c r="E518" s="1" t="s">
        <v>344</v>
      </c>
      <c r="F518" s="1" t="s">
        <v>1098</v>
      </c>
      <c r="G518" s="1" t="s">
        <v>1099</v>
      </c>
      <c r="H518" s="1" t="s">
        <v>31</v>
      </c>
      <c r="I518" s="1" t="s">
        <v>32</v>
      </c>
      <c r="J518" s="1" t="s">
        <v>42</v>
      </c>
      <c r="K518" s="1" t="s">
        <v>1101</v>
      </c>
      <c r="L518" s="17">
        <v>51.449999999999996</v>
      </c>
      <c r="M518" s="1">
        <v>3</v>
      </c>
      <c r="N518" s="1">
        <v>0</v>
      </c>
      <c r="O518" s="17">
        <v>13.891499999999999</v>
      </c>
      <c r="P518" s="17">
        <f>('Work File (2)'!$L518*'Work File (2)'!$M518)*(1-'Work File (2)'!$N518)</f>
        <v>154.35</v>
      </c>
      <c r="Q518" s="1">
        <f>YEAR(Table2[[#This Row],[Order Date]])</f>
        <v>2019</v>
      </c>
      <c r="R518" s="18" t="str">
        <f>TEXT(Table2[[#This Row],[Order Date]],"mmm")</f>
        <v>Jan</v>
      </c>
      <c r="S518" s="18"/>
    </row>
    <row r="519" spans="1:19" x14ac:dyDescent="0.2">
      <c r="A519" s="1">
        <v>518</v>
      </c>
      <c r="B519" s="1" t="s">
        <v>1097</v>
      </c>
      <c r="C519" s="2">
        <v>43487</v>
      </c>
      <c r="D519" s="1" t="s">
        <v>36</v>
      </c>
      <c r="E519" s="1" t="s">
        <v>344</v>
      </c>
      <c r="F519" s="1" t="s">
        <v>1098</v>
      </c>
      <c r="G519" s="1" t="s">
        <v>1099</v>
      </c>
      <c r="H519" s="1" t="s">
        <v>31</v>
      </c>
      <c r="I519" s="1" t="s">
        <v>32</v>
      </c>
      <c r="J519" s="1" t="s">
        <v>63</v>
      </c>
      <c r="K519" s="1" t="s">
        <v>1102</v>
      </c>
      <c r="L519" s="17">
        <v>11.96</v>
      </c>
      <c r="M519" s="1">
        <v>2</v>
      </c>
      <c r="N519" s="1">
        <v>0</v>
      </c>
      <c r="O519" s="17">
        <v>5.3819999999999997</v>
      </c>
      <c r="P519" s="17">
        <f>('Work File (2)'!$L519*'Work File (2)'!$M519)*(1-'Work File (2)'!$N519)</f>
        <v>23.92</v>
      </c>
      <c r="Q519" s="1">
        <f>YEAR(Table2[[#This Row],[Order Date]])</f>
        <v>2019</v>
      </c>
      <c r="R519" s="18" t="str">
        <f>TEXT(Table2[[#This Row],[Order Date]],"mmm")</f>
        <v>Jan</v>
      </c>
      <c r="S519" s="18"/>
    </row>
    <row r="520" spans="1:19" x14ac:dyDescent="0.2">
      <c r="A520" s="1">
        <v>519</v>
      </c>
      <c r="B520" s="1" t="s">
        <v>1097</v>
      </c>
      <c r="C520" s="2">
        <v>43487</v>
      </c>
      <c r="D520" s="1" t="s">
        <v>36</v>
      </c>
      <c r="E520" s="1" t="s">
        <v>344</v>
      </c>
      <c r="F520" s="1" t="s">
        <v>1098</v>
      </c>
      <c r="G520" s="1" t="s">
        <v>1099</v>
      </c>
      <c r="H520" s="1" t="s">
        <v>31</v>
      </c>
      <c r="I520" s="1" t="s">
        <v>32</v>
      </c>
      <c r="J520" s="1" t="s">
        <v>42</v>
      </c>
      <c r="K520" s="1" t="s">
        <v>1103</v>
      </c>
      <c r="L520" s="17">
        <v>1126.02</v>
      </c>
      <c r="M520" s="1">
        <v>3</v>
      </c>
      <c r="N520" s="1">
        <v>0</v>
      </c>
      <c r="O520" s="17">
        <v>56.300999999999988</v>
      </c>
      <c r="P520" s="17">
        <f>('Work File (2)'!$L520*'Work File (2)'!$M520)*(1-'Work File (2)'!$N520)</f>
        <v>3378.06</v>
      </c>
      <c r="Q520" s="1">
        <f>YEAR(Table2[[#This Row],[Order Date]])</f>
        <v>2019</v>
      </c>
      <c r="R520" s="18" t="str">
        <f>TEXT(Table2[[#This Row],[Order Date]],"mmm")</f>
        <v>Jan</v>
      </c>
      <c r="S520" s="18"/>
    </row>
    <row r="521" spans="1:19" x14ac:dyDescent="0.2">
      <c r="A521" s="1">
        <v>520</v>
      </c>
      <c r="B521" s="1" t="s">
        <v>1104</v>
      </c>
      <c r="C521" s="2">
        <v>42816</v>
      </c>
      <c r="D521" s="1" t="s">
        <v>36</v>
      </c>
      <c r="E521" s="1" t="s">
        <v>1105</v>
      </c>
      <c r="F521" s="1" t="s">
        <v>125</v>
      </c>
      <c r="G521" s="1" t="s">
        <v>73</v>
      </c>
      <c r="H521" s="1" t="s">
        <v>74</v>
      </c>
      <c r="I521" s="1" t="s">
        <v>50</v>
      </c>
      <c r="J521" s="1" t="s">
        <v>111</v>
      </c>
      <c r="K521" s="1" t="s">
        <v>155</v>
      </c>
      <c r="L521" s="17">
        <v>18.391999999999999</v>
      </c>
      <c r="M521" s="1">
        <v>1</v>
      </c>
      <c r="N521" s="1">
        <v>0.2</v>
      </c>
      <c r="O521" s="17">
        <v>5.2877000000000001</v>
      </c>
      <c r="P521" s="17">
        <f>('Work File (2)'!$L521*'Work File (2)'!$M521)*(1-'Work File (2)'!$N521)</f>
        <v>14.7136</v>
      </c>
      <c r="Q521" s="1">
        <f>YEAR(Table2[[#This Row],[Order Date]])</f>
        <v>2017</v>
      </c>
      <c r="R521" s="18" t="str">
        <f>TEXT(Table2[[#This Row],[Order Date]],"mmm")</f>
        <v>Mar</v>
      </c>
      <c r="S521" s="18"/>
    </row>
    <row r="522" spans="1:19" x14ac:dyDescent="0.2">
      <c r="A522" s="1">
        <v>521</v>
      </c>
      <c r="B522" s="1" t="s">
        <v>1104</v>
      </c>
      <c r="C522" s="2">
        <v>42816</v>
      </c>
      <c r="D522" s="1" t="s">
        <v>36</v>
      </c>
      <c r="E522" s="1" t="s">
        <v>1105</v>
      </c>
      <c r="F522" s="1" t="s">
        <v>125</v>
      </c>
      <c r="G522" s="1" t="s">
        <v>73</v>
      </c>
      <c r="H522" s="1" t="s">
        <v>74</v>
      </c>
      <c r="I522" s="1" t="s">
        <v>32</v>
      </c>
      <c r="J522" s="1" t="s">
        <v>42</v>
      </c>
      <c r="K522" s="1" t="s">
        <v>1106</v>
      </c>
      <c r="L522" s="17">
        <v>129.56800000000001</v>
      </c>
      <c r="M522" s="1">
        <v>2</v>
      </c>
      <c r="N522" s="1">
        <v>0.2</v>
      </c>
      <c r="O522" s="17">
        <v>-25.91360000000001</v>
      </c>
      <c r="P522" s="17">
        <f>('Work File (2)'!$L522*'Work File (2)'!$M522)*(1-'Work File (2)'!$N522)</f>
        <v>207.30880000000002</v>
      </c>
      <c r="Q522" s="1">
        <f>YEAR(Table2[[#This Row],[Order Date]])</f>
        <v>2017</v>
      </c>
      <c r="R522" s="18" t="str">
        <f>TEXT(Table2[[#This Row],[Order Date]],"mmm")</f>
        <v>Mar</v>
      </c>
      <c r="S522" s="18"/>
    </row>
    <row r="523" spans="1:19" x14ac:dyDescent="0.2">
      <c r="A523" s="1">
        <v>522</v>
      </c>
      <c r="B523" s="1" t="s">
        <v>1104</v>
      </c>
      <c r="C523" s="2">
        <v>42816</v>
      </c>
      <c r="D523" s="1" t="s">
        <v>36</v>
      </c>
      <c r="E523" s="1" t="s">
        <v>1105</v>
      </c>
      <c r="F523" s="1" t="s">
        <v>125</v>
      </c>
      <c r="G523" s="1" t="s">
        <v>73</v>
      </c>
      <c r="H523" s="1" t="s">
        <v>74</v>
      </c>
      <c r="I523" s="1" t="s">
        <v>32</v>
      </c>
      <c r="J523" s="1" t="s">
        <v>53</v>
      </c>
      <c r="K523" s="1" t="s">
        <v>1107</v>
      </c>
      <c r="L523" s="17">
        <v>14.111999999999997</v>
      </c>
      <c r="M523" s="1">
        <v>9</v>
      </c>
      <c r="N523" s="1">
        <v>0.8</v>
      </c>
      <c r="O523" s="17">
        <v>-21.167999999999999</v>
      </c>
      <c r="P523" s="17">
        <f>('Work File (2)'!$L523*'Work File (2)'!$M523)*(1-'Work File (2)'!$N523)</f>
        <v>25.401599999999988</v>
      </c>
      <c r="Q523" s="1">
        <f>YEAR(Table2[[#This Row],[Order Date]])</f>
        <v>2017</v>
      </c>
      <c r="R523" s="18" t="str">
        <f>TEXT(Table2[[#This Row],[Order Date]],"mmm")</f>
        <v>Mar</v>
      </c>
      <c r="S523" s="18"/>
    </row>
    <row r="524" spans="1:19" x14ac:dyDescent="0.2">
      <c r="A524" s="1">
        <v>523</v>
      </c>
      <c r="B524" s="1" t="s">
        <v>1108</v>
      </c>
      <c r="C524" s="2">
        <v>43488</v>
      </c>
      <c r="D524" s="1" t="s">
        <v>128</v>
      </c>
      <c r="E524" s="1" t="s">
        <v>1109</v>
      </c>
      <c r="F524" s="1" t="s">
        <v>560</v>
      </c>
      <c r="G524" s="1" t="s">
        <v>160</v>
      </c>
      <c r="H524" s="1" t="s">
        <v>74</v>
      </c>
      <c r="I524" s="1" t="s">
        <v>22</v>
      </c>
      <c r="J524" s="1" t="s">
        <v>40</v>
      </c>
      <c r="K524" s="1" t="s">
        <v>1060</v>
      </c>
      <c r="L524" s="17">
        <v>210.98</v>
      </c>
      <c r="M524" s="1">
        <v>2</v>
      </c>
      <c r="N524" s="1">
        <v>0</v>
      </c>
      <c r="O524" s="17">
        <v>21.097999999999985</v>
      </c>
      <c r="P524" s="17">
        <f>('Work File (2)'!$L524*'Work File (2)'!$M524)*(1-'Work File (2)'!$N524)</f>
        <v>421.96</v>
      </c>
      <c r="Q524" s="1">
        <f>YEAR(Table2[[#This Row],[Order Date]])</f>
        <v>2019</v>
      </c>
      <c r="R524" s="18" t="str">
        <f>TEXT(Table2[[#This Row],[Order Date]],"mmm")</f>
        <v>Jan</v>
      </c>
      <c r="S524" s="18"/>
    </row>
    <row r="525" spans="1:19" x14ac:dyDescent="0.2">
      <c r="A525" s="1">
        <v>524</v>
      </c>
      <c r="B525" s="1" t="s">
        <v>1110</v>
      </c>
      <c r="C525" s="2">
        <v>43241</v>
      </c>
      <c r="D525" s="1" t="s">
        <v>128</v>
      </c>
      <c r="E525" s="1" t="s">
        <v>596</v>
      </c>
      <c r="F525" s="1" t="s">
        <v>29</v>
      </c>
      <c r="G525" s="1" t="s">
        <v>30</v>
      </c>
      <c r="H525" s="1" t="s">
        <v>31</v>
      </c>
      <c r="I525" s="1" t="s">
        <v>50</v>
      </c>
      <c r="J525" s="1" t="s">
        <v>51</v>
      </c>
      <c r="K525" s="1" t="s">
        <v>1111</v>
      </c>
      <c r="L525" s="17">
        <v>55.176000000000002</v>
      </c>
      <c r="M525" s="1">
        <v>3</v>
      </c>
      <c r="N525" s="1">
        <v>0.2</v>
      </c>
      <c r="O525" s="17">
        <v>-12.414599999999997</v>
      </c>
      <c r="P525" s="17">
        <f>('Work File (2)'!$L525*'Work File (2)'!$M525)*(1-'Work File (2)'!$N525)</f>
        <v>132.42240000000001</v>
      </c>
      <c r="Q525" s="1">
        <f>YEAR(Table2[[#This Row],[Order Date]])</f>
        <v>2018</v>
      </c>
      <c r="R525" s="18" t="str">
        <f>TEXT(Table2[[#This Row],[Order Date]],"mmm")</f>
        <v>May</v>
      </c>
      <c r="S525" s="18"/>
    </row>
    <row r="526" spans="1:19" x14ac:dyDescent="0.2">
      <c r="A526" s="1">
        <v>525</v>
      </c>
      <c r="B526" s="1" t="s">
        <v>1110</v>
      </c>
      <c r="C526" s="2">
        <v>43241</v>
      </c>
      <c r="D526" s="1" t="s">
        <v>128</v>
      </c>
      <c r="E526" s="1" t="s">
        <v>596</v>
      </c>
      <c r="F526" s="1" t="s">
        <v>29</v>
      </c>
      <c r="G526" s="1" t="s">
        <v>30</v>
      </c>
      <c r="H526" s="1" t="s">
        <v>31</v>
      </c>
      <c r="I526" s="1" t="s">
        <v>50</v>
      </c>
      <c r="J526" s="1" t="s">
        <v>111</v>
      </c>
      <c r="K526" s="1" t="s">
        <v>1112</v>
      </c>
      <c r="L526" s="17">
        <v>66.260000000000005</v>
      </c>
      <c r="M526" s="1">
        <v>2</v>
      </c>
      <c r="N526" s="1">
        <v>0</v>
      </c>
      <c r="O526" s="17">
        <v>27.166600000000003</v>
      </c>
      <c r="P526" s="17">
        <f>('Work File (2)'!$L526*'Work File (2)'!$M526)*(1-'Work File (2)'!$N526)</f>
        <v>132.52000000000001</v>
      </c>
      <c r="Q526" s="1">
        <f>YEAR(Table2[[#This Row],[Order Date]])</f>
        <v>2018</v>
      </c>
      <c r="R526" s="18" t="str">
        <f>TEXT(Table2[[#This Row],[Order Date]],"mmm")</f>
        <v>May</v>
      </c>
      <c r="S526" s="18"/>
    </row>
    <row r="527" spans="1:19" x14ac:dyDescent="0.2">
      <c r="A527" s="1">
        <v>526</v>
      </c>
      <c r="B527" s="1" t="s">
        <v>1113</v>
      </c>
      <c r="C527" s="2">
        <v>43095</v>
      </c>
      <c r="D527" s="1" t="s">
        <v>36</v>
      </c>
      <c r="E527" s="1" t="s">
        <v>1114</v>
      </c>
      <c r="F527" s="1" t="s">
        <v>926</v>
      </c>
      <c r="G527" s="1" t="s">
        <v>781</v>
      </c>
      <c r="H527" s="1" t="s">
        <v>103</v>
      </c>
      <c r="I527" s="1" t="s">
        <v>32</v>
      </c>
      <c r="J527" s="1" t="s">
        <v>180</v>
      </c>
      <c r="K527" s="1" t="s">
        <v>363</v>
      </c>
      <c r="L527" s="17">
        <v>22.200000000000003</v>
      </c>
      <c r="M527" s="1">
        <v>5</v>
      </c>
      <c r="N527" s="1">
        <v>0</v>
      </c>
      <c r="O527" s="17">
        <v>10.434000000000001</v>
      </c>
      <c r="P527" s="17">
        <f>('Work File (2)'!$L527*'Work File (2)'!$M527)*(1-'Work File (2)'!$N527)</f>
        <v>111.00000000000001</v>
      </c>
      <c r="Q527" s="1">
        <f>YEAR(Table2[[#This Row],[Order Date]])</f>
        <v>2017</v>
      </c>
      <c r="R527" s="18" t="str">
        <f>TEXT(Table2[[#This Row],[Order Date]],"mmm")</f>
        <v>Dec</v>
      </c>
      <c r="S527" s="18"/>
    </row>
    <row r="528" spans="1:19" x14ac:dyDescent="0.2">
      <c r="A528" s="1">
        <v>527</v>
      </c>
      <c r="B528" s="1" t="s">
        <v>1115</v>
      </c>
      <c r="C528" s="2">
        <v>43759</v>
      </c>
      <c r="D528" s="1" t="s">
        <v>36</v>
      </c>
      <c r="E528" s="1" t="s">
        <v>1116</v>
      </c>
      <c r="F528" s="1" t="s">
        <v>1117</v>
      </c>
      <c r="G528" s="1" t="s">
        <v>39</v>
      </c>
      <c r="H528" s="1" t="s">
        <v>21</v>
      </c>
      <c r="I528" s="1" t="s">
        <v>22</v>
      </c>
      <c r="J528" s="1" t="s">
        <v>25</v>
      </c>
      <c r="K528" s="1" t="s">
        <v>1118</v>
      </c>
      <c r="L528" s="17">
        <v>683.95200000000011</v>
      </c>
      <c r="M528" s="1">
        <v>3</v>
      </c>
      <c r="N528" s="1">
        <v>0.2</v>
      </c>
      <c r="O528" s="17">
        <v>42.746999999999986</v>
      </c>
      <c r="P528" s="17">
        <f>('Work File (2)'!$L528*'Work File (2)'!$M528)*(1-'Work File (2)'!$N528)</f>
        <v>1641.4848000000002</v>
      </c>
      <c r="Q528" s="1">
        <f>YEAR(Table2[[#This Row],[Order Date]])</f>
        <v>2019</v>
      </c>
      <c r="R528" s="18" t="str">
        <f>TEXT(Table2[[#This Row],[Order Date]],"mmm")</f>
        <v>Oct</v>
      </c>
      <c r="S528" s="18"/>
    </row>
    <row r="529" spans="1:19" x14ac:dyDescent="0.2">
      <c r="A529" s="1">
        <v>528</v>
      </c>
      <c r="B529" s="1" t="s">
        <v>1115</v>
      </c>
      <c r="C529" s="2">
        <v>43759</v>
      </c>
      <c r="D529" s="1" t="s">
        <v>36</v>
      </c>
      <c r="E529" s="1" t="s">
        <v>1116</v>
      </c>
      <c r="F529" s="1" t="s">
        <v>1117</v>
      </c>
      <c r="G529" s="1" t="s">
        <v>39</v>
      </c>
      <c r="H529" s="1" t="s">
        <v>21</v>
      </c>
      <c r="I529" s="1" t="s">
        <v>22</v>
      </c>
      <c r="J529" s="1" t="s">
        <v>46</v>
      </c>
      <c r="K529" s="1" t="s">
        <v>715</v>
      </c>
      <c r="L529" s="17">
        <v>45.695999999999998</v>
      </c>
      <c r="M529" s="1">
        <v>3</v>
      </c>
      <c r="N529" s="1">
        <v>0.2</v>
      </c>
      <c r="O529" s="17">
        <v>5.1407999999999916</v>
      </c>
      <c r="P529" s="17">
        <f>('Work File (2)'!$L529*'Work File (2)'!$M529)*(1-'Work File (2)'!$N529)</f>
        <v>109.6704</v>
      </c>
      <c r="Q529" s="1">
        <f>YEAR(Table2[[#This Row],[Order Date]])</f>
        <v>2019</v>
      </c>
      <c r="R529" s="18" t="str">
        <f>TEXT(Table2[[#This Row],[Order Date]],"mmm")</f>
        <v>Oct</v>
      </c>
      <c r="S529" s="18"/>
    </row>
    <row r="530" spans="1:19" x14ac:dyDescent="0.2">
      <c r="A530" s="1">
        <v>529</v>
      </c>
      <c r="B530" s="1" t="s">
        <v>1119</v>
      </c>
      <c r="C530" s="2">
        <v>42981</v>
      </c>
      <c r="D530" s="1" t="s">
        <v>36</v>
      </c>
      <c r="E530" s="1" t="s">
        <v>1120</v>
      </c>
      <c r="F530" s="1" t="s">
        <v>101</v>
      </c>
      <c r="G530" s="1" t="s">
        <v>102</v>
      </c>
      <c r="H530" s="1" t="s">
        <v>103</v>
      </c>
      <c r="I530" s="1" t="s">
        <v>32</v>
      </c>
      <c r="J530" s="1" t="s">
        <v>42</v>
      </c>
      <c r="K530" s="1" t="s">
        <v>1121</v>
      </c>
      <c r="L530" s="17">
        <v>36.336000000000006</v>
      </c>
      <c r="M530" s="1">
        <v>3</v>
      </c>
      <c r="N530" s="1">
        <v>0.2</v>
      </c>
      <c r="O530" s="17">
        <v>-7.2672000000000043</v>
      </c>
      <c r="P530" s="17">
        <f>('Work File (2)'!$L530*'Work File (2)'!$M530)*(1-'Work File (2)'!$N530)</f>
        <v>87.206400000000016</v>
      </c>
      <c r="Q530" s="1">
        <f>YEAR(Table2[[#This Row],[Order Date]])</f>
        <v>2017</v>
      </c>
      <c r="R530" s="18" t="str">
        <f>TEXT(Table2[[#This Row],[Order Date]],"mmm")</f>
        <v>Sep</v>
      </c>
      <c r="S530" s="18"/>
    </row>
    <row r="531" spans="1:19" x14ac:dyDescent="0.2">
      <c r="A531" s="1">
        <v>530</v>
      </c>
      <c r="B531" s="1" t="s">
        <v>1119</v>
      </c>
      <c r="C531" s="2">
        <v>42981</v>
      </c>
      <c r="D531" s="1" t="s">
        <v>36</v>
      </c>
      <c r="E531" s="1" t="s">
        <v>1120</v>
      </c>
      <c r="F531" s="1" t="s">
        <v>101</v>
      </c>
      <c r="G531" s="1" t="s">
        <v>102</v>
      </c>
      <c r="H531" s="1" t="s">
        <v>103</v>
      </c>
      <c r="I531" s="1" t="s">
        <v>32</v>
      </c>
      <c r="J531" s="1" t="s">
        <v>372</v>
      </c>
      <c r="K531" s="1" t="s">
        <v>1122</v>
      </c>
      <c r="L531" s="17">
        <v>666.24800000000005</v>
      </c>
      <c r="M531" s="1">
        <v>1</v>
      </c>
      <c r="N531" s="1">
        <v>0.2</v>
      </c>
      <c r="O531" s="17">
        <v>-149.9058</v>
      </c>
      <c r="P531" s="17">
        <f>('Work File (2)'!$L531*'Work File (2)'!$M531)*(1-'Work File (2)'!$N531)</f>
        <v>532.99840000000006</v>
      </c>
      <c r="Q531" s="1">
        <f>YEAR(Table2[[#This Row],[Order Date]])</f>
        <v>2017</v>
      </c>
      <c r="R531" s="18" t="str">
        <f>TEXT(Table2[[#This Row],[Order Date]],"mmm")</f>
        <v>Sep</v>
      </c>
      <c r="S531" s="18"/>
    </row>
    <row r="532" spans="1:19" x14ac:dyDescent="0.2">
      <c r="A532" s="1">
        <v>531</v>
      </c>
      <c r="B532" s="1" t="s">
        <v>1119</v>
      </c>
      <c r="C532" s="2">
        <v>42981</v>
      </c>
      <c r="D532" s="1" t="s">
        <v>36</v>
      </c>
      <c r="E532" s="1" t="s">
        <v>1120</v>
      </c>
      <c r="F532" s="1" t="s">
        <v>101</v>
      </c>
      <c r="G532" s="1" t="s">
        <v>102</v>
      </c>
      <c r="H532" s="1" t="s">
        <v>103</v>
      </c>
      <c r="I532" s="1" t="s">
        <v>32</v>
      </c>
      <c r="J532" s="1" t="s">
        <v>118</v>
      </c>
      <c r="K532" s="1" t="s">
        <v>1123</v>
      </c>
      <c r="L532" s="17">
        <v>52.512</v>
      </c>
      <c r="M532" s="1">
        <v>6</v>
      </c>
      <c r="N532" s="1">
        <v>0.2</v>
      </c>
      <c r="O532" s="17">
        <v>19.692</v>
      </c>
      <c r="P532" s="17">
        <f>('Work File (2)'!$L532*'Work File (2)'!$M532)*(1-'Work File (2)'!$N532)</f>
        <v>252.05760000000001</v>
      </c>
      <c r="Q532" s="1">
        <f>YEAR(Table2[[#This Row],[Order Date]])</f>
        <v>2017</v>
      </c>
      <c r="R532" s="18" t="str">
        <f>TEXT(Table2[[#This Row],[Order Date]],"mmm")</f>
        <v>Sep</v>
      </c>
      <c r="S532" s="18"/>
    </row>
    <row r="533" spans="1:19" x14ac:dyDescent="0.2">
      <c r="A533" s="1">
        <v>532</v>
      </c>
      <c r="B533" s="1" t="s">
        <v>1124</v>
      </c>
      <c r="C533" s="2">
        <v>43046</v>
      </c>
      <c r="D533" s="1" t="s">
        <v>17</v>
      </c>
      <c r="E533" s="1" t="s">
        <v>1125</v>
      </c>
      <c r="F533" s="1" t="s">
        <v>29</v>
      </c>
      <c r="G533" s="1" t="s">
        <v>30</v>
      </c>
      <c r="H533" s="1" t="s">
        <v>31</v>
      </c>
      <c r="I533" s="1" t="s">
        <v>22</v>
      </c>
      <c r="J533" s="1" t="s">
        <v>25</v>
      </c>
      <c r="K533" s="1" t="s">
        <v>1126</v>
      </c>
      <c r="L533" s="17">
        <v>190.72000000000003</v>
      </c>
      <c r="M533" s="1">
        <v>1</v>
      </c>
      <c r="N533" s="1">
        <v>0.2</v>
      </c>
      <c r="O533" s="17">
        <v>11.919999999999987</v>
      </c>
      <c r="P533" s="17">
        <f>('Work File (2)'!$L533*'Work File (2)'!$M533)*(1-'Work File (2)'!$N533)</f>
        <v>152.57600000000002</v>
      </c>
      <c r="Q533" s="1">
        <f>YEAR(Table2[[#This Row],[Order Date]])</f>
        <v>2017</v>
      </c>
      <c r="R533" s="18" t="str">
        <f>TEXT(Table2[[#This Row],[Order Date]],"mmm")</f>
        <v>Nov</v>
      </c>
      <c r="S533" s="18"/>
    </row>
    <row r="534" spans="1:19" x14ac:dyDescent="0.2">
      <c r="A534" s="1">
        <v>533</v>
      </c>
      <c r="B534" s="1" t="s">
        <v>1127</v>
      </c>
      <c r="C534" s="2">
        <v>43715</v>
      </c>
      <c r="D534" s="1" t="s">
        <v>36</v>
      </c>
      <c r="E534" s="1" t="s">
        <v>1128</v>
      </c>
      <c r="F534" s="1" t="s">
        <v>29</v>
      </c>
      <c r="G534" s="1" t="s">
        <v>30</v>
      </c>
      <c r="H534" s="1" t="s">
        <v>31</v>
      </c>
      <c r="I534" s="1" t="s">
        <v>22</v>
      </c>
      <c r="J534" s="1" t="s">
        <v>46</v>
      </c>
      <c r="K534" s="1" t="s">
        <v>1129</v>
      </c>
      <c r="L534" s="17">
        <v>47.94</v>
      </c>
      <c r="M534" s="1">
        <v>3</v>
      </c>
      <c r="N534" s="1">
        <v>0</v>
      </c>
      <c r="O534" s="17">
        <v>2.3969999999999985</v>
      </c>
      <c r="P534" s="17">
        <f>('Work File (2)'!$L534*'Work File (2)'!$M534)*(1-'Work File (2)'!$N534)</f>
        <v>143.82</v>
      </c>
      <c r="Q534" s="1">
        <f>YEAR(Table2[[#This Row],[Order Date]])</f>
        <v>2019</v>
      </c>
      <c r="R534" s="18" t="str">
        <f>TEXT(Table2[[#This Row],[Order Date]],"mmm")</f>
        <v>Sep</v>
      </c>
      <c r="S534" s="18"/>
    </row>
    <row r="535" spans="1:19" x14ac:dyDescent="0.2">
      <c r="A535" s="1">
        <v>534</v>
      </c>
      <c r="B535" s="1" t="s">
        <v>1130</v>
      </c>
      <c r="C535" s="2">
        <v>43249</v>
      </c>
      <c r="D535" s="1" t="s">
        <v>17</v>
      </c>
      <c r="E535" s="1" t="s">
        <v>1131</v>
      </c>
      <c r="F535" s="1" t="s">
        <v>1132</v>
      </c>
      <c r="G535" s="1" t="s">
        <v>236</v>
      </c>
      <c r="H535" s="1" t="s">
        <v>21</v>
      </c>
      <c r="I535" s="1" t="s">
        <v>50</v>
      </c>
      <c r="J535" s="1" t="s">
        <v>51</v>
      </c>
      <c r="K535" s="1" t="s">
        <v>1133</v>
      </c>
      <c r="L535" s="17">
        <v>979.95</v>
      </c>
      <c r="M535" s="1">
        <v>5</v>
      </c>
      <c r="N535" s="1">
        <v>0</v>
      </c>
      <c r="O535" s="17">
        <v>274.38600000000008</v>
      </c>
      <c r="P535" s="17">
        <f>('Work File (2)'!$L535*'Work File (2)'!$M535)*(1-'Work File (2)'!$N535)</f>
        <v>4899.75</v>
      </c>
      <c r="Q535" s="1">
        <f>YEAR(Table2[[#This Row],[Order Date]])</f>
        <v>2018</v>
      </c>
      <c r="R535" s="18" t="str">
        <f>TEXT(Table2[[#This Row],[Order Date]],"mmm")</f>
        <v>May</v>
      </c>
      <c r="S535" s="18"/>
    </row>
    <row r="536" spans="1:19" x14ac:dyDescent="0.2">
      <c r="A536" s="1">
        <v>535</v>
      </c>
      <c r="B536" s="1" t="s">
        <v>1130</v>
      </c>
      <c r="C536" s="2">
        <v>43249</v>
      </c>
      <c r="D536" s="1" t="s">
        <v>17</v>
      </c>
      <c r="E536" s="1" t="s">
        <v>1131</v>
      </c>
      <c r="F536" s="1" t="s">
        <v>1132</v>
      </c>
      <c r="G536" s="1" t="s">
        <v>236</v>
      </c>
      <c r="H536" s="1" t="s">
        <v>21</v>
      </c>
      <c r="I536" s="1" t="s">
        <v>32</v>
      </c>
      <c r="J536" s="1" t="s">
        <v>53</v>
      </c>
      <c r="K536" s="1" t="s">
        <v>646</v>
      </c>
      <c r="L536" s="17">
        <v>22.75</v>
      </c>
      <c r="M536" s="1">
        <v>5</v>
      </c>
      <c r="N536" s="1">
        <v>0</v>
      </c>
      <c r="O536" s="17">
        <v>11.375</v>
      </c>
      <c r="P536" s="17">
        <f>('Work File (2)'!$L536*'Work File (2)'!$M536)*(1-'Work File (2)'!$N536)</f>
        <v>113.75</v>
      </c>
      <c r="Q536" s="1">
        <f>YEAR(Table2[[#This Row],[Order Date]])</f>
        <v>2018</v>
      </c>
      <c r="R536" s="18" t="str">
        <f>TEXT(Table2[[#This Row],[Order Date]],"mmm")</f>
        <v>May</v>
      </c>
      <c r="S536" s="18"/>
    </row>
    <row r="537" spans="1:19" x14ac:dyDescent="0.2">
      <c r="A537" s="1">
        <v>536</v>
      </c>
      <c r="B537" s="1" t="s">
        <v>1134</v>
      </c>
      <c r="C537" s="2">
        <v>43291</v>
      </c>
      <c r="D537" s="1" t="s">
        <v>36</v>
      </c>
      <c r="E537" s="1" t="s">
        <v>1135</v>
      </c>
      <c r="F537" s="1" t="s">
        <v>1136</v>
      </c>
      <c r="G537" s="1" t="s">
        <v>205</v>
      </c>
      <c r="H537" s="1" t="s">
        <v>31</v>
      </c>
      <c r="I537" s="1" t="s">
        <v>32</v>
      </c>
      <c r="J537" s="1" t="s">
        <v>42</v>
      </c>
      <c r="K537" s="1" t="s">
        <v>1137</v>
      </c>
      <c r="L537" s="17">
        <v>16.768000000000001</v>
      </c>
      <c r="M537" s="1">
        <v>2</v>
      </c>
      <c r="N537" s="1">
        <v>0.2</v>
      </c>
      <c r="O537" s="17">
        <v>1.4672000000000001</v>
      </c>
      <c r="P537" s="17">
        <f>('Work File (2)'!$L537*'Work File (2)'!$M537)*(1-'Work File (2)'!$N537)</f>
        <v>26.828800000000001</v>
      </c>
      <c r="Q537" s="1">
        <f>YEAR(Table2[[#This Row],[Order Date]])</f>
        <v>2018</v>
      </c>
      <c r="R537" s="18" t="str">
        <f>TEXT(Table2[[#This Row],[Order Date]],"mmm")</f>
        <v>Jul</v>
      </c>
      <c r="S537" s="18"/>
    </row>
    <row r="538" spans="1:19" x14ac:dyDescent="0.2">
      <c r="A538" s="1">
        <v>537</v>
      </c>
      <c r="B538" s="1" t="s">
        <v>1138</v>
      </c>
      <c r="C538" s="2">
        <v>43711</v>
      </c>
      <c r="D538" s="1" t="s">
        <v>17</v>
      </c>
      <c r="E538" s="1" t="s">
        <v>1139</v>
      </c>
      <c r="F538" s="1" t="s">
        <v>200</v>
      </c>
      <c r="G538" s="1" t="s">
        <v>142</v>
      </c>
      <c r="H538" s="1" t="s">
        <v>74</v>
      </c>
      <c r="I538" s="1" t="s">
        <v>32</v>
      </c>
      <c r="J538" s="1" t="s">
        <v>53</v>
      </c>
      <c r="K538" s="1" t="s">
        <v>1140</v>
      </c>
      <c r="L538" s="17">
        <v>42.615999999999993</v>
      </c>
      <c r="M538" s="1">
        <v>7</v>
      </c>
      <c r="N538" s="1">
        <v>0.8</v>
      </c>
      <c r="O538" s="17">
        <v>-68.185600000000022</v>
      </c>
      <c r="P538" s="17">
        <f>('Work File (2)'!$L538*'Work File (2)'!$M538)*(1-'Work File (2)'!$N538)</f>
        <v>59.662399999999977</v>
      </c>
      <c r="Q538" s="1">
        <f>YEAR(Table2[[#This Row],[Order Date]])</f>
        <v>2019</v>
      </c>
      <c r="R538" s="18" t="str">
        <f>TEXT(Table2[[#This Row],[Order Date]],"mmm")</f>
        <v>Sep</v>
      </c>
      <c r="S538" s="18"/>
    </row>
    <row r="539" spans="1:19" x14ac:dyDescent="0.2">
      <c r="A539" s="1">
        <v>538</v>
      </c>
      <c r="B539" s="1" t="s">
        <v>1141</v>
      </c>
      <c r="C539" s="2">
        <v>43072</v>
      </c>
      <c r="D539" s="1" t="s">
        <v>36</v>
      </c>
      <c r="E539" s="1" t="s">
        <v>488</v>
      </c>
      <c r="F539" s="1" t="s">
        <v>178</v>
      </c>
      <c r="G539" s="1" t="s">
        <v>179</v>
      </c>
      <c r="H539" s="1" t="s">
        <v>103</v>
      </c>
      <c r="I539" s="1" t="s">
        <v>32</v>
      </c>
      <c r="J539" s="1" t="s">
        <v>53</v>
      </c>
      <c r="K539" s="1" t="s">
        <v>1142</v>
      </c>
      <c r="L539" s="17">
        <v>10.752000000000001</v>
      </c>
      <c r="M539" s="1">
        <v>4</v>
      </c>
      <c r="N539" s="1">
        <v>0.2</v>
      </c>
      <c r="O539" s="17">
        <v>3.359999999999999</v>
      </c>
      <c r="P539" s="17">
        <f>('Work File (2)'!$L539*'Work File (2)'!$M539)*(1-'Work File (2)'!$N539)</f>
        <v>34.406400000000005</v>
      </c>
      <c r="Q539" s="1">
        <f>YEAR(Table2[[#This Row],[Order Date]])</f>
        <v>2017</v>
      </c>
      <c r="R539" s="18" t="str">
        <f>TEXT(Table2[[#This Row],[Order Date]],"mmm")</f>
        <v>Dec</v>
      </c>
      <c r="S539" s="18"/>
    </row>
    <row r="540" spans="1:19" x14ac:dyDescent="0.2">
      <c r="A540" s="1">
        <v>539</v>
      </c>
      <c r="B540" s="1" t="s">
        <v>1143</v>
      </c>
      <c r="C540" s="2">
        <v>43076</v>
      </c>
      <c r="D540" s="1" t="s">
        <v>36</v>
      </c>
      <c r="E540" s="1" t="s">
        <v>1144</v>
      </c>
      <c r="F540" s="1" t="s">
        <v>19</v>
      </c>
      <c r="G540" s="1" t="s">
        <v>20</v>
      </c>
      <c r="H540" s="1" t="s">
        <v>21</v>
      </c>
      <c r="I540" s="1" t="s">
        <v>32</v>
      </c>
      <c r="J540" s="1" t="s">
        <v>55</v>
      </c>
      <c r="K540" s="1" t="s">
        <v>1145</v>
      </c>
      <c r="L540" s="17">
        <v>152.94</v>
      </c>
      <c r="M540" s="1">
        <v>3</v>
      </c>
      <c r="N540" s="1">
        <v>0</v>
      </c>
      <c r="O540" s="17">
        <v>41.293800000000005</v>
      </c>
      <c r="P540" s="17">
        <f>('Work File (2)'!$L540*'Work File (2)'!$M540)*(1-'Work File (2)'!$N540)</f>
        <v>458.82</v>
      </c>
      <c r="Q540" s="1">
        <f>YEAR(Table2[[#This Row],[Order Date]])</f>
        <v>2017</v>
      </c>
      <c r="R540" s="18" t="str">
        <f>TEXT(Table2[[#This Row],[Order Date]],"mmm")</f>
        <v>Dec</v>
      </c>
      <c r="S540" s="18"/>
    </row>
    <row r="541" spans="1:19" x14ac:dyDescent="0.2">
      <c r="A541" s="1">
        <v>540</v>
      </c>
      <c r="B541" s="1" t="s">
        <v>1143</v>
      </c>
      <c r="C541" s="2">
        <v>43076</v>
      </c>
      <c r="D541" s="1" t="s">
        <v>36</v>
      </c>
      <c r="E541" s="1" t="s">
        <v>1144</v>
      </c>
      <c r="F541" s="1" t="s">
        <v>19</v>
      </c>
      <c r="G541" s="1" t="s">
        <v>20</v>
      </c>
      <c r="H541" s="1" t="s">
        <v>21</v>
      </c>
      <c r="I541" s="1" t="s">
        <v>22</v>
      </c>
      <c r="J541" s="1" t="s">
        <v>25</v>
      </c>
      <c r="K541" s="1" t="s">
        <v>1146</v>
      </c>
      <c r="L541" s="17">
        <v>283.92</v>
      </c>
      <c r="M541" s="1">
        <v>4</v>
      </c>
      <c r="N541" s="1">
        <v>0</v>
      </c>
      <c r="O541" s="17">
        <v>70.980000000000018</v>
      </c>
      <c r="P541" s="17">
        <f>('Work File (2)'!$L541*'Work File (2)'!$M541)*(1-'Work File (2)'!$N541)</f>
        <v>1135.68</v>
      </c>
      <c r="Q541" s="1">
        <f>YEAR(Table2[[#This Row],[Order Date]])</f>
        <v>2017</v>
      </c>
      <c r="R541" s="18" t="str">
        <f>TEXT(Table2[[#This Row],[Order Date]],"mmm")</f>
        <v>Dec</v>
      </c>
      <c r="S541" s="18"/>
    </row>
    <row r="542" spans="1:19" x14ac:dyDescent="0.2">
      <c r="A542" s="1">
        <v>541</v>
      </c>
      <c r="B542" s="1" t="s">
        <v>1147</v>
      </c>
      <c r="C542" s="2">
        <v>42401</v>
      </c>
      <c r="D542" s="1" t="s">
        <v>128</v>
      </c>
      <c r="E542" s="1" t="s">
        <v>1148</v>
      </c>
      <c r="F542" s="1" t="s">
        <v>1149</v>
      </c>
      <c r="G542" s="1" t="s">
        <v>80</v>
      </c>
      <c r="H542" s="1" t="s">
        <v>74</v>
      </c>
      <c r="I542" s="1" t="s">
        <v>50</v>
      </c>
      <c r="J542" s="1" t="s">
        <v>111</v>
      </c>
      <c r="K542" s="1" t="s">
        <v>1150</v>
      </c>
      <c r="L542" s="17">
        <v>468.90000000000003</v>
      </c>
      <c r="M542" s="1">
        <v>6</v>
      </c>
      <c r="N542" s="1">
        <v>0</v>
      </c>
      <c r="O542" s="17">
        <v>206.31600000000006</v>
      </c>
      <c r="P542" s="17">
        <f>('Work File (2)'!$L542*'Work File (2)'!$M542)*(1-'Work File (2)'!$N542)</f>
        <v>2813.4</v>
      </c>
      <c r="Q542" s="1">
        <f>YEAR(Table2[[#This Row],[Order Date]])</f>
        <v>2016</v>
      </c>
      <c r="R542" s="18" t="str">
        <f>TEXT(Table2[[#This Row],[Order Date]],"mmm")</f>
        <v>Feb</v>
      </c>
      <c r="S542" s="18"/>
    </row>
    <row r="543" spans="1:19" x14ac:dyDescent="0.2">
      <c r="A543" s="1">
        <v>542</v>
      </c>
      <c r="B543" s="1" t="s">
        <v>1151</v>
      </c>
      <c r="C543" s="2">
        <v>43295</v>
      </c>
      <c r="D543" s="1" t="s">
        <v>128</v>
      </c>
      <c r="E543" s="1" t="s">
        <v>148</v>
      </c>
      <c r="F543" s="1" t="s">
        <v>821</v>
      </c>
      <c r="G543" s="1" t="s">
        <v>205</v>
      </c>
      <c r="H543" s="1" t="s">
        <v>31</v>
      </c>
      <c r="I543" s="1" t="s">
        <v>50</v>
      </c>
      <c r="J543" s="1" t="s">
        <v>51</v>
      </c>
      <c r="K543" s="1" t="s">
        <v>1152</v>
      </c>
      <c r="L543" s="17">
        <v>380.86400000000003</v>
      </c>
      <c r="M543" s="1">
        <v>8</v>
      </c>
      <c r="N543" s="1">
        <v>0.2</v>
      </c>
      <c r="O543" s="17">
        <v>38.086400000000026</v>
      </c>
      <c r="P543" s="17">
        <f>('Work File (2)'!$L543*'Work File (2)'!$M543)*(1-'Work File (2)'!$N543)</f>
        <v>2437.5296000000003</v>
      </c>
      <c r="Q543" s="1">
        <f>YEAR(Table2[[#This Row],[Order Date]])</f>
        <v>2018</v>
      </c>
      <c r="R543" s="18" t="str">
        <f>TEXT(Table2[[#This Row],[Order Date]],"mmm")</f>
        <v>Jul</v>
      </c>
      <c r="S543" s="18"/>
    </row>
    <row r="544" spans="1:19" x14ac:dyDescent="0.2">
      <c r="A544" s="1">
        <v>543</v>
      </c>
      <c r="B544" s="1" t="s">
        <v>1153</v>
      </c>
      <c r="C544" s="2">
        <v>43087</v>
      </c>
      <c r="D544" s="1" t="s">
        <v>36</v>
      </c>
      <c r="E544" s="1" t="s">
        <v>1154</v>
      </c>
      <c r="F544" s="1" t="s">
        <v>210</v>
      </c>
      <c r="G544" s="1" t="s">
        <v>324</v>
      </c>
      <c r="H544" s="1" t="s">
        <v>103</v>
      </c>
      <c r="I544" s="1" t="s">
        <v>32</v>
      </c>
      <c r="J544" s="1" t="s">
        <v>42</v>
      </c>
      <c r="K544" s="1" t="s">
        <v>1053</v>
      </c>
      <c r="L544" s="17">
        <v>646.77600000000007</v>
      </c>
      <c r="M544" s="1">
        <v>9</v>
      </c>
      <c r="N544" s="1">
        <v>0.2</v>
      </c>
      <c r="O544" s="17">
        <v>-145.52460000000002</v>
      </c>
      <c r="P544" s="17">
        <f>('Work File (2)'!$L544*'Work File (2)'!$M544)*(1-'Work File (2)'!$N544)</f>
        <v>4656.7872000000007</v>
      </c>
      <c r="Q544" s="1">
        <f>YEAR(Table2[[#This Row],[Order Date]])</f>
        <v>2017</v>
      </c>
      <c r="R544" s="18" t="str">
        <f>TEXT(Table2[[#This Row],[Order Date]],"mmm")</f>
        <v>Dec</v>
      </c>
      <c r="S544" s="18"/>
    </row>
    <row r="545" spans="1:19" x14ac:dyDescent="0.2">
      <c r="A545" s="1">
        <v>544</v>
      </c>
      <c r="B545" s="1" t="s">
        <v>1155</v>
      </c>
      <c r="C545" s="2">
        <v>42501</v>
      </c>
      <c r="D545" s="1" t="s">
        <v>36</v>
      </c>
      <c r="E545" s="1" t="s">
        <v>255</v>
      </c>
      <c r="F545" s="1" t="s">
        <v>72</v>
      </c>
      <c r="G545" s="1" t="s">
        <v>73</v>
      </c>
      <c r="H545" s="1" t="s">
        <v>74</v>
      </c>
      <c r="I545" s="1" t="s">
        <v>50</v>
      </c>
      <c r="J545" s="1" t="s">
        <v>111</v>
      </c>
      <c r="K545" s="1" t="s">
        <v>1156</v>
      </c>
      <c r="L545" s="17">
        <v>58.112000000000002</v>
      </c>
      <c r="M545" s="1">
        <v>2</v>
      </c>
      <c r="N545" s="1">
        <v>0.2</v>
      </c>
      <c r="O545" s="17">
        <v>7.263999999999994</v>
      </c>
      <c r="P545" s="17">
        <f>('Work File (2)'!$L545*'Work File (2)'!$M545)*(1-'Work File (2)'!$N545)</f>
        <v>92.979200000000006</v>
      </c>
      <c r="Q545" s="1">
        <f>YEAR(Table2[[#This Row],[Order Date]])</f>
        <v>2016</v>
      </c>
      <c r="R545" s="18" t="str">
        <f>TEXT(Table2[[#This Row],[Order Date]],"mmm")</f>
        <v>May</v>
      </c>
      <c r="S545" s="18"/>
    </row>
    <row r="546" spans="1:19" x14ac:dyDescent="0.2">
      <c r="A546" s="1">
        <v>545</v>
      </c>
      <c r="B546" s="1" t="s">
        <v>1155</v>
      </c>
      <c r="C546" s="2">
        <v>42501</v>
      </c>
      <c r="D546" s="1" t="s">
        <v>36</v>
      </c>
      <c r="E546" s="1" t="s">
        <v>255</v>
      </c>
      <c r="F546" s="1" t="s">
        <v>72</v>
      </c>
      <c r="G546" s="1" t="s">
        <v>73</v>
      </c>
      <c r="H546" s="1" t="s">
        <v>74</v>
      </c>
      <c r="I546" s="1" t="s">
        <v>50</v>
      </c>
      <c r="J546" s="1" t="s">
        <v>51</v>
      </c>
      <c r="K546" s="1" t="s">
        <v>1157</v>
      </c>
      <c r="L546" s="17">
        <v>100.792</v>
      </c>
      <c r="M546" s="1">
        <v>1</v>
      </c>
      <c r="N546" s="1">
        <v>0.2</v>
      </c>
      <c r="O546" s="17">
        <v>6.2995000000000019</v>
      </c>
      <c r="P546" s="17">
        <f>('Work File (2)'!$L546*'Work File (2)'!$M546)*(1-'Work File (2)'!$N546)</f>
        <v>80.633600000000001</v>
      </c>
      <c r="Q546" s="1">
        <f>YEAR(Table2[[#This Row],[Order Date]])</f>
        <v>2016</v>
      </c>
      <c r="R546" s="18" t="str">
        <f>TEXT(Table2[[#This Row],[Order Date]],"mmm")</f>
        <v>May</v>
      </c>
      <c r="S546" s="18"/>
    </row>
    <row r="547" spans="1:19" x14ac:dyDescent="0.2">
      <c r="A547" s="1">
        <v>546</v>
      </c>
      <c r="B547" s="1" t="s">
        <v>1155</v>
      </c>
      <c r="C547" s="2">
        <v>42501</v>
      </c>
      <c r="D547" s="1" t="s">
        <v>36</v>
      </c>
      <c r="E547" s="1" t="s">
        <v>255</v>
      </c>
      <c r="F547" s="1" t="s">
        <v>72</v>
      </c>
      <c r="G547" s="1" t="s">
        <v>73</v>
      </c>
      <c r="H547" s="1" t="s">
        <v>74</v>
      </c>
      <c r="I547" s="1" t="s">
        <v>22</v>
      </c>
      <c r="J547" s="1" t="s">
        <v>46</v>
      </c>
      <c r="K547" s="1" t="s">
        <v>1158</v>
      </c>
      <c r="L547" s="17">
        <v>66.112000000000009</v>
      </c>
      <c r="M547" s="1">
        <v>4</v>
      </c>
      <c r="N547" s="1">
        <v>0.6</v>
      </c>
      <c r="O547" s="17">
        <v>-84.292799999999986</v>
      </c>
      <c r="P547" s="17">
        <f>('Work File (2)'!$L547*'Work File (2)'!$M547)*(1-'Work File (2)'!$N547)</f>
        <v>105.77920000000002</v>
      </c>
      <c r="Q547" s="1">
        <f>YEAR(Table2[[#This Row],[Order Date]])</f>
        <v>2016</v>
      </c>
      <c r="R547" s="18" t="str">
        <f>TEXT(Table2[[#This Row],[Order Date]],"mmm")</f>
        <v>May</v>
      </c>
      <c r="S547" s="18"/>
    </row>
    <row r="548" spans="1:19" x14ac:dyDescent="0.2">
      <c r="A548" s="1">
        <v>547</v>
      </c>
      <c r="B548" s="1" t="s">
        <v>1159</v>
      </c>
      <c r="C548" s="2">
        <v>43788</v>
      </c>
      <c r="D548" s="1" t="s">
        <v>128</v>
      </c>
      <c r="E548" s="1" t="s">
        <v>1160</v>
      </c>
      <c r="F548" s="1" t="s">
        <v>178</v>
      </c>
      <c r="G548" s="1" t="s">
        <v>179</v>
      </c>
      <c r="H548" s="1" t="s">
        <v>103</v>
      </c>
      <c r="I548" s="1" t="s">
        <v>32</v>
      </c>
      <c r="J548" s="1" t="s">
        <v>53</v>
      </c>
      <c r="K548" s="1" t="s">
        <v>1161</v>
      </c>
      <c r="L548" s="17">
        <v>41.28</v>
      </c>
      <c r="M548" s="1">
        <v>6</v>
      </c>
      <c r="N548" s="1">
        <v>0.2</v>
      </c>
      <c r="O548" s="17">
        <v>13.931999999999999</v>
      </c>
      <c r="P548" s="17">
        <f>('Work File (2)'!$L548*'Work File (2)'!$M548)*(1-'Work File (2)'!$N548)</f>
        <v>198.14400000000001</v>
      </c>
      <c r="Q548" s="1">
        <f>YEAR(Table2[[#This Row],[Order Date]])</f>
        <v>2019</v>
      </c>
      <c r="R548" s="18" t="str">
        <f>TEXT(Table2[[#This Row],[Order Date]],"mmm")</f>
        <v>Nov</v>
      </c>
      <c r="S548" s="18"/>
    </row>
    <row r="549" spans="1:19" x14ac:dyDescent="0.2">
      <c r="A549" s="1">
        <v>548</v>
      </c>
      <c r="B549" s="1" t="s">
        <v>1159</v>
      </c>
      <c r="C549" s="2">
        <v>43788</v>
      </c>
      <c r="D549" s="1" t="s">
        <v>128</v>
      </c>
      <c r="E549" s="1" t="s">
        <v>1160</v>
      </c>
      <c r="F549" s="1" t="s">
        <v>178</v>
      </c>
      <c r="G549" s="1" t="s">
        <v>179</v>
      </c>
      <c r="H549" s="1" t="s">
        <v>103</v>
      </c>
      <c r="I549" s="1" t="s">
        <v>32</v>
      </c>
      <c r="J549" s="1" t="s">
        <v>63</v>
      </c>
      <c r="K549" s="1" t="s">
        <v>1162</v>
      </c>
      <c r="L549" s="17">
        <v>13.36</v>
      </c>
      <c r="M549" s="1">
        <v>2</v>
      </c>
      <c r="N549" s="1">
        <v>0</v>
      </c>
      <c r="O549" s="17">
        <v>6.4127999999999998</v>
      </c>
      <c r="P549" s="17">
        <f>('Work File (2)'!$L549*'Work File (2)'!$M549)*(1-'Work File (2)'!$N549)</f>
        <v>26.72</v>
      </c>
      <c r="Q549" s="1">
        <f>YEAR(Table2[[#This Row],[Order Date]])</f>
        <v>2019</v>
      </c>
      <c r="R549" s="18" t="str">
        <f>TEXT(Table2[[#This Row],[Order Date]],"mmm")</f>
        <v>Nov</v>
      </c>
      <c r="S549" s="18"/>
    </row>
    <row r="550" spans="1:19" x14ac:dyDescent="0.2">
      <c r="A550" s="1">
        <v>549</v>
      </c>
      <c r="B550" s="1" t="s">
        <v>1163</v>
      </c>
      <c r="C550" s="2">
        <v>43054</v>
      </c>
      <c r="D550" s="1" t="s">
        <v>17</v>
      </c>
      <c r="E550" s="1" t="s">
        <v>850</v>
      </c>
      <c r="F550" s="1" t="s">
        <v>200</v>
      </c>
      <c r="G550" s="1" t="s">
        <v>142</v>
      </c>
      <c r="H550" s="1" t="s">
        <v>74</v>
      </c>
      <c r="I550" s="1" t="s">
        <v>32</v>
      </c>
      <c r="J550" s="1" t="s">
        <v>42</v>
      </c>
      <c r="K550" s="1" t="s">
        <v>186</v>
      </c>
      <c r="L550" s="17">
        <v>250.27199999999999</v>
      </c>
      <c r="M550" s="1">
        <v>9</v>
      </c>
      <c r="N550" s="1">
        <v>0.2</v>
      </c>
      <c r="O550" s="17">
        <v>15.641999999999982</v>
      </c>
      <c r="P550" s="17">
        <f>('Work File (2)'!$L550*'Work File (2)'!$M550)*(1-'Work File (2)'!$N550)</f>
        <v>1801.9584</v>
      </c>
      <c r="Q550" s="1">
        <f>YEAR(Table2[[#This Row],[Order Date]])</f>
        <v>2017</v>
      </c>
      <c r="R550" s="18" t="str">
        <f>TEXT(Table2[[#This Row],[Order Date]],"mmm")</f>
        <v>Nov</v>
      </c>
      <c r="S550" s="18"/>
    </row>
    <row r="551" spans="1:19" x14ac:dyDescent="0.2">
      <c r="A551" s="1">
        <v>550</v>
      </c>
      <c r="B551" s="1" t="s">
        <v>1163</v>
      </c>
      <c r="C551" s="2">
        <v>43054</v>
      </c>
      <c r="D551" s="1" t="s">
        <v>17</v>
      </c>
      <c r="E551" s="1" t="s">
        <v>850</v>
      </c>
      <c r="F551" s="1" t="s">
        <v>200</v>
      </c>
      <c r="G551" s="1" t="s">
        <v>142</v>
      </c>
      <c r="H551" s="1" t="s">
        <v>74</v>
      </c>
      <c r="I551" s="1" t="s">
        <v>32</v>
      </c>
      <c r="J551" s="1" t="s">
        <v>53</v>
      </c>
      <c r="K551" s="1" t="s">
        <v>276</v>
      </c>
      <c r="L551" s="17">
        <v>11.363999999999997</v>
      </c>
      <c r="M551" s="1">
        <v>3</v>
      </c>
      <c r="N551" s="1">
        <v>0.8</v>
      </c>
      <c r="O551" s="17">
        <v>-17.045999999999999</v>
      </c>
      <c r="P551" s="17">
        <f>('Work File (2)'!$L551*'Work File (2)'!$M551)*(1-'Work File (2)'!$N551)</f>
        <v>6.8183999999999969</v>
      </c>
      <c r="Q551" s="1">
        <f>YEAR(Table2[[#This Row],[Order Date]])</f>
        <v>2017</v>
      </c>
      <c r="R551" s="18" t="str">
        <f>TEXT(Table2[[#This Row],[Order Date]],"mmm")</f>
        <v>Nov</v>
      </c>
      <c r="S551" s="18"/>
    </row>
    <row r="552" spans="1:19" x14ac:dyDescent="0.2">
      <c r="A552" s="1">
        <v>551</v>
      </c>
      <c r="B552" s="1" t="s">
        <v>1163</v>
      </c>
      <c r="C552" s="2">
        <v>43054</v>
      </c>
      <c r="D552" s="1" t="s">
        <v>17</v>
      </c>
      <c r="E552" s="1" t="s">
        <v>850</v>
      </c>
      <c r="F552" s="1" t="s">
        <v>200</v>
      </c>
      <c r="G552" s="1" t="s">
        <v>142</v>
      </c>
      <c r="H552" s="1" t="s">
        <v>74</v>
      </c>
      <c r="I552" s="1" t="s">
        <v>32</v>
      </c>
      <c r="J552" s="1" t="s">
        <v>372</v>
      </c>
      <c r="K552" s="1" t="s">
        <v>812</v>
      </c>
      <c r="L552" s="17">
        <v>8.7200000000000006</v>
      </c>
      <c r="M552" s="1">
        <v>5</v>
      </c>
      <c r="N552" s="1">
        <v>0.2</v>
      </c>
      <c r="O552" s="17">
        <v>-1.7440000000000015</v>
      </c>
      <c r="P552" s="17">
        <f>('Work File (2)'!$L552*'Work File (2)'!$M552)*(1-'Work File (2)'!$N552)</f>
        <v>34.880000000000003</v>
      </c>
      <c r="Q552" s="1">
        <f>YEAR(Table2[[#This Row],[Order Date]])</f>
        <v>2017</v>
      </c>
      <c r="R552" s="18" t="str">
        <f>TEXT(Table2[[#This Row],[Order Date]],"mmm")</f>
        <v>Nov</v>
      </c>
      <c r="S552" s="18"/>
    </row>
    <row r="553" spans="1:19" x14ac:dyDescent="0.2">
      <c r="A553" s="1">
        <v>552</v>
      </c>
      <c r="B553" s="1" t="s">
        <v>1164</v>
      </c>
      <c r="C553" s="2">
        <v>43205</v>
      </c>
      <c r="D553" s="1" t="s">
        <v>17</v>
      </c>
      <c r="E553" s="1" t="s">
        <v>1165</v>
      </c>
      <c r="F553" s="1" t="s">
        <v>89</v>
      </c>
      <c r="G553" s="1" t="s">
        <v>30</v>
      </c>
      <c r="H553" s="1" t="s">
        <v>31</v>
      </c>
      <c r="I553" s="1" t="s">
        <v>22</v>
      </c>
      <c r="J553" s="1" t="s">
        <v>25</v>
      </c>
      <c r="K553" s="1" t="s">
        <v>1166</v>
      </c>
      <c r="L553" s="17">
        <v>1121.568</v>
      </c>
      <c r="M553" s="1">
        <v>2</v>
      </c>
      <c r="N553" s="1">
        <v>0.2</v>
      </c>
      <c r="O553" s="17">
        <v>0</v>
      </c>
      <c r="P553" s="17">
        <f>('Work File (2)'!$L553*'Work File (2)'!$M553)*(1-'Work File (2)'!$N553)</f>
        <v>1794.5088000000001</v>
      </c>
      <c r="Q553" s="1">
        <f>YEAR(Table2[[#This Row],[Order Date]])</f>
        <v>2018</v>
      </c>
      <c r="R553" s="18" t="str">
        <f>TEXT(Table2[[#This Row],[Order Date]],"mmm")</f>
        <v>Apr</v>
      </c>
      <c r="S553" s="18"/>
    </row>
    <row r="554" spans="1:19" x14ac:dyDescent="0.2">
      <c r="A554" s="1">
        <v>553</v>
      </c>
      <c r="B554" s="1" t="s">
        <v>1167</v>
      </c>
      <c r="C554" s="2">
        <v>43719</v>
      </c>
      <c r="D554" s="1" t="s">
        <v>128</v>
      </c>
      <c r="E554" s="1" t="s">
        <v>322</v>
      </c>
      <c r="F554" s="1" t="s">
        <v>953</v>
      </c>
      <c r="G554" s="1" t="s">
        <v>39</v>
      </c>
      <c r="H554" s="1" t="s">
        <v>21</v>
      </c>
      <c r="I554" s="1" t="s">
        <v>22</v>
      </c>
      <c r="J554" s="1" t="s">
        <v>46</v>
      </c>
      <c r="K554" s="1" t="s">
        <v>1168</v>
      </c>
      <c r="L554" s="17">
        <v>34.504000000000005</v>
      </c>
      <c r="M554" s="1">
        <v>1</v>
      </c>
      <c r="N554" s="1">
        <v>0.2</v>
      </c>
      <c r="O554" s="17">
        <v>6.0381999999999998</v>
      </c>
      <c r="P554" s="17">
        <f>('Work File (2)'!$L554*'Work File (2)'!$M554)*(1-'Work File (2)'!$N554)</f>
        <v>27.603200000000005</v>
      </c>
      <c r="Q554" s="1">
        <f>YEAR(Table2[[#This Row],[Order Date]])</f>
        <v>2019</v>
      </c>
      <c r="R554" s="18" t="str">
        <f>TEXT(Table2[[#This Row],[Order Date]],"mmm")</f>
        <v>Sep</v>
      </c>
      <c r="S554" s="18"/>
    </row>
    <row r="555" spans="1:19" x14ac:dyDescent="0.2">
      <c r="A555" s="1">
        <v>554</v>
      </c>
      <c r="B555" s="1" t="s">
        <v>1169</v>
      </c>
      <c r="C555" s="2">
        <v>43793</v>
      </c>
      <c r="D555" s="1" t="s">
        <v>36</v>
      </c>
      <c r="E555" s="1" t="s">
        <v>1170</v>
      </c>
      <c r="F555" s="1" t="s">
        <v>125</v>
      </c>
      <c r="G555" s="1" t="s">
        <v>73</v>
      </c>
      <c r="H555" s="1" t="s">
        <v>74</v>
      </c>
      <c r="I555" s="1" t="s">
        <v>32</v>
      </c>
      <c r="J555" s="1" t="s">
        <v>180</v>
      </c>
      <c r="K555" s="1" t="s">
        <v>1171</v>
      </c>
      <c r="L555" s="17">
        <v>10.824</v>
      </c>
      <c r="M555" s="1">
        <v>3</v>
      </c>
      <c r="N555" s="1">
        <v>0.2</v>
      </c>
      <c r="O555" s="17">
        <v>2.5707</v>
      </c>
      <c r="P555" s="17">
        <f>('Work File (2)'!$L555*'Work File (2)'!$M555)*(1-'Work File (2)'!$N555)</f>
        <v>25.977600000000002</v>
      </c>
      <c r="Q555" s="1">
        <f>YEAR(Table2[[#This Row],[Order Date]])</f>
        <v>2019</v>
      </c>
      <c r="R555" s="18" t="str">
        <f>TEXT(Table2[[#This Row],[Order Date]],"mmm")</f>
        <v>Nov</v>
      </c>
      <c r="S555" s="18"/>
    </row>
    <row r="556" spans="1:19" x14ac:dyDescent="0.2">
      <c r="A556" s="1">
        <v>555</v>
      </c>
      <c r="B556" s="1" t="s">
        <v>1172</v>
      </c>
      <c r="C556" s="2">
        <v>43645</v>
      </c>
      <c r="D556" s="1" t="s">
        <v>17</v>
      </c>
      <c r="E556" s="1" t="s">
        <v>850</v>
      </c>
      <c r="F556" s="1" t="s">
        <v>1173</v>
      </c>
      <c r="G556" s="1" t="s">
        <v>30</v>
      </c>
      <c r="H556" s="1" t="s">
        <v>31</v>
      </c>
      <c r="I556" s="1" t="s">
        <v>32</v>
      </c>
      <c r="J556" s="1" t="s">
        <v>42</v>
      </c>
      <c r="K556" s="1" t="s">
        <v>1174</v>
      </c>
      <c r="L556" s="17">
        <v>1295.78</v>
      </c>
      <c r="M556" s="1">
        <v>2</v>
      </c>
      <c r="N556" s="1">
        <v>0</v>
      </c>
      <c r="O556" s="17">
        <v>310.98720000000003</v>
      </c>
      <c r="P556" s="17">
        <f>('Work File (2)'!$L556*'Work File (2)'!$M556)*(1-'Work File (2)'!$N556)</f>
        <v>2591.56</v>
      </c>
      <c r="Q556" s="1">
        <f>YEAR(Table2[[#This Row],[Order Date]])</f>
        <v>2019</v>
      </c>
      <c r="R556" s="18" t="str">
        <f>TEXT(Table2[[#This Row],[Order Date]],"mmm")</f>
        <v>Jun</v>
      </c>
      <c r="S556" s="18"/>
    </row>
    <row r="557" spans="1:19" x14ac:dyDescent="0.2">
      <c r="A557" s="1">
        <v>556</v>
      </c>
      <c r="B557" s="1" t="s">
        <v>1175</v>
      </c>
      <c r="C557" s="2">
        <v>42432</v>
      </c>
      <c r="D557" s="1" t="s">
        <v>17</v>
      </c>
      <c r="E557" s="1" t="s">
        <v>1176</v>
      </c>
      <c r="F557" s="1" t="s">
        <v>338</v>
      </c>
      <c r="G557" s="1" t="s">
        <v>62</v>
      </c>
      <c r="H557" s="1" t="s">
        <v>21</v>
      </c>
      <c r="I557" s="1" t="s">
        <v>32</v>
      </c>
      <c r="J557" s="1" t="s">
        <v>48</v>
      </c>
      <c r="K557" s="1" t="s">
        <v>1177</v>
      </c>
      <c r="L557" s="17">
        <v>19.456000000000003</v>
      </c>
      <c r="M557" s="1">
        <v>4</v>
      </c>
      <c r="N557" s="1">
        <v>0.2</v>
      </c>
      <c r="O557" s="17">
        <v>3.4047999999999981</v>
      </c>
      <c r="P557" s="17">
        <f>('Work File (2)'!$L557*'Work File (2)'!$M557)*(1-'Work File (2)'!$N557)</f>
        <v>62.259200000000014</v>
      </c>
      <c r="Q557" s="1">
        <f>YEAR(Table2[[#This Row],[Order Date]])</f>
        <v>2016</v>
      </c>
      <c r="R557" s="18" t="str">
        <f>TEXT(Table2[[#This Row],[Order Date]],"mmm")</f>
        <v>Mar</v>
      </c>
      <c r="S557" s="18"/>
    </row>
    <row r="558" spans="1:19" x14ac:dyDescent="0.2">
      <c r="A558" s="1">
        <v>557</v>
      </c>
      <c r="B558" s="1" t="s">
        <v>1178</v>
      </c>
      <c r="C558" s="2">
        <v>43261</v>
      </c>
      <c r="D558" s="1" t="s">
        <v>36</v>
      </c>
      <c r="E558" s="1" t="s">
        <v>1179</v>
      </c>
      <c r="F558" s="1" t="s">
        <v>29</v>
      </c>
      <c r="G558" s="1" t="s">
        <v>30</v>
      </c>
      <c r="H558" s="1" t="s">
        <v>31</v>
      </c>
      <c r="I558" s="1" t="s">
        <v>32</v>
      </c>
      <c r="J558" s="1" t="s">
        <v>33</v>
      </c>
      <c r="K558" s="1" t="s">
        <v>1180</v>
      </c>
      <c r="L558" s="17">
        <v>20.7</v>
      </c>
      <c r="M558" s="1">
        <v>2</v>
      </c>
      <c r="N558" s="1">
        <v>0</v>
      </c>
      <c r="O558" s="17">
        <v>9.9359999999999999</v>
      </c>
      <c r="P558" s="17">
        <f>('Work File (2)'!$L558*'Work File (2)'!$M558)*(1-'Work File (2)'!$N558)</f>
        <v>41.4</v>
      </c>
      <c r="Q558" s="1">
        <f>YEAR(Table2[[#This Row],[Order Date]])</f>
        <v>2018</v>
      </c>
      <c r="R558" s="18" t="str">
        <f>TEXT(Table2[[#This Row],[Order Date]],"mmm")</f>
        <v>Jun</v>
      </c>
      <c r="S558" s="18"/>
    </row>
    <row r="559" spans="1:19" x14ac:dyDescent="0.2">
      <c r="A559" s="1">
        <v>558</v>
      </c>
      <c r="B559" s="1" t="s">
        <v>1178</v>
      </c>
      <c r="C559" s="2">
        <v>43261</v>
      </c>
      <c r="D559" s="1" t="s">
        <v>36</v>
      </c>
      <c r="E559" s="1" t="s">
        <v>1179</v>
      </c>
      <c r="F559" s="1" t="s">
        <v>29</v>
      </c>
      <c r="G559" s="1" t="s">
        <v>30</v>
      </c>
      <c r="H559" s="1" t="s">
        <v>31</v>
      </c>
      <c r="I559" s="1" t="s">
        <v>22</v>
      </c>
      <c r="J559" s="1" t="s">
        <v>40</v>
      </c>
      <c r="K559" s="1" t="s">
        <v>1181</v>
      </c>
      <c r="L559" s="17">
        <v>1335.68</v>
      </c>
      <c r="M559" s="1">
        <v>4</v>
      </c>
      <c r="N559" s="1">
        <v>0.2</v>
      </c>
      <c r="O559" s="17">
        <v>-217.04800000000017</v>
      </c>
      <c r="P559" s="17">
        <f>('Work File (2)'!$L559*'Work File (2)'!$M559)*(1-'Work File (2)'!$N559)</f>
        <v>4274.1760000000004</v>
      </c>
      <c r="Q559" s="1">
        <f>YEAR(Table2[[#This Row],[Order Date]])</f>
        <v>2018</v>
      </c>
      <c r="R559" s="18" t="str">
        <f>TEXT(Table2[[#This Row],[Order Date]],"mmm")</f>
        <v>Jun</v>
      </c>
      <c r="S559" s="18"/>
    </row>
    <row r="560" spans="1:19" x14ac:dyDescent="0.2">
      <c r="A560" s="1">
        <v>559</v>
      </c>
      <c r="B560" s="1" t="s">
        <v>1178</v>
      </c>
      <c r="C560" s="2">
        <v>43261</v>
      </c>
      <c r="D560" s="1" t="s">
        <v>36</v>
      </c>
      <c r="E560" s="1" t="s">
        <v>1179</v>
      </c>
      <c r="F560" s="1" t="s">
        <v>29</v>
      </c>
      <c r="G560" s="1" t="s">
        <v>30</v>
      </c>
      <c r="H560" s="1" t="s">
        <v>31</v>
      </c>
      <c r="I560" s="1" t="s">
        <v>32</v>
      </c>
      <c r="J560" s="1" t="s">
        <v>63</v>
      </c>
      <c r="K560" s="1" t="s">
        <v>1182</v>
      </c>
      <c r="L560" s="17">
        <v>32.400000000000006</v>
      </c>
      <c r="M560" s="1">
        <v>5</v>
      </c>
      <c r="N560" s="1">
        <v>0</v>
      </c>
      <c r="O560" s="17">
        <v>15.552000000000001</v>
      </c>
      <c r="P560" s="17">
        <f>('Work File (2)'!$L560*'Work File (2)'!$M560)*(1-'Work File (2)'!$N560)</f>
        <v>162.00000000000003</v>
      </c>
      <c r="Q560" s="1">
        <f>YEAR(Table2[[#This Row],[Order Date]])</f>
        <v>2018</v>
      </c>
      <c r="R560" s="18" t="str">
        <f>TEXT(Table2[[#This Row],[Order Date]],"mmm")</f>
        <v>Jun</v>
      </c>
      <c r="S560" s="18"/>
    </row>
    <row r="561" spans="1:19" x14ac:dyDescent="0.2">
      <c r="A561" s="1">
        <v>560</v>
      </c>
      <c r="B561" s="1" t="s">
        <v>1183</v>
      </c>
      <c r="C561" s="2">
        <v>43789</v>
      </c>
      <c r="D561" s="1" t="s">
        <v>17</v>
      </c>
      <c r="E561" s="1" t="s">
        <v>1184</v>
      </c>
      <c r="F561" s="1" t="s">
        <v>89</v>
      </c>
      <c r="G561" s="1" t="s">
        <v>30</v>
      </c>
      <c r="H561" s="1" t="s">
        <v>31</v>
      </c>
      <c r="I561" s="1" t="s">
        <v>22</v>
      </c>
      <c r="J561" s="1" t="s">
        <v>46</v>
      </c>
      <c r="K561" s="1" t="s">
        <v>935</v>
      </c>
      <c r="L561" s="17">
        <v>42.599999999999994</v>
      </c>
      <c r="M561" s="1">
        <v>3</v>
      </c>
      <c r="N561" s="1">
        <v>0</v>
      </c>
      <c r="O561" s="17">
        <v>16.614000000000001</v>
      </c>
      <c r="P561" s="17">
        <f>('Work File (2)'!$L561*'Work File (2)'!$M561)*(1-'Work File (2)'!$N561)</f>
        <v>127.79999999999998</v>
      </c>
      <c r="Q561" s="1">
        <f>YEAR(Table2[[#This Row],[Order Date]])</f>
        <v>2019</v>
      </c>
      <c r="R561" s="18" t="str">
        <f>TEXT(Table2[[#This Row],[Order Date]],"mmm")</f>
        <v>Nov</v>
      </c>
      <c r="S561" s="18"/>
    </row>
    <row r="562" spans="1:19" x14ac:dyDescent="0.2">
      <c r="A562" s="1">
        <v>561</v>
      </c>
      <c r="B562" s="1" t="s">
        <v>1183</v>
      </c>
      <c r="C562" s="2">
        <v>43789</v>
      </c>
      <c r="D562" s="1" t="s">
        <v>17</v>
      </c>
      <c r="E562" s="1" t="s">
        <v>1184</v>
      </c>
      <c r="F562" s="1" t="s">
        <v>89</v>
      </c>
      <c r="G562" s="1" t="s">
        <v>30</v>
      </c>
      <c r="H562" s="1" t="s">
        <v>31</v>
      </c>
      <c r="I562" s="1" t="s">
        <v>32</v>
      </c>
      <c r="J562" s="1" t="s">
        <v>53</v>
      </c>
      <c r="K562" s="1" t="s">
        <v>1185</v>
      </c>
      <c r="L562" s="17">
        <v>84.056000000000012</v>
      </c>
      <c r="M562" s="1">
        <v>7</v>
      </c>
      <c r="N562" s="1">
        <v>0.2</v>
      </c>
      <c r="O562" s="17">
        <v>27.318199999999983</v>
      </c>
      <c r="P562" s="17">
        <f>('Work File (2)'!$L562*'Work File (2)'!$M562)*(1-'Work File (2)'!$N562)</f>
        <v>470.71360000000004</v>
      </c>
      <c r="Q562" s="1">
        <f>YEAR(Table2[[#This Row],[Order Date]])</f>
        <v>2019</v>
      </c>
      <c r="R562" s="18" t="str">
        <f>TEXT(Table2[[#This Row],[Order Date]],"mmm")</f>
        <v>Nov</v>
      </c>
      <c r="S562" s="18"/>
    </row>
    <row r="563" spans="1:19" x14ac:dyDescent="0.2">
      <c r="A563" s="1">
        <v>562</v>
      </c>
      <c r="B563" s="1" t="s">
        <v>1186</v>
      </c>
      <c r="C563" s="2">
        <v>42627</v>
      </c>
      <c r="D563" s="1" t="s">
        <v>17</v>
      </c>
      <c r="E563" s="1" t="s">
        <v>1187</v>
      </c>
      <c r="F563" s="1" t="s">
        <v>572</v>
      </c>
      <c r="G563" s="1" t="s">
        <v>39</v>
      </c>
      <c r="H563" s="1" t="s">
        <v>21</v>
      </c>
      <c r="I563" s="1" t="s">
        <v>32</v>
      </c>
      <c r="J563" s="1" t="s">
        <v>55</v>
      </c>
      <c r="K563" s="1" t="s">
        <v>1188</v>
      </c>
      <c r="L563" s="17">
        <v>13</v>
      </c>
      <c r="M563" s="1">
        <v>5</v>
      </c>
      <c r="N563" s="1">
        <v>0.2</v>
      </c>
      <c r="O563" s="17">
        <v>1.3000000000000007</v>
      </c>
      <c r="P563" s="17">
        <f>('Work File (2)'!$L563*'Work File (2)'!$M563)*(1-'Work File (2)'!$N563)</f>
        <v>52</v>
      </c>
      <c r="Q563" s="1">
        <f>YEAR(Table2[[#This Row],[Order Date]])</f>
        <v>2016</v>
      </c>
      <c r="R563" s="18" t="str">
        <f>TEXT(Table2[[#This Row],[Order Date]],"mmm")</f>
        <v>Sep</v>
      </c>
      <c r="S563" s="18"/>
    </row>
    <row r="564" spans="1:19" x14ac:dyDescent="0.2">
      <c r="A564" s="1">
        <v>563</v>
      </c>
      <c r="B564" s="1" t="s">
        <v>1186</v>
      </c>
      <c r="C564" s="2">
        <v>42627</v>
      </c>
      <c r="D564" s="1" t="s">
        <v>17</v>
      </c>
      <c r="E564" s="1" t="s">
        <v>1187</v>
      </c>
      <c r="F564" s="1" t="s">
        <v>572</v>
      </c>
      <c r="G564" s="1" t="s">
        <v>39</v>
      </c>
      <c r="H564" s="1" t="s">
        <v>21</v>
      </c>
      <c r="I564" s="1" t="s">
        <v>22</v>
      </c>
      <c r="J564" s="1" t="s">
        <v>46</v>
      </c>
      <c r="K564" s="1" t="s">
        <v>1189</v>
      </c>
      <c r="L564" s="17">
        <v>13.128</v>
      </c>
      <c r="M564" s="1">
        <v>3</v>
      </c>
      <c r="N564" s="1">
        <v>0.2</v>
      </c>
      <c r="O564" s="17">
        <v>3.7743000000000002</v>
      </c>
      <c r="P564" s="17">
        <f>('Work File (2)'!$L564*'Work File (2)'!$M564)*(1-'Work File (2)'!$N564)</f>
        <v>31.507200000000001</v>
      </c>
      <c r="Q564" s="1">
        <f>YEAR(Table2[[#This Row],[Order Date]])</f>
        <v>2016</v>
      </c>
      <c r="R564" s="18" t="str">
        <f>TEXT(Table2[[#This Row],[Order Date]],"mmm")</f>
        <v>Sep</v>
      </c>
      <c r="S564" s="18"/>
    </row>
    <row r="565" spans="1:19" x14ac:dyDescent="0.2">
      <c r="A565" s="1">
        <v>564</v>
      </c>
      <c r="B565" s="1" t="s">
        <v>1190</v>
      </c>
      <c r="C565" s="2">
        <v>43076</v>
      </c>
      <c r="D565" s="1" t="s">
        <v>128</v>
      </c>
      <c r="E565" s="1" t="s">
        <v>1191</v>
      </c>
      <c r="F565" s="1" t="s">
        <v>67</v>
      </c>
      <c r="G565" s="1" t="s">
        <v>68</v>
      </c>
      <c r="H565" s="1" t="s">
        <v>31</v>
      </c>
      <c r="I565" s="1" t="s">
        <v>32</v>
      </c>
      <c r="J565" s="1" t="s">
        <v>180</v>
      </c>
      <c r="K565" s="1" t="s">
        <v>1192</v>
      </c>
      <c r="L565" s="17">
        <v>3.96</v>
      </c>
      <c r="M565" s="1">
        <v>2</v>
      </c>
      <c r="N565" s="1">
        <v>0</v>
      </c>
      <c r="O565" s="17">
        <v>0</v>
      </c>
      <c r="P565" s="17">
        <f>('Work File (2)'!$L565*'Work File (2)'!$M565)*(1-'Work File (2)'!$N565)</f>
        <v>7.92</v>
      </c>
      <c r="Q565" s="1">
        <f>YEAR(Table2[[#This Row],[Order Date]])</f>
        <v>2017</v>
      </c>
      <c r="R565" s="18" t="str">
        <f>TEXT(Table2[[#This Row],[Order Date]],"mmm")</f>
        <v>Dec</v>
      </c>
      <c r="S565" s="18"/>
    </row>
    <row r="566" spans="1:19" x14ac:dyDescent="0.2">
      <c r="A566" s="1">
        <v>565</v>
      </c>
      <c r="B566" s="1" t="s">
        <v>1190</v>
      </c>
      <c r="C566" s="2">
        <v>43076</v>
      </c>
      <c r="D566" s="1" t="s">
        <v>128</v>
      </c>
      <c r="E566" s="1" t="s">
        <v>1191</v>
      </c>
      <c r="F566" s="1" t="s">
        <v>67</v>
      </c>
      <c r="G566" s="1" t="s">
        <v>68</v>
      </c>
      <c r="H566" s="1" t="s">
        <v>31</v>
      </c>
      <c r="I566" s="1" t="s">
        <v>32</v>
      </c>
      <c r="J566" s="1" t="s">
        <v>33</v>
      </c>
      <c r="K566" s="1" t="s">
        <v>716</v>
      </c>
      <c r="L566" s="17">
        <v>2.61</v>
      </c>
      <c r="M566" s="1">
        <v>1</v>
      </c>
      <c r="N566" s="1">
        <v>0</v>
      </c>
      <c r="O566" s="17">
        <v>1.2005999999999999</v>
      </c>
      <c r="P566" s="17">
        <f>('Work File (2)'!$L566*'Work File (2)'!$M566)*(1-'Work File (2)'!$N566)</f>
        <v>2.61</v>
      </c>
      <c r="Q566" s="1">
        <f>YEAR(Table2[[#This Row],[Order Date]])</f>
        <v>2017</v>
      </c>
      <c r="R566" s="18" t="str">
        <f>TEXT(Table2[[#This Row],[Order Date]],"mmm")</f>
        <v>Dec</v>
      </c>
      <c r="S566" s="18"/>
    </row>
    <row r="567" spans="1:19" x14ac:dyDescent="0.2">
      <c r="A567" s="1">
        <v>566</v>
      </c>
      <c r="B567" s="1" t="s">
        <v>1193</v>
      </c>
      <c r="C567" s="2">
        <v>43806</v>
      </c>
      <c r="D567" s="1" t="s">
        <v>128</v>
      </c>
      <c r="E567" s="1" t="s">
        <v>1194</v>
      </c>
      <c r="F567" s="1" t="s">
        <v>29</v>
      </c>
      <c r="G567" s="1" t="s">
        <v>30</v>
      </c>
      <c r="H567" s="1" t="s">
        <v>31</v>
      </c>
      <c r="I567" s="1" t="s">
        <v>50</v>
      </c>
      <c r="J567" s="1" t="s">
        <v>51</v>
      </c>
      <c r="K567" s="1" t="s">
        <v>1195</v>
      </c>
      <c r="L567" s="17">
        <v>374.37600000000003</v>
      </c>
      <c r="M567" s="1">
        <v>3</v>
      </c>
      <c r="N567" s="1">
        <v>0.2</v>
      </c>
      <c r="O567" s="17">
        <v>46.796999999999983</v>
      </c>
      <c r="P567" s="17">
        <f>('Work File (2)'!$L567*'Work File (2)'!$M567)*(1-'Work File (2)'!$N567)</f>
        <v>898.50240000000019</v>
      </c>
      <c r="Q567" s="1">
        <f>YEAR(Table2[[#This Row],[Order Date]])</f>
        <v>2019</v>
      </c>
      <c r="R567" s="18" t="str">
        <f>TEXT(Table2[[#This Row],[Order Date]],"mmm")</f>
        <v>Dec</v>
      </c>
      <c r="S567" s="18"/>
    </row>
    <row r="568" spans="1:19" x14ac:dyDescent="0.2">
      <c r="A568" s="1">
        <v>567</v>
      </c>
      <c r="B568" s="1" t="s">
        <v>1196</v>
      </c>
      <c r="C568" s="2">
        <v>43739</v>
      </c>
      <c r="D568" s="1" t="s">
        <v>36</v>
      </c>
      <c r="E568" s="1" t="s">
        <v>1197</v>
      </c>
      <c r="F568" s="1" t="s">
        <v>67</v>
      </c>
      <c r="G568" s="1" t="s">
        <v>68</v>
      </c>
      <c r="H568" s="1" t="s">
        <v>31</v>
      </c>
      <c r="I568" s="1" t="s">
        <v>32</v>
      </c>
      <c r="J568" s="1" t="s">
        <v>63</v>
      </c>
      <c r="K568" s="1" t="s">
        <v>1198</v>
      </c>
      <c r="L568" s="17">
        <v>91.84</v>
      </c>
      <c r="M568" s="1">
        <v>8</v>
      </c>
      <c r="N568" s="1">
        <v>0</v>
      </c>
      <c r="O568" s="17">
        <v>45.001600000000003</v>
      </c>
      <c r="P568" s="17">
        <f>('Work File (2)'!$L568*'Work File (2)'!$M568)*(1-'Work File (2)'!$N568)</f>
        <v>734.72</v>
      </c>
      <c r="Q568" s="1">
        <f>YEAR(Table2[[#This Row],[Order Date]])</f>
        <v>2019</v>
      </c>
      <c r="R568" s="18" t="str">
        <f>TEXT(Table2[[#This Row],[Order Date]],"mmm")</f>
        <v>Oct</v>
      </c>
      <c r="S568" s="18"/>
    </row>
    <row r="569" spans="1:19" x14ac:dyDescent="0.2">
      <c r="A569" s="1">
        <v>568</v>
      </c>
      <c r="B569" s="1" t="s">
        <v>1196</v>
      </c>
      <c r="C569" s="2">
        <v>43739</v>
      </c>
      <c r="D569" s="1" t="s">
        <v>36</v>
      </c>
      <c r="E569" s="1" t="s">
        <v>1197</v>
      </c>
      <c r="F569" s="1" t="s">
        <v>67</v>
      </c>
      <c r="G569" s="1" t="s">
        <v>68</v>
      </c>
      <c r="H569" s="1" t="s">
        <v>31</v>
      </c>
      <c r="I569" s="1" t="s">
        <v>32</v>
      </c>
      <c r="J569" s="1" t="s">
        <v>53</v>
      </c>
      <c r="K569" s="1" t="s">
        <v>1199</v>
      </c>
      <c r="L569" s="17">
        <v>81.088000000000008</v>
      </c>
      <c r="M569" s="1">
        <v>7</v>
      </c>
      <c r="N569" s="1">
        <v>0.2</v>
      </c>
      <c r="O569" s="17">
        <v>27.3672</v>
      </c>
      <c r="P569" s="17">
        <f>('Work File (2)'!$L569*'Work File (2)'!$M569)*(1-'Work File (2)'!$N569)</f>
        <v>454.09280000000012</v>
      </c>
      <c r="Q569" s="1">
        <f>YEAR(Table2[[#This Row],[Order Date]])</f>
        <v>2019</v>
      </c>
      <c r="R569" s="18" t="str">
        <f>TEXT(Table2[[#This Row],[Order Date]],"mmm")</f>
        <v>Oct</v>
      </c>
      <c r="S569" s="18"/>
    </row>
    <row r="570" spans="1:19" x14ac:dyDescent="0.2">
      <c r="A570" s="1">
        <v>569</v>
      </c>
      <c r="B570" s="1" t="s">
        <v>1196</v>
      </c>
      <c r="C570" s="2">
        <v>43739</v>
      </c>
      <c r="D570" s="1" t="s">
        <v>36</v>
      </c>
      <c r="E570" s="1" t="s">
        <v>1197</v>
      </c>
      <c r="F570" s="1" t="s">
        <v>67</v>
      </c>
      <c r="G570" s="1" t="s">
        <v>68</v>
      </c>
      <c r="H570" s="1" t="s">
        <v>31</v>
      </c>
      <c r="I570" s="1" t="s">
        <v>32</v>
      </c>
      <c r="J570" s="1" t="s">
        <v>63</v>
      </c>
      <c r="K570" s="1" t="s">
        <v>1200</v>
      </c>
      <c r="L570" s="17">
        <v>19.440000000000001</v>
      </c>
      <c r="M570" s="1">
        <v>3</v>
      </c>
      <c r="N570" s="1">
        <v>0</v>
      </c>
      <c r="O570" s="17">
        <v>9.3312000000000008</v>
      </c>
      <c r="P570" s="17">
        <f>('Work File (2)'!$L570*'Work File (2)'!$M570)*(1-'Work File (2)'!$N570)</f>
        <v>58.320000000000007</v>
      </c>
      <c r="Q570" s="1">
        <f>YEAR(Table2[[#This Row],[Order Date]])</f>
        <v>2019</v>
      </c>
      <c r="R570" s="18" t="str">
        <f>TEXT(Table2[[#This Row],[Order Date]],"mmm")</f>
        <v>Oct</v>
      </c>
      <c r="S570" s="18"/>
    </row>
    <row r="571" spans="1:19" x14ac:dyDescent="0.2">
      <c r="A571" s="1">
        <v>570</v>
      </c>
      <c r="B571" s="1" t="s">
        <v>1196</v>
      </c>
      <c r="C571" s="2">
        <v>43739</v>
      </c>
      <c r="D571" s="1" t="s">
        <v>36</v>
      </c>
      <c r="E571" s="1" t="s">
        <v>1197</v>
      </c>
      <c r="F571" s="1" t="s">
        <v>67</v>
      </c>
      <c r="G571" s="1" t="s">
        <v>68</v>
      </c>
      <c r="H571" s="1" t="s">
        <v>31</v>
      </c>
      <c r="I571" s="1" t="s">
        <v>22</v>
      </c>
      <c r="J571" s="1" t="s">
        <v>25</v>
      </c>
      <c r="K571" s="1" t="s">
        <v>1201</v>
      </c>
      <c r="L571" s="17">
        <v>451.15199999999993</v>
      </c>
      <c r="M571" s="1">
        <v>3</v>
      </c>
      <c r="N571" s="1">
        <v>0.2</v>
      </c>
      <c r="O571" s="17">
        <v>0</v>
      </c>
      <c r="P571" s="17">
        <f>('Work File (2)'!$L571*'Work File (2)'!$M571)*(1-'Work File (2)'!$N571)</f>
        <v>1082.7647999999997</v>
      </c>
      <c r="Q571" s="1">
        <f>YEAR(Table2[[#This Row],[Order Date]])</f>
        <v>2019</v>
      </c>
      <c r="R571" s="18" t="str">
        <f>TEXT(Table2[[#This Row],[Order Date]],"mmm")</f>
        <v>Oct</v>
      </c>
      <c r="S571" s="18"/>
    </row>
    <row r="572" spans="1:19" x14ac:dyDescent="0.2">
      <c r="A572" s="1">
        <v>571</v>
      </c>
      <c r="B572" s="1" t="s">
        <v>1202</v>
      </c>
      <c r="C572" s="2">
        <v>43827</v>
      </c>
      <c r="D572" s="1" t="s">
        <v>36</v>
      </c>
      <c r="E572" s="1" t="s">
        <v>1203</v>
      </c>
      <c r="F572" s="1" t="s">
        <v>178</v>
      </c>
      <c r="G572" s="1" t="s">
        <v>179</v>
      </c>
      <c r="H572" s="1" t="s">
        <v>103</v>
      </c>
      <c r="I572" s="1" t="s">
        <v>32</v>
      </c>
      <c r="J572" s="1" t="s">
        <v>33</v>
      </c>
      <c r="K572" s="1" t="s">
        <v>1180</v>
      </c>
      <c r="L572" s="17">
        <v>72.45</v>
      </c>
      <c r="M572" s="1">
        <v>7</v>
      </c>
      <c r="N572" s="1">
        <v>0</v>
      </c>
      <c r="O572" s="17">
        <v>34.775999999999996</v>
      </c>
      <c r="P572" s="17">
        <f>('Work File (2)'!$L572*'Work File (2)'!$M572)*(1-'Work File (2)'!$N572)</f>
        <v>507.15000000000003</v>
      </c>
      <c r="Q572" s="1">
        <f>YEAR(Table2[[#This Row],[Order Date]])</f>
        <v>2019</v>
      </c>
      <c r="R572" s="18" t="str">
        <f>TEXT(Table2[[#This Row],[Order Date]],"mmm")</f>
        <v>Dec</v>
      </c>
      <c r="S572" s="18"/>
    </row>
    <row r="573" spans="1:19" x14ac:dyDescent="0.2">
      <c r="A573" s="1">
        <v>572</v>
      </c>
      <c r="B573" s="1" t="s">
        <v>1202</v>
      </c>
      <c r="C573" s="2">
        <v>43827</v>
      </c>
      <c r="D573" s="1" t="s">
        <v>36</v>
      </c>
      <c r="E573" s="1" t="s">
        <v>1203</v>
      </c>
      <c r="F573" s="1" t="s">
        <v>178</v>
      </c>
      <c r="G573" s="1" t="s">
        <v>179</v>
      </c>
      <c r="H573" s="1" t="s">
        <v>103</v>
      </c>
      <c r="I573" s="1" t="s">
        <v>32</v>
      </c>
      <c r="J573" s="1" t="s">
        <v>180</v>
      </c>
      <c r="K573" s="1" t="s">
        <v>553</v>
      </c>
      <c r="L573" s="17">
        <v>13.96</v>
      </c>
      <c r="M573" s="1">
        <v>4</v>
      </c>
      <c r="N573" s="1">
        <v>0</v>
      </c>
      <c r="O573" s="17">
        <v>6.4215999999999998</v>
      </c>
      <c r="P573" s="17">
        <f>('Work File (2)'!$L573*'Work File (2)'!$M573)*(1-'Work File (2)'!$N573)</f>
        <v>55.84</v>
      </c>
      <c r="Q573" s="1">
        <f>YEAR(Table2[[#This Row],[Order Date]])</f>
        <v>2019</v>
      </c>
      <c r="R573" s="18" t="str">
        <f>TEXT(Table2[[#This Row],[Order Date]],"mmm")</f>
        <v>Dec</v>
      </c>
      <c r="S573" s="18"/>
    </row>
    <row r="574" spans="1:19" x14ac:dyDescent="0.2">
      <c r="A574" s="1">
        <v>573</v>
      </c>
      <c r="B574" s="1" t="s">
        <v>1202</v>
      </c>
      <c r="C574" s="2">
        <v>43827</v>
      </c>
      <c r="D574" s="1" t="s">
        <v>36</v>
      </c>
      <c r="E574" s="1" t="s">
        <v>1203</v>
      </c>
      <c r="F574" s="1" t="s">
        <v>178</v>
      </c>
      <c r="G574" s="1" t="s">
        <v>179</v>
      </c>
      <c r="H574" s="1" t="s">
        <v>103</v>
      </c>
      <c r="I574" s="1" t="s">
        <v>32</v>
      </c>
      <c r="J574" s="1" t="s">
        <v>53</v>
      </c>
      <c r="K574" s="1" t="s">
        <v>760</v>
      </c>
      <c r="L574" s="17">
        <v>33.264000000000003</v>
      </c>
      <c r="M574" s="1">
        <v>7</v>
      </c>
      <c r="N574" s="1">
        <v>0.2</v>
      </c>
      <c r="O574" s="17">
        <v>11.226599999999999</v>
      </c>
      <c r="P574" s="17">
        <f>('Work File (2)'!$L574*'Work File (2)'!$M574)*(1-'Work File (2)'!$N574)</f>
        <v>186.27840000000003</v>
      </c>
      <c r="Q574" s="1">
        <f>YEAR(Table2[[#This Row],[Order Date]])</f>
        <v>2019</v>
      </c>
      <c r="R574" s="18" t="str">
        <f>TEXT(Table2[[#This Row],[Order Date]],"mmm")</f>
        <v>Dec</v>
      </c>
      <c r="S574" s="18"/>
    </row>
    <row r="575" spans="1:19" x14ac:dyDescent="0.2">
      <c r="A575" s="1">
        <v>574</v>
      </c>
      <c r="B575" s="1" t="s">
        <v>1202</v>
      </c>
      <c r="C575" s="2">
        <v>43827</v>
      </c>
      <c r="D575" s="1" t="s">
        <v>36</v>
      </c>
      <c r="E575" s="1" t="s">
        <v>1203</v>
      </c>
      <c r="F575" s="1" t="s">
        <v>178</v>
      </c>
      <c r="G575" s="1" t="s">
        <v>179</v>
      </c>
      <c r="H575" s="1" t="s">
        <v>103</v>
      </c>
      <c r="I575" s="1" t="s">
        <v>50</v>
      </c>
      <c r="J575" s="1" t="s">
        <v>51</v>
      </c>
      <c r="K575" s="1" t="s">
        <v>1204</v>
      </c>
      <c r="L575" s="17">
        <v>14.850000000000001</v>
      </c>
      <c r="M575" s="1">
        <v>3</v>
      </c>
      <c r="N575" s="1">
        <v>0</v>
      </c>
      <c r="O575" s="17">
        <v>4.0095000000000001</v>
      </c>
      <c r="P575" s="17">
        <f>('Work File (2)'!$L575*'Work File (2)'!$M575)*(1-'Work File (2)'!$N575)</f>
        <v>44.550000000000004</v>
      </c>
      <c r="Q575" s="1">
        <f>YEAR(Table2[[#This Row],[Order Date]])</f>
        <v>2019</v>
      </c>
      <c r="R575" s="18" t="str">
        <f>TEXT(Table2[[#This Row],[Order Date]],"mmm")</f>
        <v>Dec</v>
      </c>
      <c r="S575" s="18"/>
    </row>
    <row r="576" spans="1:19" x14ac:dyDescent="0.2">
      <c r="A576" s="1">
        <v>575</v>
      </c>
      <c r="B576" s="1" t="s">
        <v>1205</v>
      </c>
      <c r="C576" s="2">
        <v>43407</v>
      </c>
      <c r="D576" s="1" t="s">
        <v>36</v>
      </c>
      <c r="E576" s="1" t="s">
        <v>1206</v>
      </c>
      <c r="F576" s="1" t="s">
        <v>1207</v>
      </c>
      <c r="G576" s="1" t="s">
        <v>68</v>
      </c>
      <c r="H576" s="1" t="s">
        <v>31</v>
      </c>
      <c r="I576" s="1" t="s">
        <v>32</v>
      </c>
      <c r="J576" s="1" t="s">
        <v>48</v>
      </c>
      <c r="K576" s="1" t="s">
        <v>1208</v>
      </c>
      <c r="L576" s="17">
        <v>8.82</v>
      </c>
      <c r="M576" s="1">
        <v>3</v>
      </c>
      <c r="N576" s="1">
        <v>0</v>
      </c>
      <c r="O576" s="17">
        <v>2.3814000000000002</v>
      </c>
      <c r="P576" s="17">
        <f>('Work File (2)'!$L576*'Work File (2)'!$M576)*(1-'Work File (2)'!$N576)</f>
        <v>26.46</v>
      </c>
      <c r="Q576" s="1">
        <f>YEAR(Table2[[#This Row],[Order Date]])</f>
        <v>2018</v>
      </c>
      <c r="R576" s="18" t="str">
        <f>TEXT(Table2[[#This Row],[Order Date]],"mmm")</f>
        <v>Nov</v>
      </c>
      <c r="S576" s="18"/>
    </row>
    <row r="577" spans="1:19" x14ac:dyDescent="0.2">
      <c r="A577" s="1">
        <v>576</v>
      </c>
      <c r="B577" s="1" t="s">
        <v>1209</v>
      </c>
      <c r="C577" s="2">
        <v>42996</v>
      </c>
      <c r="D577" s="1" t="s">
        <v>17</v>
      </c>
      <c r="E577" s="1" t="s">
        <v>1210</v>
      </c>
      <c r="F577" s="1" t="s">
        <v>736</v>
      </c>
      <c r="G577" s="1" t="s">
        <v>30</v>
      </c>
      <c r="H577" s="1" t="s">
        <v>31</v>
      </c>
      <c r="I577" s="1" t="s">
        <v>32</v>
      </c>
      <c r="J577" s="1" t="s">
        <v>63</v>
      </c>
      <c r="K577" s="1" t="s">
        <v>1198</v>
      </c>
      <c r="L577" s="17">
        <v>160.72</v>
      </c>
      <c r="M577" s="1">
        <v>14</v>
      </c>
      <c r="N577" s="1">
        <v>0</v>
      </c>
      <c r="O577" s="17">
        <v>78.752800000000008</v>
      </c>
      <c r="P577" s="17">
        <f>('Work File (2)'!$L577*'Work File (2)'!$M577)*(1-'Work File (2)'!$N577)</f>
        <v>2250.08</v>
      </c>
      <c r="Q577" s="1">
        <f>YEAR(Table2[[#This Row],[Order Date]])</f>
        <v>2017</v>
      </c>
      <c r="R577" s="18" t="str">
        <f>TEXT(Table2[[#This Row],[Order Date]],"mmm")</f>
        <v>Sep</v>
      </c>
      <c r="S577" s="18"/>
    </row>
    <row r="578" spans="1:19" x14ac:dyDescent="0.2">
      <c r="A578" s="1">
        <v>577</v>
      </c>
      <c r="B578" s="1" t="s">
        <v>1209</v>
      </c>
      <c r="C578" s="2">
        <v>42996</v>
      </c>
      <c r="D578" s="1" t="s">
        <v>17</v>
      </c>
      <c r="E578" s="1" t="s">
        <v>1210</v>
      </c>
      <c r="F578" s="1" t="s">
        <v>736</v>
      </c>
      <c r="G578" s="1" t="s">
        <v>30</v>
      </c>
      <c r="H578" s="1" t="s">
        <v>31</v>
      </c>
      <c r="I578" s="1" t="s">
        <v>32</v>
      </c>
      <c r="J578" s="1" t="s">
        <v>63</v>
      </c>
      <c r="K578" s="1" t="s">
        <v>1211</v>
      </c>
      <c r="L578" s="17">
        <v>19.920000000000002</v>
      </c>
      <c r="M578" s="1">
        <v>4</v>
      </c>
      <c r="N578" s="1">
        <v>0</v>
      </c>
      <c r="O578" s="17">
        <v>9.7608000000000015</v>
      </c>
      <c r="P578" s="17">
        <f>('Work File (2)'!$L578*'Work File (2)'!$M578)*(1-'Work File (2)'!$N578)</f>
        <v>79.680000000000007</v>
      </c>
      <c r="Q578" s="1">
        <f>YEAR(Table2[[#This Row],[Order Date]])</f>
        <v>2017</v>
      </c>
      <c r="R578" s="18" t="str">
        <f>TEXT(Table2[[#This Row],[Order Date]],"mmm")</f>
        <v>Sep</v>
      </c>
      <c r="S578" s="18"/>
    </row>
    <row r="579" spans="1:19" x14ac:dyDescent="0.2">
      <c r="A579" s="1">
        <v>578</v>
      </c>
      <c r="B579" s="1" t="s">
        <v>1209</v>
      </c>
      <c r="C579" s="2">
        <v>42996</v>
      </c>
      <c r="D579" s="1" t="s">
        <v>17</v>
      </c>
      <c r="E579" s="1" t="s">
        <v>1210</v>
      </c>
      <c r="F579" s="1" t="s">
        <v>736</v>
      </c>
      <c r="G579" s="1" t="s">
        <v>30</v>
      </c>
      <c r="H579" s="1" t="s">
        <v>31</v>
      </c>
      <c r="I579" s="1" t="s">
        <v>32</v>
      </c>
      <c r="J579" s="1" t="s">
        <v>372</v>
      </c>
      <c r="K579" s="1" t="s">
        <v>1212</v>
      </c>
      <c r="L579" s="17">
        <v>7.3</v>
      </c>
      <c r="M579" s="1">
        <v>2</v>
      </c>
      <c r="N579" s="1">
        <v>0</v>
      </c>
      <c r="O579" s="17">
        <v>2.1899999999999995</v>
      </c>
      <c r="P579" s="17">
        <f>('Work File (2)'!$L579*'Work File (2)'!$M579)*(1-'Work File (2)'!$N579)</f>
        <v>14.6</v>
      </c>
      <c r="Q579" s="1">
        <f>YEAR(Table2[[#This Row],[Order Date]])</f>
        <v>2017</v>
      </c>
      <c r="R579" s="18" t="str">
        <f>TEXT(Table2[[#This Row],[Order Date]],"mmm")</f>
        <v>Sep</v>
      </c>
      <c r="S579" s="18"/>
    </row>
    <row r="580" spans="1:19" x14ac:dyDescent="0.2">
      <c r="A580" s="1">
        <v>579</v>
      </c>
      <c r="B580" s="1" t="s">
        <v>1213</v>
      </c>
      <c r="C580" s="2">
        <v>43666</v>
      </c>
      <c r="D580" s="1" t="s">
        <v>36</v>
      </c>
      <c r="E580" s="1" t="s">
        <v>1214</v>
      </c>
      <c r="F580" s="1" t="s">
        <v>200</v>
      </c>
      <c r="G580" s="1" t="s">
        <v>142</v>
      </c>
      <c r="H580" s="1" t="s">
        <v>74</v>
      </c>
      <c r="I580" s="1" t="s">
        <v>32</v>
      </c>
      <c r="J580" s="1" t="s">
        <v>42</v>
      </c>
      <c r="K580" s="1" t="s">
        <v>354</v>
      </c>
      <c r="L580" s="17">
        <v>69.712000000000003</v>
      </c>
      <c r="M580" s="1">
        <v>2</v>
      </c>
      <c r="N580" s="1">
        <v>0.2</v>
      </c>
      <c r="O580" s="17">
        <v>8.7139999999999951</v>
      </c>
      <c r="P580" s="17">
        <f>('Work File (2)'!$L580*'Work File (2)'!$M580)*(1-'Work File (2)'!$N580)</f>
        <v>111.53920000000001</v>
      </c>
      <c r="Q580" s="1">
        <f>YEAR(Table2[[#This Row],[Order Date]])</f>
        <v>2019</v>
      </c>
      <c r="R580" s="18" t="str">
        <f>TEXT(Table2[[#This Row],[Order Date]],"mmm")</f>
        <v>Jul</v>
      </c>
      <c r="S580" s="18"/>
    </row>
    <row r="581" spans="1:19" x14ac:dyDescent="0.2">
      <c r="A581" s="1">
        <v>580</v>
      </c>
      <c r="B581" s="1" t="s">
        <v>1213</v>
      </c>
      <c r="C581" s="2">
        <v>43666</v>
      </c>
      <c r="D581" s="1" t="s">
        <v>36</v>
      </c>
      <c r="E581" s="1" t="s">
        <v>1214</v>
      </c>
      <c r="F581" s="1" t="s">
        <v>200</v>
      </c>
      <c r="G581" s="1" t="s">
        <v>142</v>
      </c>
      <c r="H581" s="1" t="s">
        <v>74</v>
      </c>
      <c r="I581" s="1" t="s">
        <v>22</v>
      </c>
      <c r="J581" s="1" t="s">
        <v>46</v>
      </c>
      <c r="K581" s="1" t="s">
        <v>1215</v>
      </c>
      <c r="L581" s="17">
        <v>8.7919999999999998</v>
      </c>
      <c r="M581" s="1">
        <v>1</v>
      </c>
      <c r="N581" s="1">
        <v>0.6</v>
      </c>
      <c r="O581" s="17">
        <v>-5.7148000000000003</v>
      </c>
      <c r="P581" s="17">
        <f>('Work File (2)'!$L581*'Work File (2)'!$M581)*(1-'Work File (2)'!$N581)</f>
        <v>3.5167999999999999</v>
      </c>
      <c r="Q581" s="1">
        <f>YEAR(Table2[[#This Row],[Order Date]])</f>
        <v>2019</v>
      </c>
      <c r="R581" s="18" t="str">
        <f>TEXT(Table2[[#This Row],[Order Date]],"mmm")</f>
        <v>Jul</v>
      </c>
      <c r="S581" s="18"/>
    </row>
    <row r="582" spans="1:19" x14ac:dyDescent="0.2">
      <c r="A582" s="1">
        <v>581</v>
      </c>
      <c r="B582" s="1" t="s">
        <v>1216</v>
      </c>
      <c r="C582" s="2">
        <v>42988</v>
      </c>
      <c r="D582" s="1" t="s">
        <v>36</v>
      </c>
      <c r="E582" s="1" t="s">
        <v>1217</v>
      </c>
      <c r="F582" s="1" t="s">
        <v>29</v>
      </c>
      <c r="G582" s="1" t="s">
        <v>30</v>
      </c>
      <c r="H582" s="1" t="s">
        <v>31</v>
      </c>
      <c r="I582" s="1" t="s">
        <v>32</v>
      </c>
      <c r="J582" s="1" t="s">
        <v>372</v>
      </c>
      <c r="K582" s="1" t="s">
        <v>1218</v>
      </c>
      <c r="L582" s="17">
        <v>51.52</v>
      </c>
      <c r="M582" s="1">
        <v>4</v>
      </c>
      <c r="N582" s="1">
        <v>0</v>
      </c>
      <c r="O582" s="17">
        <v>1.5456000000000003</v>
      </c>
      <c r="P582" s="17">
        <f>('Work File (2)'!$L582*'Work File (2)'!$M582)*(1-'Work File (2)'!$N582)</f>
        <v>206.08</v>
      </c>
      <c r="Q582" s="1">
        <f>YEAR(Table2[[#This Row],[Order Date]])</f>
        <v>2017</v>
      </c>
      <c r="R582" s="18" t="str">
        <f>TEXT(Table2[[#This Row],[Order Date]],"mmm")</f>
        <v>Sep</v>
      </c>
      <c r="S582" s="18"/>
    </row>
    <row r="583" spans="1:19" x14ac:dyDescent="0.2">
      <c r="A583" s="1">
        <v>582</v>
      </c>
      <c r="B583" s="1" t="s">
        <v>1219</v>
      </c>
      <c r="C583" s="2">
        <v>43800</v>
      </c>
      <c r="D583" s="1" t="s">
        <v>36</v>
      </c>
      <c r="E583" s="1" t="s">
        <v>1220</v>
      </c>
      <c r="F583" s="1" t="s">
        <v>516</v>
      </c>
      <c r="G583" s="1" t="s">
        <v>298</v>
      </c>
      <c r="H583" s="1" t="s">
        <v>31</v>
      </c>
      <c r="I583" s="1" t="s">
        <v>50</v>
      </c>
      <c r="J583" s="1" t="s">
        <v>51</v>
      </c>
      <c r="K583" s="1" t="s">
        <v>131</v>
      </c>
      <c r="L583" s="17">
        <v>470.37600000000009</v>
      </c>
      <c r="M583" s="1">
        <v>3</v>
      </c>
      <c r="N583" s="1">
        <v>0.2</v>
      </c>
      <c r="O583" s="17">
        <v>52.917299999999955</v>
      </c>
      <c r="P583" s="17">
        <f>('Work File (2)'!$L583*'Work File (2)'!$M583)*(1-'Work File (2)'!$N583)</f>
        <v>1128.9024000000002</v>
      </c>
      <c r="Q583" s="1">
        <f>YEAR(Table2[[#This Row],[Order Date]])</f>
        <v>2019</v>
      </c>
      <c r="R583" s="18" t="str">
        <f>TEXT(Table2[[#This Row],[Order Date]],"mmm")</f>
        <v>Dec</v>
      </c>
      <c r="S583" s="18"/>
    </row>
    <row r="584" spans="1:19" x14ac:dyDescent="0.2">
      <c r="A584" s="1">
        <v>583</v>
      </c>
      <c r="B584" s="1" t="s">
        <v>1219</v>
      </c>
      <c r="C584" s="2">
        <v>43800</v>
      </c>
      <c r="D584" s="1" t="s">
        <v>36</v>
      </c>
      <c r="E584" s="1" t="s">
        <v>1220</v>
      </c>
      <c r="F584" s="1" t="s">
        <v>516</v>
      </c>
      <c r="G584" s="1" t="s">
        <v>298</v>
      </c>
      <c r="H584" s="1" t="s">
        <v>31</v>
      </c>
      <c r="I584" s="1" t="s">
        <v>50</v>
      </c>
      <c r="J584" s="1" t="s">
        <v>51</v>
      </c>
      <c r="K584" s="1" t="s">
        <v>1221</v>
      </c>
      <c r="L584" s="17">
        <v>105.584</v>
      </c>
      <c r="M584" s="1">
        <v>2</v>
      </c>
      <c r="N584" s="1">
        <v>0.2</v>
      </c>
      <c r="O584" s="17">
        <v>9.2386000000000053</v>
      </c>
      <c r="P584" s="17">
        <f>('Work File (2)'!$L584*'Work File (2)'!$M584)*(1-'Work File (2)'!$N584)</f>
        <v>168.93440000000001</v>
      </c>
      <c r="Q584" s="1">
        <f>YEAR(Table2[[#This Row],[Order Date]])</f>
        <v>2019</v>
      </c>
      <c r="R584" s="18" t="str">
        <f>TEXT(Table2[[#This Row],[Order Date]],"mmm")</f>
        <v>Dec</v>
      </c>
      <c r="S584" s="18"/>
    </row>
    <row r="585" spans="1:19" x14ac:dyDescent="0.2">
      <c r="A585" s="1">
        <v>584</v>
      </c>
      <c r="B585" s="1" t="s">
        <v>1219</v>
      </c>
      <c r="C585" s="2">
        <v>43800</v>
      </c>
      <c r="D585" s="1" t="s">
        <v>36</v>
      </c>
      <c r="E585" s="1" t="s">
        <v>1220</v>
      </c>
      <c r="F585" s="1" t="s">
        <v>516</v>
      </c>
      <c r="G585" s="1" t="s">
        <v>298</v>
      </c>
      <c r="H585" s="1" t="s">
        <v>31</v>
      </c>
      <c r="I585" s="1" t="s">
        <v>32</v>
      </c>
      <c r="J585" s="1" t="s">
        <v>55</v>
      </c>
      <c r="K585" s="1" t="s">
        <v>286</v>
      </c>
      <c r="L585" s="17">
        <v>31.152000000000001</v>
      </c>
      <c r="M585" s="1">
        <v>3</v>
      </c>
      <c r="N585" s="1">
        <v>0.2</v>
      </c>
      <c r="O585" s="17">
        <v>3.5045999999999964</v>
      </c>
      <c r="P585" s="17">
        <f>('Work File (2)'!$L585*'Work File (2)'!$M585)*(1-'Work File (2)'!$N585)</f>
        <v>74.764800000000008</v>
      </c>
      <c r="Q585" s="1">
        <f>YEAR(Table2[[#This Row],[Order Date]])</f>
        <v>2019</v>
      </c>
      <c r="R585" s="18" t="str">
        <f>TEXT(Table2[[#This Row],[Order Date]],"mmm")</f>
        <v>Dec</v>
      </c>
      <c r="S585" s="18"/>
    </row>
    <row r="586" spans="1:19" x14ac:dyDescent="0.2">
      <c r="A586" s="1">
        <v>585</v>
      </c>
      <c r="B586" s="1" t="s">
        <v>1219</v>
      </c>
      <c r="C586" s="2">
        <v>43800</v>
      </c>
      <c r="D586" s="1" t="s">
        <v>36</v>
      </c>
      <c r="E586" s="1" t="s">
        <v>1220</v>
      </c>
      <c r="F586" s="1" t="s">
        <v>516</v>
      </c>
      <c r="G586" s="1" t="s">
        <v>298</v>
      </c>
      <c r="H586" s="1" t="s">
        <v>31</v>
      </c>
      <c r="I586" s="1" t="s">
        <v>32</v>
      </c>
      <c r="J586" s="1" t="s">
        <v>53</v>
      </c>
      <c r="K586" s="1" t="s">
        <v>1222</v>
      </c>
      <c r="L586" s="17">
        <v>6.7830000000000004</v>
      </c>
      <c r="M586" s="1">
        <v>7</v>
      </c>
      <c r="N586" s="1">
        <v>0.7</v>
      </c>
      <c r="O586" s="17">
        <v>-4.7480999999999973</v>
      </c>
      <c r="P586" s="17">
        <f>('Work File (2)'!$L586*'Work File (2)'!$M586)*(1-'Work File (2)'!$N586)</f>
        <v>14.244300000000003</v>
      </c>
      <c r="Q586" s="1">
        <f>YEAR(Table2[[#This Row],[Order Date]])</f>
        <v>2019</v>
      </c>
      <c r="R586" s="18" t="str">
        <f>TEXT(Table2[[#This Row],[Order Date]],"mmm")</f>
        <v>Dec</v>
      </c>
      <c r="S586" s="18"/>
    </row>
    <row r="587" spans="1:19" x14ac:dyDescent="0.2">
      <c r="A587" s="1">
        <v>586</v>
      </c>
      <c r="B587" s="1" t="s">
        <v>1219</v>
      </c>
      <c r="C587" s="2">
        <v>43800</v>
      </c>
      <c r="D587" s="1" t="s">
        <v>36</v>
      </c>
      <c r="E587" s="1" t="s">
        <v>1220</v>
      </c>
      <c r="F587" s="1" t="s">
        <v>516</v>
      </c>
      <c r="G587" s="1" t="s">
        <v>298</v>
      </c>
      <c r="H587" s="1" t="s">
        <v>31</v>
      </c>
      <c r="I587" s="1" t="s">
        <v>50</v>
      </c>
      <c r="J587" s="1" t="s">
        <v>51</v>
      </c>
      <c r="K587" s="1" t="s">
        <v>403</v>
      </c>
      <c r="L587" s="17">
        <v>406.36799999999999</v>
      </c>
      <c r="M587" s="1">
        <v>4</v>
      </c>
      <c r="N587" s="1">
        <v>0.2</v>
      </c>
      <c r="O587" s="17">
        <v>30.477599999999981</v>
      </c>
      <c r="P587" s="17">
        <f>('Work File (2)'!$L587*'Work File (2)'!$M587)*(1-'Work File (2)'!$N587)</f>
        <v>1300.3776</v>
      </c>
      <c r="Q587" s="1">
        <f>YEAR(Table2[[#This Row],[Order Date]])</f>
        <v>2019</v>
      </c>
      <c r="R587" s="18" t="str">
        <f>TEXT(Table2[[#This Row],[Order Date]],"mmm")</f>
        <v>Dec</v>
      </c>
      <c r="S587" s="18"/>
    </row>
    <row r="588" spans="1:19" x14ac:dyDescent="0.2">
      <c r="A588" s="1">
        <v>587</v>
      </c>
      <c r="B588" s="1" t="s">
        <v>1223</v>
      </c>
      <c r="C588" s="2">
        <v>42919</v>
      </c>
      <c r="D588" s="1" t="s">
        <v>36</v>
      </c>
      <c r="E588" s="1" t="s">
        <v>1224</v>
      </c>
      <c r="F588" s="1" t="s">
        <v>916</v>
      </c>
      <c r="G588" s="1" t="s">
        <v>20</v>
      </c>
      <c r="H588" s="1" t="s">
        <v>21</v>
      </c>
      <c r="I588" s="1" t="s">
        <v>22</v>
      </c>
      <c r="J588" s="1" t="s">
        <v>25</v>
      </c>
      <c r="K588" s="1" t="s">
        <v>904</v>
      </c>
      <c r="L588" s="17">
        <v>70.98</v>
      </c>
      <c r="M588" s="1">
        <v>1</v>
      </c>
      <c r="N588" s="1">
        <v>0</v>
      </c>
      <c r="O588" s="17">
        <v>4.968599999999995</v>
      </c>
      <c r="P588" s="17">
        <f>('Work File (2)'!$L588*'Work File (2)'!$M588)*(1-'Work File (2)'!$N588)</f>
        <v>70.98</v>
      </c>
      <c r="Q588" s="1">
        <f>YEAR(Table2[[#This Row],[Order Date]])</f>
        <v>2017</v>
      </c>
      <c r="R588" s="18" t="str">
        <f>TEXT(Table2[[#This Row],[Order Date]],"mmm")</f>
        <v>Jul</v>
      </c>
      <c r="S588" s="18"/>
    </row>
    <row r="589" spans="1:19" x14ac:dyDescent="0.2">
      <c r="A589" s="1">
        <v>588</v>
      </c>
      <c r="B589" s="1" t="s">
        <v>1223</v>
      </c>
      <c r="C589" s="2">
        <v>42919</v>
      </c>
      <c r="D589" s="1" t="s">
        <v>36</v>
      </c>
      <c r="E589" s="1" t="s">
        <v>1224</v>
      </c>
      <c r="F589" s="1" t="s">
        <v>916</v>
      </c>
      <c r="G589" s="1" t="s">
        <v>20</v>
      </c>
      <c r="H589" s="1" t="s">
        <v>21</v>
      </c>
      <c r="I589" s="1" t="s">
        <v>32</v>
      </c>
      <c r="J589" s="1" t="s">
        <v>33</v>
      </c>
      <c r="K589" s="1" t="s">
        <v>1225</v>
      </c>
      <c r="L589" s="17">
        <v>294.93</v>
      </c>
      <c r="M589" s="1">
        <v>3</v>
      </c>
      <c r="N589" s="1">
        <v>0</v>
      </c>
      <c r="O589" s="17">
        <v>144.51570000000001</v>
      </c>
      <c r="P589" s="17">
        <f>('Work File (2)'!$L589*'Work File (2)'!$M589)*(1-'Work File (2)'!$N589)</f>
        <v>884.79</v>
      </c>
      <c r="Q589" s="1">
        <f>YEAR(Table2[[#This Row],[Order Date]])</f>
        <v>2017</v>
      </c>
      <c r="R589" s="18" t="str">
        <f>TEXT(Table2[[#This Row],[Order Date]],"mmm")</f>
        <v>Jul</v>
      </c>
      <c r="S589" s="18"/>
    </row>
    <row r="590" spans="1:19" x14ac:dyDescent="0.2">
      <c r="A590" s="1">
        <v>589</v>
      </c>
      <c r="B590" s="1" t="s">
        <v>1226</v>
      </c>
      <c r="C590" s="2">
        <v>43179</v>
      </c>
      <c r="D590" s="1" t="s">
        <v>36</v>
      </c>
      <c r="E590" s="1" t="s">
        <v>1227</v>
      </c>
      <c r="F590" s="1" t="s">
        <v>1228</v>
      </c>
      <c r="G590" s="1" t="s">
        <v>275</v>
      </c>
      <c r="H590" s="1" t="s">
        <v>31</v>
      </c>
      <c r="I590" s="1" t="s">
        <v>50</v>
      </c>
      <c r="J590" s="1" t="s">
        <v>51</v>
      </c>
      <c r="K590" s="1" t="s">
        <v>1229</v>
      </c>
      <c r="L590" s="17">
        <v>84.784000000000006</v>
      </c>
      <c r="M590" s="1">
        <v>2</v>
      </c>
      <c r="N590" s="1">
        <v>0.2</v>
      </c>
      <c r="O590" s="17">
        <v>-20.136200000000006</v>
      </c>
      <c r="P590" s="17">
        <f>('Work File (2)'!$L590*'Work File (2)'!$M590)*(1-'Work File (2)'!$N590)</f>
        <v>135.65440000000001</v>
      </c>
      <c r="Q590" s="1">
        <f>YEAR(Table2[[#This Row],[Order Date]])</f>
        <v>2018</v>
      </c>
      <c r="R590" s="18" t="str">
        <f>TEXT(Table2[[#This Row],[Order Date]],"mmm")</f>
        <v>Mar</v>
      </c>
      <c r="S590" s="18"/>
    </row>
    <row r="591" spans="1:19" x14ac:dyDescent="0.2">
      <c r="A591" s="1">
        <v>590</v>
      </c>
      <c r="B591" s="1" t="s">
        <v>1226</v>
      </c>
      <c r="C591" s="2">
        <v>43179</v>
      </c>
      <c r="D591" s="1" t="s">
        <v>36</v>
      </c>
      <c r="E591" s="1" t="s">
        <v>1227</v>
      </c>
      <c r="F591" s="1" t="s">
        <v>1228</v>
      </c>
      <c r="G591" s="1" t="s">
        <v>275</v>
      </c>
      <c r="H591" s="1" t="s">
        <v>31</v>
      </c>
      <c r="I591" s="1" t="s">
        <v>32</v>
      </c>
      <c r="J591" s="1" t="s">
        <v>63</v>
      </c>
      <c r="K591" s="1" t="s">
        <v>1230</v>
      </c>
      <c r="L591" s="17">
        <v>20.736000000000004</v>
      </c>
      <c r="M591" s="1">
        <v>4</v>
      </c>
      <c r="N591" s="1">
        <v>0.2</v>
      </c>
      <c r="O591" s="17">
        <v>7.2576000000000001</v>
      </c>
      <c r="P591" s="17">
        <f>('Work File (2)'!$L591*'Work File (2)'!$M591)*(1-'Work File (2)'!$N591)</f>
        <v>66.355200000000011</v>
      </c>
      <c r="Q591" s="1">
        <f>YEAR(Table2[[#This Row],[Order Date]])</f>
        <v>2018</v>
      </c>
      <c r="R591" s="18" t="str">
        <f>TEXT(Table2[[#This Row],[Order Date]],"mmm")</f>
        <v>Mar</v>
      </c>
      <c r="S591" s="18"/>
    </row>
    <row r="592" spans="1:19" x14ac:dyDescent="0.2">
      <c r="A592" s="1">
        <v>591</v>
      </c>
      <c r="B592" s="1" t="s">
        <v>1226</v>
      </c>
      <c r="C592" s="2">
        <v>43179</v>
      </c>
      <c r="D592" s="1" t="s">
        <v>36</v>
      </c>
      <c r="E592" s="1" t="s">
        <v>1227</v>
      </c>
      <c r="F592" s="1" t="s">
        <v>1228</v>
      </c>
      <c r="G592" s="1" t="s">
        <v>275</v>
      </c>
      <c r="H592" s="1" t="s">
        <v>31</v>
      </c>
      <c r="I592" s="1" t="s">
        <v>32</v>
      </c>
      <c r="J592" s="1" t="s">
        <v>53</v>
      </c>
      <c r="K592" s="1" t="s">
        <v>1068</v>
      </c>
      <c r="L592" s="17">
        <v>16.821000000000005</v>
      </c>
      <c r="M592" s="1">
        <v>3</v>
      </c>
      <c r="N592" s="1">
        <v>0.7</v>
      </c>
      <c r="O592" s="17">
        <v>-12.896100000000004</v>
      </c>
      <c r="P592" s="17">
        <f>('Work File (2)'!$L592*'Work File (2)'!$M592)*(1-'Work File (2)'!$N592)</f>
        <v>15.138900000000007</v>
      </c>
      <c r="Q592" s="1">
        <f>YEAR(Table2[[#This Row],[Order Date]])</f>
        <v>2018</v>
      </c>
      <c r="R592" s="18" t="str">
        <f>TEXT(Table2[[#This Row],[Order Date]],"mmm")</f>
        <v>Mar</v>
      </c>
      <c r="S592" s="18"/>
    </row>
    <row r="593" spans="1:19" x14ac:dyDescent="0.2">
      <c r="A593" s="1">
        <v>592</v>
      </c>
      <c r="B593" s="1" t="s">
        <v>1226</v>
      </c>
      <c r="C593" s="2">
        <v>43179</v>
      </c>
      <c r="D593" s="1" t="s">
        <v>36</v>
      </c>
      <c r="E593" s="1" t="s">
        <v>1227</v>
      </c>
      <c r="F593" s="1" t="s">
        <v>1228</v>
      </c>
      <c r="G593" s="1" t="s">
        <v>275</v>
      </c>
      <c r="H593" s="1" t="s">
        <v>31</v>
      </c>
      <c r="I593" s="1" t="s">
        <v>32</v>
      </c>
      <c r="J593" s="1" t="s">
        <v>63</v>
      </c>
      <c r="K593" s="1" t="s">
        <v>1231</v>
      </c>
      <c r="L593" s="17">
        <v>10.368000000000002</v>
      </c>
      <c r="M593" s="1">
        <v>2</v>
      </c>
      <c r="N593" s="1">
        <v>0.2</v>
      </c>
      <c r="O593" s="17">
        <v>3.6288</v>
      </c>
      <c r="P593" s="17">
        <f>('Work File (2)'!$L593*'Work File (2)'!$M593)*(1-'Work File (2)'!$N593)</f>
        <v>16.588800000000003</v>
      </c>
      <c r="Q593" s="1">
        <f>YEAR(Table2[[#This Row],[Order Date]])</f>
        <v>2018</v>
      </c>
      <c r="R593" s="18" t="str">
        <f>TEXT(Table2[[#This Row],[Order Date]],"mmm")</f>
        <v>Mar</v>
      </c>
      <c r="S593" s="18"/>
    </row>
    <row r="594" spans="1:19" x14ac:dyDescent="0.2">
      <c r="A594" s="1">
        <v>593</v>
      </c>
      <c r="B594" s="1" t="s">
        <v>1232</v>
      </c>
      <c r="C594" s="2">
        <v>42378</v>
      </c>
      <c r="D594" s="1" t="s">
        <v>36</v>
      </c>
      <c r="E594" s="1" t="s">
        <v>1233</v>
      </c>
      <c r="F594" s="1" t="s">
        <v>1234</v>
      </c>
      <c r="G594" s="1" t="s">
        <v>73</v>
      </c>
      <c r="H594" s="1" t="s">
        <v>74</v>
      </c>
      <c r="I594" s="1" t="s">
        <v>32</v>
      </c>
      <c r="J594" s="1" t="s">
        <v>48</v>
      </c>
      <c r="K594" s="1" t="s">
        <v>1235</v>
      </c>
      <c r="L594" s="17">
        <v>9.3439999999999994</v>
      </c>
      <c r="M594" s="1">
        <v>2</v>
      </c>
      <c r="N594" s="1">
        <v>0.2</v>
      </c>
      <c r="O594" s="17">
        <v>1.1679999999999997</v>
      </c>
      <c r="P594" s="17">
        <f>('Work File (2)'!$L594*'Work File (2)'!$M594)*(1-'Work File (2)'!$N594)</f>
        <v>14.9504</v>
      </c>
      <c r="Q594" s="1">
        <f>YEAR(Table2[[#This Row],[Order Date]])</f>
        <v>2016</v>
      </c>
      <c r="R594" s="18" t="str">
        <f>TEXT(Table2[[#This Row],[Order Date]],"mmm")</f>
        <v>Jan</v>
      </c>
      <c r="S594" s="18"/>
    </row>
    <row r="595" spans="1:19" x14ac:dyDescent="0.2">
      <c r="A595" s="1">
        <v>594</v>
      </c>
      <c r="B595" s="1" t="s">
        <v>1232</v>
      </c>
      <c r="C595" s="2">
        <v>42378</v>
      </c>
      <c r="D595" s="1" t="s">
        <v>36</v>
      </c>
      <c r="E595" s="1" t="s">
        <v>1233</v>
      </c>
      <c r="F595" s="1" t="s">
        <v>1234</v>
      </c>
      <c r="G595" s="1" t="s">
        <v>73</v>
      </c>
      <c r="H595" s="1" t="s">
        <v>74</v>
      </c>
      <c r="I595" s="1" t="s">
        <v>50</v>
      </c>
      <c r="J595" s="1" t="s">
        <v>111</v>
      </c>
      <c r="K595" s="1" t="s">
        <v>539</v>
      </c>
      <c r="L595" s="17">
        <v>31.200000000000003</v>
      </c>
      <c r="M595" s="1">
        <v>3</v>
      </c>
      <c r="N595" s="1">
        <v>0.2</v>
      </c>
      <c r="O595" s="17">
        <v>9.7499999999999964</v>
      </c>
      <c r="P595" s="17">
        <f>('Work File (2)'!$L595*'Work File (2)'!$M595)*(1-'Work File (2)'!$N595)</f>
        <v>74.88000000000001</v>
      </c>
      <c r="Q595" s="1">
        <f>YEAR(Table2[[#This Row],[Order Date]])</f>
        <v>2016</v>
      </c>
      <c r="R595" s="18" t="str">
        <f>TEXT(Table2[[#This Row],[Order Date]],"mmm")</f>
        <v>Jan</v>
      </c>
      <c r="S595" s="18"/>
    </row>
    <row r="596" spans="1:19" x14ac:dyDescent="0.2">
      <c r="A596" s="1">
        <v>595</v>
      </c>
      <c r="B596" s="1" t="s">
        <v>1236</v>
      </c>
      <c r="C596" s="2">
        <v>42590</v>
      </c>
      <c r="D596" s="1" t="s">
        <v>36</v>
      </c>
      <c r="E596" s="1" t="s">
        <v>1237</v>
      </c>
      <c r="F596" s="1" t="s">
        <v>600</v>
      </c>
      <c r="G596" s="1" t="s">
        <v>30</v>
      </c>
      <c r="H596" s="1" t="s">
        <v>31</v>
      </c>
      <c r="I596" s="1" t="s">
        <v>32</v>
      </c>
      <c r="J596" s="1" t="s">
        <v>55</v>
      </c>
      <c r="K596" s="1" t="s">
        <v>1238</v>
      </c>
      <c r="L596" s="17">
        <v>76.12</v>
      </c>
      <c r="M596" s="1">
        <v>2</v>
      </c>
      <c r="N596" s="1">
        <v>0</v>
      </c>
      <c r="O596" s="17">
        <v>22.074799999999996</v>
      </c>
      <c r="P596" s="17">
        <f>('Work File (2)'!$L596*'Work File (2)'!$M596)*(1-'Work File (2)'!$N596)</f>
        <v>152.24</v>
      </c>
      <c r="Q596" s="1">
        <f>YEAR(Table2[[#This Row],[Order Date]])</f>
        <v>2016</v>
      </c>
      <c r="R596" s="18" t="str">
        <f>TEXT(Table2[[#This Row],[Order Date]],"mmm")</f>
        <v>Aug</v>
      </c>
      <c r="S596" s="18"/>
    </row>
    <row r="597" spans="1:19" x14ac:dyDescent="0.2">
      <c r="A597" s="1">
        <v>596</v>
      </c>
      <c r="B597" s="1" t="s">
        <v>1236</v>
      </c>
      <c r="C597" s="2">
        <v>42590</v>
      </c>
      <c r="D597" s="1" t="s">
        <v>36</v>
      </c>
      <c r="E597" s="1" t="s">
        <v>1237</v>
      </c>
      <c r="F597" s="1" t="s">
        <v>600</v>
      </c>
      <c r="G597" s="1" t="s">
        <v>30</v>
      </c>
      <c r="H597" s="1" t="s">
        <v>31</v>
      </c>
      <c r="I597" s="1" t="s">
        <v>50</v>
      </c>
      <c r="J597" s="1" t="s">
        <v>761</v>
      </c>
      <c r="K597" s="1" t="s">
        <v>897</v>
      </c>
      <c r="L597" s="17">
        <v>1199.9760000000001</v>
      </c>
      <c r="M597" s="1">
        <v>3</v>
      </c>
      <c r="N597" s="1">
        <v>0.2</v>
      </c>
      <c r="O597" s="17">
        <v>434.99130000000002</v>
      </c>
      <c r="P597" s="17">
        <f>('Work File (2)'!$L597*'Work File (2)'!$M597)*(1-'Work File (2)'!$N597)</f>
        <v>2879.9424000000004</v>
      </c>
      <c r="Q597" s="1">
        <f>YEAR(Table2[[#This Row],[Order Date]])</f>
        <v>2016</v>
      </c>
      <c r="R597" s="18" t="str">
        <f>TEXT(Table2[[#This Row],[Order Date]],"mmm")</f>
        <v>Aug</v>
      </c>
      <c r="S597" s="18"/>
    </row>
    <row r="598" spans="1:19" x14ac:dyDescent="0.2">
      <c r="A598" s="1">
        <v>597</v>
      </c>
      <c r="B598" s="1" t="s">
        <v>1236</v>
      </c>
      <c r="C598" s="2">
        <v>42590</v>
      </c>
      <c r="D598" s="1" t="s">
        <v>36</v>
      </c>
      <c r="E598" s="1" t="s">
        <v>1237</v>
      </c>
      <c r="F598" s="1" t="s">
        <v>600</v>
      </c>
      <c r="G598" s="1" t="s">
        <v>30</v>
      </c>
      <c r="H598" s="1" t="s">
        <v>31</v>
      </c>
      <c r="I598" s="1" t="s">
        <v>50</v>
      </c>
      <c r="J598" s="1" t="s">
        <v>51</v>
      </c>
      <c r="K598" s="1" t="s">
        <v>724</v>
      </c>
      <c r="L598" s="17">
        <v>445.96000000000004</v>
      </c>
      <c r="M598" s="1">
        <v>5</v>
      </c>
      <c r="N598" s="1">
        <v>0.2</v>
      </c>
      <c r="O598" s="17">
        <v>55.744999999999948</v>
      </c>
      <c r="P598" s="17">
        <f>('Work File (2)'!$L598*'Work File (2)'!$M598)*(1-'Work File (2)'!$N598)</f>
        <v>1783.8400000000001</v>
      </c>
      <c r="Q598" s="1">
        <f>YEAR(Table2[[#This Row],[Order Date]])</f>
        <v>2016</v>
      </c>
      <c r="R598" s="18" t="str">
        <f>TEXT(Table2[[#This Row],[Order Date]],"mmm")</f>
        <v>Aug</v>
      </c>
      <c r="S598" s="18"/>
    </row>
    <row r="599" spans="1:19" x14ac:dyDescent="0.2">
      <c r="A599" s="1">
        <v>598</v>
      </c>
      <c r="B599" s="1" t="s">
        <v>1236</v>
      </c>
      <c r="C599" s="2">
        <v>42590</v>
      </c>
      <c r="D599" s="1" t="s">
        <v>36</v>
      </c>
      <c r="E599" s="1" t="s">
        <v>1237</v>
      </c>
      <c r="F599" s="1" t="s">
        <v>600</v>
      </c>
      <c r="G599" s="1" t="s">
        <v>30</v>
      </c>
      <c r="H599" s="1" t="s">
        <v>31</v>
      </c>
      <c r="I599" s="1" t="s">
        <v>22</v>
      </c>
      <c r="J599" s="1" t="s">
        <v>46</v>
      </c>
      <c r="K599" s="1" t="s">
        <v>1239</v>
      </c>
      <c r="L599" s="17">
        <v>327.76</v>
      </c>
      <c r="M599" s="1">
        <v>8</v>
      </c>
      <c r="N599" s="1">
        <v>0</v>
      </c>
      <c r="O599" s="17">
        <v>91.772800000000018</v>
      </c>
      <c r="P599" s="17">
        <f>('Work File (2)'!$L599*'Work File (2)'!$M599)*(1-'Work File (2)'!$N599)</f>
        <v>2622.08</v>
      </c>
      <c r="Q599" s="1">
        <f>YEAR(Table2[[#This Row],[Order Date]])</f>
        <v>2016</v>
      </c>
      <c r="R599" s="18" t="str">
        <f>TEXT(Table2[[#This Row],[Order Date]],"mmm")</f>
        <v>Aug</v>
      </c>
      <c r="S599" s="18"/>
    </row>
    <row r="600" spans="1:19" x14ac:dyDescent="0.2">
      <c r="A600" s="1">
        <v>599</v>
      </c>
      <c r="B600" s="1" t="s">
        <v>1240</v>
      </c>
      <c r="C600" s="2">
        <v>43295</v>
      </c>
      <c r="D600" s="1" t="s">
        <v>128</v>
      </c>
      <c r="E600" s="1" t="s">
        <v>1241</v>
      </c>
      <c r="F600" s="1" t="s">
        <v>101</v>
      </c>
      <c r="G600" s="1" t="s">
        <v>102</v>
      </c>
      <c r="H600" s="1" t="s">
        <v>103</v>
      </c>
      <c r="I600" s="1" t="s">
        <v>32</v>
      </c>
      <c r="J600" s="1" t="s">
        <v>372</v>
      </c>
      <c r="K600" s="1" t="s">
        <v>1242</v>
      </c>
      <c r="L600" s="17">
        <v>11.632</v>
      </c>
      <c r="M600" s="1">
        <v>2</v>
      </c>
      <c r="N600" s="1">
        <v>0.2</v>
      </c>
      <c r="O600" s="17">
        <v>1.0178000000000007</v>
      </c>
      <c r="P600" s="17">
        <f>('Work File (2)'!$L600*'Work File (2)'!$M600)*(1-'Work File (2)'!$N600)</f>
        <v>18.6112</v>
      </c>
      <c r="Q600" s="1">
        <f>YEAR(Table2[[#This Row],[Order Date]])</f>
        <v>2018</v>
      </c>
      <c r="R600" s="18" t="str">
        <f>TEXT(Table2[[#This Row],[Order Date]],"mmm")</f>
        <v>Jul</v>
      </c>
      <c r="S600" s="18"/>
    </row>
    <row r="601" spans="1:19" x14ac:dyDescent="0.2">
      <c r="A601" s="1">
        <v>600</v>
      </c>
      <c r="B601" s="1" t="s">
        <v>1243</v>
      </c>
      <c r="C601" s="2">
        <v>43297</v>
      </c>
      <c r="D601" s="1" t="s">
        <v>36</v>
      </c>
      <c r="E601" s="1" t="s">
        <v>1244</v>
      </c>
      <c r="F601" s="1" t="s">
        <v>101</v>
      </c>
      <c r="G601" s="1" t="s">
        <v>102</v>
      </c>
      <c r="H601" s="1" t="s">
        <v>103</v>
      </c>
      <c r="I601" s="1" t="s">
        <v>50</v>
      </c>
      <c r="J601" s="1" t="s">
        <v>51</v>
      </c>
      <c r="K601" s="1" t="s">
        <v>1245</v>
      </c>
      <c r="L601" s="17">
        <v>143.98199999999997</v>
      </c>
      <c r="M601" s="1">
        <v>3</v>
      </c>
      <c r="N601" s="1">
        <v>0.4</v>
      </c>
      <c r="O601" s="17">
        <v>-28.796400000000006</v>
      </c>
      <c r="P601" s="17">
        <f>('Work File (2)'!$L601*'Work File (2)'!$M601)*(1-'Work File (2)'!$N601)</f>
        <v>259.16759999999994</v>
      </c>
      <c r="Q601" s="1">
        <f>YEAR(Table2[[#This Row],[Order Date]])</f>
        <v>2018</v>
      </c>
      <c r="R601" s="18" t="str">
        <f>TEXT(Table2[[#This Row],[Order Date]],"mmm")</f>
        <v>Jul</v>
      </c>
      <c r="S601" s="18"/>
    </row>
    <row r="602" spans="1:19" x14ac:dyDescent="0.2">
      <c r="A602" s="1">
        <v>601</v>
      </c>
      <c r="B602" s="1" t="s">
        <v>1243</v>
      </c>
      <c r="C602" s="2">
        <v>43297</v>
      </c>
      <c r="D602" s="1" t="s">
        <v>36</v>
      </c>
      <c r="E602" s="1" t="s">
        <v>1244</v>
      </c>
      <c r="F602" s="1" t="s">
        <v>101</v>
      </c>
      <c r="G602" s="1" t="s">
        <v>102</v>
      </c>
      <c r="H602" s="1" t="s">
        <v>103</v>
      </c>
      <c r="I602" s="1" t="s">
        <v>50</v>
      </c>
      <c r="J602" s="1" t="s">
        <v>51</v>
      </c>
      <c r="K602" s="1" t="s">
        <v>1246</v>
      </c>
      <c r="L602" s="17">
        <v>494.37599999999998</v>
      </c>
      <c r="M602" s="1">
        <v>4</v>
      </c>
      <c r="N602" s="1">
        <v>0.4</v>
      </c>
      <c r="O602" s="17">
        <v>-115.35440000000006</v>
      </c>
      <c r="P602" s="17">
        <f>('Work File (2)'!$L602*'Work File (2)'!$M602)*(1-'Work File (2)'!$N602)</f>
        <v>1186.5023999999999</v>
      </c>
      <c r="Q602" s="1">
        <f>YEAR(Table2[[#This Row],[Order Date]])</f>
        <v>2018</v>
      </c>
      <c r="R602" s="18" t="str">
        <f>TEXT(Table2[[#This Row],[Order Date]],"mmm")</f>
        <v>Jul</v>
      </c>
      <c r="S602" s="18"/>
    </row>
    <row r="603" spans="1:19" x14ac:dyDescent="0.2">
      <c r="A603" s="1">
        <v>602</v>
      </c>
      <c r="B603" s="1" t="s">
        <v>1243</v>
      </c>
      <c r="C603" s="2">
        <v>43297</v>
      </c>
      <c r="D603" s="1" t="s">
        <v>36</v>
      </c>
      <c r="E603" s="1" t="s">
        <v>1244</v>
      </c>
      <c r="F603" s="1" t="s">
        <v>101</v>
      </c>
      <c r="G603" s="1" t="s">
        <v>102</v>
      </c>
      <c r="H603" s="1" t="s">
        <v>103</v>
      </c>
      <c r="I603" s="1" t="s">
        <v>32</v>
      </c>
      <c r="J603" s="1" t="s">
        <v>372</v>
      </c>
      <c r="K603" s="1" t="s">
        <v>1212</v>
      </c>
      <c r="L603" s="17">
        <v>5.84</v>
      </c>
      <c r="M603" s="1">
        <v>2</v>
      </c>
      <c r="N603" s="1">
        <v>0.2</v>
      </c>
      <c r="O603" s="17">
        <v>0.72999999999999954</v>
      </c>
      <c r="P603" s="17">
        <f>('Work File (2)'!$L603*'Work File (2)'!$M603)*(1-'Work File (2)'!$N603)</f>
        <v>9.3439999999999994</v>
      </c>
      <c r="Q603" s="1">
        <f>YEAR(Table2[[#This Row],[Order Date]])</f>
        <v>2018</v>
      </c>
      <c r="R603" s="18" t="str">
        <f>TEXT(Table2[[#This Row],[Order Date]],"mmm")</f>
        <v>Jul</v>
      </c>
      <c r="S603" s="18"/>
    </row>
    <row r="604" spans="1:19" x14ac:dyDescent="0.2">
      <c r="A604" s="1">
        <v>603</v>
      </c>
      <c r="B604" s="1" t="s">
        <v>1247</v>
      </c>
      <c r="C604" s="2">
        <v>42444</v>
      </c>
      <c r="D604" s="1" t="s">
        <v>36</v>
      </c>
      <c r="E604" s="1" t="s">
        <v>1248</v>
      </c>
      <c r="F604" s="1" t="s">
        <v>572</v>
      </c>
      <c r="G604" s="1" t="s">
        <v>39</v>
      </c>
      <c r="H604" s="1" t="s">
        <v>21</v>
      </c>
      <c r="I604" s="1" t="s">
        <v>32</v>
      </c>
      <c r="J604" s="1" t="s">
        <v>42</v>
      </c>
      <c r="K604" s="1" t="s">
        <v>1249</v>
      </c>
      <c r="L604" s="17">
        <v>142.77600000000001</v>
      </c>
      <c r="M604" s="1">
        <v>1</v>
      </c>
      <c r="N604" s="1">
        <v>0.2</v>
      </c>
      <c r="O604" s="17">
        <v>17.84699999999998</v>
      </c>
      <c r="P604" s="17">
        <f>('Work File (2)'!$L604*'Work File (2)'!$M604)*(1-'Work File (2)'!$N604)</f>
        <v>114.22080000000001</v>
      </c>
      <c r="Q604" s="1">
        <f>YEAR(Table2[[#This Row],[Order Date]])</f>
        <v>2016</v>
      </c>
      <c r="R604" s="18" t="str">
        <f>TEXT(Table2[[#This Row],[Order Date]],"mmm")</f>
        <v>Mar</v>
      </c>
      <c r="S604" s="18"/>
    </row>
    <row r="605" spans="1:19" x14ac:dyDescent="0.2">
      <c r="A605" s="1">
        <v>604</v>
      </c>
      <c r="B605" s="1" t="s">
        <v>1247</v>
      </c>
      <c r="C605" s="2">
        <v>42444</v>
      </c>
      <c r="D605" s="1" t="s">
        <v>36</v>
      </c>
      <c r="E605" s="1" t="s">
        <v>1248</v>
      </c>
      <c r="F605" s="1" t="s">
        <v>572</v>
      </c>
      <c r="G605" s="1" t="s">
        <v>39</v>
      </c>
      <c r="H605" s="1" t="s">
        <v>21</v>
      </c>
      <c r="I605" s="1" t="s">
        <v>22</v>
      </c>
      <c r="J605" s="1" t="s">
        <v>46</v>
      </c>
      <c r="K605" s="1" t="s">
        <v>715</v>
      </c>
      <c r="L605" s="17">
        <v>45.695999999999998</v>
      </c>
      <c r="M605" s="1">
        <v>3</v>
      </c>
      <c r="N605" s="1">
        <v>0.2</v>
      </c>
      <c r="O605" s="17">
        <v>5.1407999999999916</v>
      </c>
      <c r="P605" s="17">
        <f>('Work File (2)'!$L605*'Work File (2)'!$M605)*(1-'Work File (2)'!$N605)</f>
        <v>109.6704</v>
      </c>
      <c r="Q605" s="1">
        <f>YEAR(Table2[[#This Row],[Order Date]])</f>
        <v>2016</v>
      </c>
      <c r="R605" s="18" t="str">
        <f>TEXT(Table2[[#This Row],[Order Date]],"mmm")</f>
        <v>Mar</v>
      </c>
      <c r="S605" s="18"/>
    </row>
    <row r="606" spans="1:19" x14ac:dyDescent="0.2">
      <c r="A606" s="1">
        <v>605</v>
      </c>
      <c r="B606" s="1" t="s">
        <v>1247</v>
      </c>
      <c r="C606" s="2">
        <v>42444</v>
      </c>
      <c r="D606" s="1" t="s">
        <v>36</v>
      </c>
      <c r="E606" s="1" t="s">
        <v>1248</v>
      </c>
      <c r="F606" s="1" t="s">
        <v>572</v>
      </c>
      <c r="G606" s="1" t="s">
        <v>39</v>
      </c>
      <c r="H606" s="1" t="s">
        <v>21</v>
      </c>
      <c r="I606" s="1" t="s">
        <v>32</v>
      </c>
      <c r="J606" s="1" t="s">
        <v>53</v>
      </c>
      <c r="K606" s="1" t="s">
        <v>954</v>
      </c>
      <c r="L606" s="17">
        <v>7.218</v>
      </c>
      <c r="M606" s="1">
        <v>3</v>
      </c>
      <c r="N606" s="1">
        <v>0.7</v>
      </c>
      <c r="O606" s="17">
        <v>-5.5338000000000012</v>
      </c>
      <c r="P606" s="17">
        <f>('Work File (2)'!$L606*'Work File (2)'!$M606)*(1-'Work File (2)'!$N606)</f>
        <v>6.4962000000000009</v>
      </c>
      <c r="Q606" s="1">
        <f>YEAR(Table2[[#This Row],[Order Date]])</f>
        <v>2016</v>
      </c>
      <c r="R606" s="18" t="str">
        <f>TEXT(Table2[[#This Row],[Order Date]],"mmm")</f>
        <v>Mar</v>
      </c>
      <c r="S606" s="18"/>
    </row>
    <row r="607" spans="1:19" x14ac:dyDescent="0.2">
      <c r="A607" s="1">
        <v>606</v>
      </c>
      <c r="B607" s="1" t="s">
        <v>1247</v>
      </c>
      <c r="C607" s="2">
        <v>42444</v>
      </c>
      <c r="D607" s="1" t="s">
        <v>36</v>
      </c>
      <c r="E607" s="1" t="s">
        <v>1248</v>
      </c>
      <c r="F607" s="1" t="s">
        <v>572</v>
      </c>
      <c r="G607" s="1" t="s">
        <v>39</v>
      </c>
      <c r="H607" s="1" t="s">
        <v>21</v>
      </c>
      <c r="I607" s="1" t="s">
        <v>32</v>
      </c>
      <c r="J607" s="1" t="s">
        <v>53</v>
      </c>
      <c r="K607" s="1" t="s">
        <v>936</v>
      </c>
      <c r="L607" s="17">
        <v>43.188000000000009</v>
      </c>
      <c r="M607" s="1">
        <v>4</v>
      </c>
      <c r="N607" s="1">
        <v>0.7</v>
      </c>
      <c r="O607" s="17">
        <v>-31.671199999999999</v>
      </c>
      <c r="P607" s="17">
        <f>('Work File (2)'!$L607*'Work File (2)'!$M607)*(1-'Work File (2)'!$N607)</f>
        <v>51.825600000000016</v>
      </c>
      <c r="Q607" s="1">
        <f>YEAR(Table2[[#This Row],[Order Date]])</f>
        <v>2016</v>
      </c>
      <c r="R607" s="18" t="str">
        <f>TEXT(Table2[[#This Row],[Order Date]],"mmm")</f>
        <v>Mar</v>
      </c>
      <c r="S607" s="18"/>
    </row>
    <row r="608" spans="1:19" x14ac:dyDescent="0.2">
      <c r="A608" s="1">
        <v>607</v>
      </c>
      <c r="B608" s="1" t="s">
        <v>1247</v>
      </c>
      <c r="C608" s="2">
        <v>42444</v>
      </c>
      <c r="D608" s="1" t="s">
        <v>36</v>
      </c>
      <c r="E608" s="1" t="s">
        <v>1248</v>
      </c>
      <c r="F608" s="1" t="s">
        <v>572</v>
      </c>
      <c r="G608" s="1" t="s">
        <v>39</v>
      </c>
      <c r="H608" s="1" t="s">
        <v>21</v>
      </c>
      <c r="I608" s="1" t="s">
        <v>32</v>
      </c>
      <c r="J608" s="1" t="s">
        <v>63</v>
      </c>
      <c r="K608" s="1" t="s">
        <v>1250</v>
      </c>
      <c r="L608" s="17">
        <v>131.904</v>
      </c>
      <c r="M608" s="1">
        <v>3</v>
      </c>
      <c r="N608" s="1">
        <v>0.2</v>
      </c>
      <c r="O608" s="17">
        <v>47.815200000000004</v>
      </c>
      <c r="P608" s="17">
        <f>('Work File (2)'!$L608*'Work File (2)'!$M608)*(1-'Work File (2)'!$N608)</f>
        <v>316.56960000000004</v>
      </c>
      <c r="Q608" s="1">
        <f>YEAR(Table2[[#This Row],[Order Date]])</f>
        <v>2016</v>
      </c>
      <c r="R608" s="18" t="str">
        <f>TEXT(Table2[[#This Row],[Order Date]],"mmm")</f>
        <v>Mar</v>
      </c>
      <c r="S608" s="18"/>
    </row>
    <row r="609" spans="1:19" x14ac:dyDescent="0.2">
      <c r="A609" s="1">
        <v>608</v>
      </c>
      <c r="B609" s="1" t="s">
        <v>1251</v>
      </c>
      <c r="C609" s="2">
        <v>42513</v>
      </c>
      <c r="D609" s="1" t="s">
        <v>36</v>
      </c>
      <c r="E609" s="1" t="s">
        <v>1252</v>
      </c>
      <c r="F609" s="1" t="s">
        <v>101</v>
      </c>
      <c r="G609" s="1" t="s">
        <v>102</v>
      </c>
      <c r="H609" s="1" t="s">
        <v>103</v>
      </c>
      <c r="I609" s="1" t="s">
        <v>32</v>
      </c>
      <c r="J609" s="1" t="s">
        <v>53</v>
      </c>
      <c r="K609" s="1" t="s">
        <v>1253</v>
      </c>
      <c r="L609" s="17">
        <v>3.2820000000000005</v>
      </c>
      <c r="M609" s="1">
        <v>2</v>
      </c>
      <c r="N609" s="1">
        <v>0.7</v>
      </c>
      <c r="O609" s="17">
        <v>-2.6256000000000004</v>
      </c>
      <c r="P609" s="17">
        <f>('Work File (2)'!$L609*'Work File (2)'!$M609)*(1-'Work File (2)'!$N609)</f>
        <v>1.9692000000000005</v>
      </c>
      <c r="Q609" s="1">
        <f>YEAR(Table2[[#This Row],[Order Date]])</f>
        <v>2016</v>
      </c>
      <c r="R609" s="18" t="str">
        <f>TEXT(Table2[[#This Row],[Order Date]],"mmm")</f>
        <v>May</v>
      </c>
      <c r="S609" s="18"/>
    </row>
    <row r="610" spans="1:19" x14ac:dyDescent="0.2">
      <c r="A610" s="1">
        <v>609</v>
      </c>
      <c r="B610" s="1" t="s">
        <v>1251</v>
      </c>
      <c r="C610" s="2">
        <v>42513</v>
      </c>
      <c r="D610" s="1" t="s">
        <v>36</v>
      </c>
      <c r="E610" s="1" t="s">
        <v>1252</v>
      </c>
      <c r="F610" s="1" t="s">
        <v>101</v>
      </c>
      <c r="G610" s="1" t="s">
        <v>102</v>
      </c>
      <c r="H610" s="1" t="s">
        <v>103</v>
      </c>
      <c r="I610" s="1" t="s">
        <v>32</v>
      </c>
      <c r="J610" s="1" t="s">
        <v>48</v>
      </c>
      <c r="K610" s="1" t="s">
        <v>1096</v>
      </c>
      <c r="L610" s="17">
        <v>21.167999999999999</v>
      </c>
      <c r="M610" s="1">
        <v>9</v>
      </c>
      <c r="N610" s="1">
        <v>0.2</v>
      </c>
      <c r="O610" s="17">
        <v>2.3813999999999984</v>
      </c>
      <c r="P610" s="17">
        <f>('Work File (2)'!$L610*'Work File (2)'!$M610)*(1-'Work File (2)'!$N610)</f>
        <v>152.40960000000001</v>
      </c>
      <c r="Q610" s="1">
        <f>YEAR(Table2[[#This Row],[Order Date]])</f>
        <v>2016</v>
      </c>
      <c r="R610" s="18" t="str">
        <f>TEXT(Table2[[#This Row],[Order Date]],"mmm")</f>
        <v>May</v>
      </c>
      <c r="S610" s="18"/>
    </row>
    <row r="611" spans="1:19" x14ac:dyDescent="0.2">
      <c r="A611" s="1">
        <v>610</v>
      </c>
      <c r="B611" s="1" t="s">
        <v>1251</v>
      </c>
      <c r="C611" s="2">
        <v>42513</v>
      </c>
      <c r="D611" s="1" t="s">
        <v>36</v>
      </c>
      <c r="E611" s="1" t="s">
        <v>1252</v>
      </c>
      <c r="F611" s="1" t="s">
        <v>101</v>
      </c>
      <c r="G611" s="1" t="s">
        <v>102</v>
      </c>
      <c r="H611" s="1" t="s">
        <v>103</v>
      </c>
      <c r="I611" s="1" t="s">
        <v>50</v>
      </c>
      <c r="J611" s="1" t="s">
        <v>51</v>
      </c>
      <c r="K611" s="1" t="s">
        <v>1254</v>
      </c>
      <c r="L611" s="17">
        <v>55.188000000000002</v>
      </c>
      <c r="M611" s="1">
        <v>2</v>
      </c>
      <c r="N611" s="1">
        <v>0.4</v>
      </c>
      <c r="O611" s="17">
        <v>-10.117800000000003</v>
      </c>
      <c r="P611" s="17">
        <f>('Work File (2)'!$L611*'Work File (2)'!$M611)*(1-'Work File (2)'!$N611)</f>
        <v>66.2256</v>
      </c>
      <c r="Q611" s="1">
        <f>YEAR(Table2[[#This Row],[Order Date]])</f>
        <v>2016</v>
      </c>
      <c r="R611" s="18" t="str">
        <f>TEXT(Table2[[#This Row],[Order Date]],"mmm")</f>
        <v>May</v>
      </c>
      <c r="S611" s="18"/>
    </row>
    <row r="612" spans="1:19" x14ac:dyDescent="0.2">
      <c r="A612" s="1">
        <v>611</v>
      </c>
      <c r="B612" s="1" t="s">
        <v>1255</v>
      </c>
      <c r="C612" s="2">
        <v>43218</v>
      </c>
      <c r="D612" s="1" t="s">
        <v>128</v>
      </c>
      <c r="E612" s="1" t="s">
        <v>1256</v>
      </c>
      <c r="F612" s="1" t="s">
        <v>521</v>
      </c>
      <c r="G612" s="1" t="s">
        <v>73</v>
      </c>
      <c r="H612" s="1" t="s">
        <v>74</v>
      </c>
      <c r="I612" s="1" t="s">
        <v>50</v>
      </c>
      <c r="J612" s="1" t="s">
        <v>51</v>
      </c>
      <c r="K612" s="1" t="s">
        <v>862</v>
      </c>
      <c r="L612" s="17">
        <v>369.57600000000002</v>
      </c>
      <c r="M612" s="1">
        <v>3</v>
      </c>
      <c r="N612" s="1">
        <v>0.2</v>
      </c>
      <c r="O612" s="17">
        <v>41.577299999999951</v>
      </c>
      <c r="P612" s="17">
        <f>('Work File (2)'!$L612*'Work File (2)'!$M612)*(1-'Work File (2)'!$N612)</f>
        <v>886.9824000000001</v>
      </c>
      <c r="Q612" s="1">
        <f>YEAR(Table2[[#This Row],[Order Date]])</f>
        <v>2018</v>
      </c>
      <c r="R612" s="18" t="str">
        <f>TEXT(Table2[[#This Row],[Order Date]],"mmm")</f>
        <v>Apr</v>
      </c>
      <c r="S612" s="18"/>
    </row>
    <row r="613" spans="1:19" x14ac:dyDescent="0.2">
      <c r="A613" s="1">
        <v>612</v>
      </c>
      <c r="B613" s="1" t="s">
        <v>1255</v>
      </c>
      <c r="C613" s="2">
        <v>43218</v>
      </c>
      <c r="D613" s="1" t="s">
        <v>128</v>
      </c>
      <c r="E613" s="1" t="s">
        <v>1256</v>
      </c>
      <c r="F613" s="1" t="s">
        <v>521</v>
      </c>
      <c r="G613" s="1" t="s">
        <v>73</v>
      </c>
      <c r="H613" s="1" t="s">
        <v>74</v>
      </c>
      <c r="I613" s="1" t="s">
        <v>32</v>
      </c>
      <c r="J613" s="1" t="s">
        <v>33</v>
      </c>
      <c r="K613" s="1" t="s">
        <v>1257</v>
      </c>
      <c r="L613" s="17">
        <v>15.712000000000002</v>
      </c>
      <c r="M613" s="1">
        <v>4</v>
      </c>
      <c r="N613" s="1">
        <v>0.2</v>
      </c>
      <c r="O613" s="17">
        <v>5.6955999999999989</v>
      </c>
      <c r="P613" s="17">
        <f>('Work File (2)'!$L613*'Work File (2)'!$M613)*(1-'Work File (2)'!$N613)</f>
        <v>50.278400000000005</v>
      </c>
      <c r="Q613" s="1">
        <f>YEAR(Table2[[#This Row],[Order Date]])</f>
        <v>2018</v>
      </c>
      <c r="R613" s="18" t="str">
        <f>TEXT(Table2[[#This Row],[Order Date]],"mmm")</f>
        <v>Apr</v>
      </c>
      <c r="S613" s="18"/>
    </row>
    <row r="614" spans="1:19" x14ac:dyDescent="0.2">
      <c r="A614" s="1">
        <v>613</v>
      </c>
      <c r="B614" s="1" t="s">
        <v>1258</v>
      </c>
      <c r="C614" s="2">
        <v>43354</v>
      </c>
      <c r="D614" s="1" t="s">
        <v>17</v>
      </c>
      <c r="E614" s="1" t="s">
        <v>1259</v>
      </c>
      <c r="F614" s="1" t="s">
        <v>101</v>
      </c>
      <c r="G614" s="1" t="s">
        <v>102</v>
      </c>
      <c r="H614" s="1" t="s">
        <v>103</v>
      </c>
      <c r="I614" s="1" t="s">
        <v>32</v>
      </c>
      <c r="J614" s="1" t="s">
        <v>63</v>
      </c>
      <c r="K614" s="1" t="s">
        <v>1260</v>
      </c>
      <c r="L614" s="17">
        <v>8.4480000000000004</v>
      </c>
      <c r="M614" s="1">
        <v>2</v>
      </c>
      <c r="N614" s="1">
        <v>0.2</v>
      </c>
      <c r="O614" s="17">
        <v>2.6399999999999997</v>
      </c>
      <c r="P614" s="17">
        <f>('Work File (2)'!$L614*'Work File (2)'!$M614)*(1-'Work File (2)'!$N614)</f>
        <v>13.516800000000002</v>
      </c>
      <c r="Q614" s="1">
        <f>YEAR(Table2[[#This Row],[Order Date]])</f>
        <v>2018</v>
      </c>
      <c r="R614" s="18" t="str">
        <f>TEXT(Table2[[#This Row],[Order Date]],"mmm")</f>
        <v>Sep</v>
      </c>
      <c r="S614" s="18"/>
    </row>
    <row r="615" spans="1:19" x14ac:dyDescent="0.2">
      <c r="A615" s="1">
        <v>614</v>
      </c>
      <c r="B615" s="1" t="s">
        <v>1258</v>
      </c>
      <c r="C615" s="2">
        <v>43354</v>
      </c>
      <c r="D615" s="1" t="s">
        <v>17</v>
      </c>
      <c r="E615" s="1" t="s">
        <v>1259</v>
      </c>
      <c r="F615" s="1" t="s">
        <v>101</v>
      </c>
      <c r="G615" s="1" t="s">
        <v>102</v>
      </c>
      <c r="H615" s="1" t="s">
        <v>103</v>
      </c>
      <c r="I615" s="1" t="s">
        <v>50</v>
      </c>
      <c r="J615" s="1" t="s">
        <v>51</v>
      </c>
      <c r="K615" s="1" t="s">
        <v>1261</v>
      </c>
      <c r="L615" s="17">
        <v>728.94600000000003</v>
      </c>
      <c r="M615" s="1">
        <v>9</v>
      </c>
      <c r="N615" s="1">
        <v>0.4</v>
      </c>
      <c r="O615" s="17">
        <v>-157.93830000000008</v>
      </c>
      <c r="P615" s="17">
        <f>('Work File (2)'!$L615*'Work File (2)'!$M615)*(1-'Work File (2)'!$N615)</f>
        <v>3936.3083999999999</v>
      </c>
      <c r="Q615" s="1">
        <f>YEAR(Table2[[#This Row],[Order Date]])</f>
        <v>2018</v>
      </c>
      <c r="R615" s="18" t="str">
        <f>TEXT(Table2[[#This Row],[Order Date]],"mmm")</f>
        <v>Sep</v>
      </c>
      <c r="S615" s="18"/>
    </row>
    <row r="616" spans="1:19" x14ac:dyDescent="0.2">
      <c r="A616" s="1">
        <v>615</v>
      </c>
      <c r="B616" s="1" t="s">
        <v>1262</v>
      </c>
      <c r="C616" s="2">
        <v>43783</v>
      </c>
      <c r="D616" s="1" t="s">
        <v>17</v>
      </c>
      <c r="E616" s="1" t="s">
        <v>1263</v>
      </c>
      <c r="F616" s="1" t="s">
        <v>1264</v>
      </c>
      <c r="G616" s="1" t="s">
        <v>324</v>
      </c>
      <c r="H616" s="1" t="s">
        <v>103</v>
      </c>
      <c r="I616" s="1" t="s">
        <v>50</v>
      </c>
      <c r="J616" s="1" t="s">
        <v>51</v>
      </c>
      <c r="K616" s="1" t="s">
        <v>586</v>
      </c>
      <c r="L616" s="17">
        <v>119.93999999999998</v>
      </c>
      <c r="M616" s="1">
        <v>10</v>
      </c>
      <c r="N616" s="1">
        <v>0.4</v>
      </c>
      <c r="O616" s="17">
        <v>15.99199999999999</v>
      </c>
      <c r="P616" s="17">
        <f>('Work File (2)'!$L616*'Work File (2)'!$M616)*(1-'Work File (2)'!$N616)</f>
        <v>719.63999999999987</v>
      </c>
      <c r="Q616" s="1">
        <f>YEAR(Table2[[#This Row],[Order Date]])</f>
        <v>2019</v>
      </c>
      <c r="R616" s="18" t="str">
        <f>TEXT(Table2[[#This Row],[Order Date]],"mmm")</f>
        <v>Nov</v>
      </c>
      <c r="S616" s="18"/>
    </row>
    <row r="617" spans="1:19" x14ac:dyDescent="0.2">
      <c r="A617" s="1">
        <v>616</v>
      </c>
      <c r="B617" s="1" t="s">
        <v>1262</v>
      </c>
      <c r="C617" s="2">
        <v>43783</v>
      </c>
      <c r="D617" s="1" t="s">
        <v>17</v>
      </c>
      <c r="E617" s="1" t="s">
        <v>1263</v>
      </c>
      <c r="F617" s="1" t="s">
        <v>1264</v>
      </c>
      <c r="G617" s="1" t="s">
        <v>324</v>
      </c>
      <c r="H617" s="1" t="s">
        <v>103</v>
      </c>
      <c r="I617" s="1" t="s">
        <v>32</v>
      </c>
      <c r="J617" s="1" t="s">
        <v>53</v>
      </c>
      <c r="K617" s="1" t="s">
        <v>1265</v>
      </c>
      <c r="L617" s="17">
        <v>3.6480000000000006</v>
      </c>
      <c r="M617" s="1">
        <v>2</v>
      </c>
      <c r="N617" s="1">
        <v>0.7</v>
      </c>
      <c r="O617" s="17">
        <v>-2.7967999999999993</v>
      </c>
      <c r="P617" s="17">
        <f>('Work File (2)'!$L617*'Work File (2)'!$M617)*(1-'Work File (2)'!$N617)</f>
        <v>2.1888000000000005</v>
      </c>
      <c r="Q617" s="1">
        <f>YEAR(Table2[[#This Row],[Order Date]])</f>
        <v>2019</v>
      </c>
      <c r="R617" s="18" t="str">
        <f>TEXT(Table2[[#This Row],[Order Date]],"mmm")</f>
        <v>Nov</v>
      </c>
      <c r="S617" s="18"/>
    </row>
    <row r="618" spans="1:19" x14ac:dyDescent="0.2">
      <c r="A618" s="1">
        <v>617</v>
      </c>
      <c r="B618" s="1" t="s">
        <v>1266</v>
      </c>
      <c r="C618" s="2">
        <v>43695</v>
      </c>
      <c r="D618" s="1" t="s">
        <v>17</v>
      </c>
      <c r="E618" s="1" t="s">
        <v>1267</v>
      </c>
      <c r="F618" s="1" t="s">
        <v>178</v>
      </c>
      <c r="G618" s="1" t="s">
        <v>179</v>
      </c>
      <c r="H618" s="1" t="s">
        <v>103</v>
      </c>
      <c r="I618" s="1" t="s">
        <v>22</v>
      </c>
      <c r="J618" s="1" t="s">
        <v>46</v>
      </c>
      <c r="K618" s="1" t="s">
        <v>1268</v>
      </c>
      <c r="L618" s="17">
        <v>40.479999999999997</v>
      </c>
      <c r="M618" s="1">
        <v>2</v>
      </c>
      <c r="N618" s="1">
        <v>0</v>
      </c>
      <c r="O618" s="17">
        <v>15.787199999999999</v>
      </c>
      <c r="P618" s="17">
        <f>('Work File (2)'!$L618*'Work File (2)'!$M618)*(1-'Work File (2)'!$N618)</f>
        <v>80.959999999999994</v>
      </c>
      <c r="Q618" s="1">
        <f>YEAR(Table2[[#This Row],[Order Date]])</f>
        <v>2019</v>
      </c>
      <c r="R618" s="18" t="str">
        <f>TEXT(Table2[[#This Row],[Order Date]],"mmm")</f>
        <v>Aug</v>
      </c>
      <c r="S618" s="18"/>
    </row>
    <row r="619" spans="1:19" x14ac:dyDescent="0.2">
      <c r="A619" s="1">
        <v>618</v>
      </c>
      <c r="B619" s="1" t="s">
        <v>1266</v>
      </c>
      <c r="C619" s="2">
        <v>43695</v>
      </c>
      <c r="D619" s="1" t="s">
        <v>17</v>
      </c>
      <c r="E619" s="1" t="s">
        <v>1267</v>
      </c>
      <c r="F619" s="1" t="s">
        <v>178</v>
      </c>
      <c r="G619" s="1" t="s">
        <v>179</v>
      </c>
      <c r="H619" s="1" t="s">
        <v>103</v>
      </c>
      <c r="I619" s="1" t="s">
        <v>22</v>
      </c>
      <c r="J619" s="1" t="s">
        <v>46</v>
      </c>
      <c r="K619" s="1" t="s">
        <v>1269</v>
      </c>
      <c r="L619" s="17">
        <v>9.94</v>
      </c>
      <c r="M619" s="1">
        <v>2</v>
      </c>
      <c r="N619" s="1">
        <v>0</v>
      </c>
      <c r="O619" s="17">
        <v>3.0813999999999995</v>
      </c>
      <c r="P619" s="17">
        <f>('Work File (2)'!$L619*'Work File (2)'!$M619)*(1-'Work File (2)'!$N619)</f>
        <v>19.88</v>
      </c>
      <c r="Q619" s="1">
        <f>YEAR(Table2[[#This Row],[Order Date]])</f>
        <v>2019</v>
      </c>
      <c r="R619" s="18" t="str">
        <f>TEXT(Table2[[#This Row],[Order Date]],"mmm")</f>
        <v>Aug</v>
      </c>
      <c r="S619" s="18"/>
    </row>
    <row r="620" spans="1:19" x14ac:dyDescent="0.2">
      <c r="A620" s="1">
        <v>619</v>
      </c>
      <c r="B620" s="1" t="s">
        <v>1266</v>
      </c>
      <c r="C620" s="2">
        <v>43695</v>
      </c>
      <c r="D620" s="1" t="s">
        <v>17</v>
      </c>
      <c r="E620" s="1" t="s">
        <v>1267</v>
      </c>
      <c r="F620" s="1" t="s">
        <v>178</v>
      </c>
      <c r="G620" s="1" t="s">
        <v>179</v>
      </c>
      <c r="H620" s="1" t="s">
        <v>103</v>
      </c>
      <c r="I620" s="1" t="s">
        <v>32</v>
      </c>
      <c r="J620" s="1" t="s">
        <v>53</v>
      </c>
      <c r="K620" s="1" t="s">
        <v>1270</v>
      </c>
      <c r="L620" s="17">
        <v>107.42400000000001</v>
      </c>
      <c r="M620" s="1">
        <v>9</v>
      </c>
      <c r="N620" s="1">
        <v>0.2</v>
      </c>
      <c r="O620" s="17">
        <v>33.569999999999986</v>
      </c>
      <c r="P620" s="17">
        <f>('Work File (2)'!$L620*'Work File (2)'!$M620)*(1-'Work File (2)'!$N620)</f>
        <v>773.45280000000002</v>
      </c>
      <c r="Q620" s="1">
        <f>YEAR(Table2[[#This Row],[Order Date]])</f>
        <v>2019</v>
      </c>
      <c r="R620" s="18" t="str">
        <f>TEXT(Table2[[#This Row],[Order Date]],"mmm")</f>
        <v>Aug</v>
      </c>
      <c r="S620" s="18"/>
    </row>
    <row r="621" spans="1:19" x14ac:dyDescent="0.2">
      <c r="A621" s="1">
        <v>620</v>
      </c>
      <c r="B621" s="1" t="s">
        <v>1266</v>
      </c>
      <c r="C621" s="2">
        <v>43695</v>
      </c>
      <c r="D621" s="1" t="s">
        <v>17</v>
      </c>
      <c r="E621" s="1" t="s">
        <v>1267</v>
      </c>
      <c r="F621" s="1" t="s">
        <v>178</v>
      </c>
      <c r="G621" s="1" t="s">
        <v>179</v>
      </c>
      <c r="H621" s="1" t="s">
        <v>103</v>
      </c>
      <c r="I621" s="1" t="s">
        <v>50</v>
      </c>
      <c r="J621" s="1" t="s">
        <v>51</v>
      </c>
      <c r="K621" s="1" t="s">
        <v>1271</v>
      </c>
      <c r="L621" s="17">
        <v>37.909999999999997</v>
      </c>
      <c r="M621" s="1">
        <v>1</v>
      </c>
      <c r="N621" s="1">
        <v>0</v>
      </c>
      <c r="O621" s="17">
        <v>10.993899999999996</v>
      </c>
      <c r="P621" s="17">
        <f>('Work File (2)'!$L621*'Work File (2)'!$M621)*(1-'Work File (2)'!$N621)</f>
        <v>37.909999999999997</v>
      </c>
      <c r="Q621" s="1">
        <f>YEAR(Table2[[#This Row],[Order Date]])</f>
        <v>2019</v>
      </c>
      <c r="R621" s="18" t="str">
        <f>TEXT(Table2[[#This Row],[Order Date]],"mmm")</f>
        <v>Aug</v>
      </c>
      <c r="S621" s="18"/>
    </row>
    <row r="622" spans="1:19" x14ac:dyDescent="0.2">
      <c r="A622" s="1">
        <v>621</v>
      </c>
      <c r="B622" s="1" t="s">
        <v>1266</v>
      </c>
      <c r="C622" s="2">
        <v>43695</v>
      </c>
      <c r="D622" s="1" t="s">
        <v>17</v>
      </c>
      <c r="E622" s="1" t="s">
        <v>1267</v>
      </c>
      <c r="F622" s="1" t="s">
        <v>178</v>
      </c>
      <c r="G622" s="1" t="s">
        <v>179</v>
      </c>
      <c r="H622" s="1" t="s">
        <v>103</v>
      </c>
      <c r="I622" s="1" t="s">
        <v>22</v>
      </c>
      <c r="J622" s="1" t="s">
        <v>46</v>
      </c>
      <c r="K622" s="1" t="s">
        <v>392</v>
      </c>
      <c r="L622" s="17">
        <v>88.02</v>
      </c>
      <c r="M622" s="1">
        <v>3</v>
      </c>
      <c r="N622" s="1">
        <v>0</v>
      </c>
      <c r="O622" s="17">
        <v>27.286199999999994</v>
      </c>
      <c r="P622" s="17">
        <f>('Work File (2)'!$L622*'Work File (2)'!$M622)*(1-'Work File (2)'!$N622)</f>
        <v>264.06</v>
      </c>
      <c r="Q622" s="1">
        <f>YEAR(Table2[[#This Row],[Order Date]])</f>
        <v>2019</v>
      </c>
      <c r="R622" s="18" t="str">
        <f>TEXT(Table2[[#This Row],[Order Date]],"mmm")</f>
        <v>Aug</v>
      </c>
      <c r="S622" s="18"/>
    </row>
    <row r="623" spans="1:19" x14ac:dyDescent="0.2">
      <c r="A623" s="1">
        <v>622</v>
      </c>
      <c r="B623" s="1" t="s">
        <v>1272</v>
      </c>
      <c r="C623" s="2">
        <v>42730</v>
      </c>
      <c r="D623" s="1" t="s">
        <v>36</v>
      </c>
      <c r="E623" s="1" t="s">
        <v>1273</v>
      </c>
      <c r="F623" s="1" t="s">
        <v>200</v>
      </c>
      <c r="G623" s="1" t="s">
        <v>142</v>
      </c>
      <c r="H623" s="1" t="s">
        <v>74</v>
      </c>
      <c r="I623" s="1" t="s">
        <v>32</v>
      </c>
      <c r="J623" s="1" t="s">
        <v>53</v>
      </c>
      <c r="K623" s="1" t="s">
        <v>1274</v>
      </c>
      <c r="L623" s="17">
        <v>8.6899999999999977</v>
      </c>
      <c r="M623" s="1">
        <v>5</v>
      </c>
      <c r="N623" s="1">
        <v>0.8</v>
      </c>
      <c r="O623" s="17">
        <v>-14.773</v>
      </c>
      <c r="P623" s="17">
        <f>('Work File (2)'!$L623*'Work File (2)'!$M623)*(1-'Work File (2)'!$N623)</f>
        <v>8.6899999999999959</v>
      </c>
      <c r="Q623" s="1">
        <f>YEAR(Table2[[#This Row],[Order Date]])</f>
        <v>2016</v>
      </c>
      <c r="R623" s="18" t="str">
        <f>TEXT(Table2[[#This Row],[Order Date]],"mmm")</f>
        <v>Dec</v>
      </c>
      <c r="S623" s="18"/>
    </row>
    <row r="624" spans="1:19" x14ac:dyDescent="0.2">
      <c r="A624" s="1">
        <v>623</v>
      </c>
      <c r="B624" s="1" t="s">
        <v>1275</v>
      </c>
      <c r="C624" s="2">
        <v>43068</v>
      </c>
      <c r="D624" s="1" t="s">
        <v>36</v>
      </c>
      <c r="E624" s="1" t="s">
        <v>1276</v>
      </c>
      <c r="F624" s="1" t="s">
        <v>1277</v>
      </c>
      <c r="G624" s="1" t="s">
        <v>160</v>
      </c>
      <c r="H624" s="1" t="s">
        <v>74</v>
      </c>
      <c r="I624" s="1" t="s">
        <v>22</v>
      </c>
      <c r="J624" s="1" t="s">
        <v>25</v>
      </c>
      <c r="K624" s="1" t="s">
        <v>1278</v>
      </c>
      <c r="L624" s="17">
        <v>301.95999999999998</v>
      </c>
      <c r="M624" s="1">
        <v>2</v>
      </c>
      <c r="N624" s="1">
        <v>0</v>
      </c>
      <c r="O624" s="17">
        <v>87.568399999999968</v>
      </c>
      <c r="P624" s="17">
        <f>('Work File (2)'!$L624*'Work File (2)'!$M624)*(1-'Work File (2)'!$N624)</f>
        <v>603.91999999999996</v>
      </c>
      <c r="Q624" s="1">
        <f>YEAR(Table2[[#This Row],[Order Date]])</f>
        <v>2017</v>
      </c>
      <c r="R624" s="18" t="str">
        <f>TEXT(Table2[[#This Row],[Order Date]],"mmm")</f>
        <v>Nov</v>
      </c>
      <c r="S624" s="18"/>
    </row>
    <row r="625" spans="1:19" x14ac:dyDescent="0.2">
      <c r="A625" s="1">
        <v>624</v>
      </c>
      <c r="B625" s="1" t="s">
        <v>1275</v>
      </c>
      <c r="C625" s="2">
        <v>43068</v>
      </c>
      <c r="D625" s="1" t="s">
        <v>36</v>
      </c>
      <c r="E625" s="1" t="s">
        <v>1276</v>
      </c>
      <c r="F625" s="1" t="s">
        <v>1277</v>
      </c>
      <c r="G625" s="1" t="s">
        <v>160</v>
      </c>
      <c r="H625" s="1" t="s">
        <v>74</v>
      </c>
      <c r="I625" s="1" t="s">
        <v>32</v>
      </c>
      <c r="J625" s="1" t="s">
        <v>55</v>
      </c>
      <c r="K625" s="1" t="s">
        <v>1279</v>
      </c>
      <c r="L625" s="17">
        <v>555.21</v>
      </c>
      <c r="M625" s="1">
        <v>5</v>
      </c>
      <c r="N625" s="1">
        <v>0.1</v>
      </c>
      <c r="O625" s="17">
        <v>178.90100000000001</v>
      </c>
      <c r="P625" s="17">
        <f>('Work File (2)'!$L625*'Work File (2)'!$M625)*(1-'Work File (2)'!$N625)</f>
        <v>2498.4450000000002</v>
      </c>
      <c r="Q625" s="1">
        <f>YEAR(Table2[[#This Row],[Order Date]])</f>
        <v>2017</v>
      </c>
      <c r="R625" s="18" t="str">
        <f>TEXT(Table2[[#This Row],[Order Date]],"mmm")</f>
        <v>Nov</v>
      </c>
      <c r="S625" s="18"/>
    </row>
    <row r="626" spans="1:19" x14ac:dyDescent="0.2">
      <c r="A626" s="1">
        <v>625</v>
      </c>
      <c r="B626" s="1" t="s">
        <v>1275</v>
      </c>
      <c r="C626" s="2">
        <v>43068</v>
      </c>
      <c r="D626" s="1" t="s">
        <v>36</v>
      </c>
      <c r="E626" s="1" t="s">
        <v>1276</v>
      </c>
      <c r="F626" s="1" t="s">
        <v>1277</v>
      </c>
      <c r="G626" s="1" t="s">
        <v>160</v>
      </c>
      <c r="H626" s="1" t="s">
        <v>74</v>
      </c>
      <c r="I626" s="1" t="s">
        <v>32</v>
      </c>
      <c r="J626" s="1" t="s">
        <v>42</v>
      </c>
      <c r="K626" s="1" t="s">
        <v>1280</v>
      </c>
      <c r="L626" s="17">
        <v>523.48</v>
      </c>
      <c r="M626" s="1">
        <v>4</v>
      </c>
      <c r="N626" s="1">
        <v>0</v>
      </c>
      <c r="O626" s="17">
        <v>130.87</v>
      </c>
      <c r="P626" s="17">
        <f>('Work File (2)'!$L626*'Work File (2)'!$M626)*(1-'Work File (2)'!$N626)</f>
        <v>2093.92</v>
      </c>
      <c r="Q626" s="1">
        <f>YEAR(Table2[[#This Row],[Order Date]])</f>
        <v>2017</v>
      </c>
      <c r="R626" s="18" t="str">
        <f>TEXT(Table2[[#This Row],[Order Date]],"mmm")</f>
        <v>Nov</v>
      </c>
      <c r="S626" s="18"/>
    </row>
    <row r="627" spans="1:19" x14ac:dyDescent="0.2">
      <c r="A627" s="1">
        <v>626</v>
      </c>
      <c r="B627" s="1" t="s">
        <v>1275</v>
      </c>
      <c r="C627" s="2">
        <v>43068</v>
      </c>
      <c r="D627" s="1" t="s">
        <v>36</v>
      </c>
      <c r="E627" s="1" t="s">
        <v>1276</v>
      </c>
      <c r="F627" s="1" t="s">
        <v>1277</v>
      </c>
      <c r="G627" s="1" t="s">
        <v>160</v>
      </c>
      <c r="H627" s="1" t="s">
        <v>74</v>
      </c>
      <c r="I627" s="1" t="s">
        <v>32</v>
      </c>
      <c r="J627" s="1" t="s">
        <v>48</v>
      </c>
      <c r="K627" s="1" t="s">
        <v>120</v>
      </c>
      <c r="L627" s="17">
        <v>161.82</v>
      </c>
      <c r="M627" s="1">
        <v>9</v>
      </c>
      <c r="N627" s="1">
        <v>0</v>
      </c>
      <c r="O627" s="17">
        <v>46.927799999999984</v>
      </c>
      <c r="P627" s="17">
        <f>('Work File (2)'!$L627*'Work File (2)'!$M627)*(1-'Work File (2)'!$N627)</f>
        <v>1456.3799999999999</v>
      </c>
      <c r="Q627" s="1">
        <f>YEAR(Table2[[#This Row],[Order Date]])</f>
        <v>2017</v>
      </c>
      <c r="R627" s="18" t="str">
        <f>TEXT(Table2[[#This Row],[Order Date]],"mmm")</f>
        <v>Nov</v>
      </c>
      <c r="S627" s="18"/>
    </row>
    <row r="628" spans="1:19" x14ac:dyDescent="0.2">
      <c r="A628" s="1">
        <v>627</v>
      </c>
      <c r="B628" s="1" t="s">
        <v>1281</v>
      </c>
      <c r="C628" s="2">
        <v>43723</v>
      </c>
      <c r="D628" s="1" t="s">
        <v>36</v>
      </c>
      <c r="E628" s="1" t="s">
        <v>1282</v>
      </c>
      <c r="F628" s="1" t="s">
        <v>178</v>
      </c>
      <c r="G628" s="1" t="s">
        <v>179</v>
      </c>
      <c r="H628" s="1" t="s">
        <v>103</v>
      </c>
      <c r="I628" s="1" t="s">
        <v>22</v>
      </c>
      <c r="J628" s="1" t="s">
        <v>46</v>
      </c>
      <c r="K628" s="1" t="s">
        <v>1283</v>
      </c>
      <c r="L628" s="17">
        <v>35.56</v>
      </c>
      <c r="M628" s="1">
        <v>7</v>
      </c>
      <c r="N628" s="1">
        <v>0</v>
      </c>
      <c r="O628" s="17">
        <v>12.090399999999999</v>
      </c>
      <c r="P628" s="17">
        <f>('Work File (2)'!$L628*'Work File (2)'!$M628)*(1-'Work File (2)'!$N628)</f>
        <v>248.92000000000002</v>
      </c>
      <c r="Q628" s="1">
        <f>YEAR(Table2[[#This Row],[Order Date]])</f>
        <v>2019</v>
      </c>
      <c r="R628" s="18" t="str">
        <f>TEXT(Table2[[#This Row],[Order Date]],"mmm")</f>
        <v>Sep</v>
      </c>
      <c r="S628" s="18"/>
    </row>
    <row r="629" spans="1:19" x14ac:dyDescent="0.2">
      <c r="A629" s="1">
        <v>628</v>
      </c>
      <c r="B629" s="1" t="s">
        <v>1284</v>
      </c>
      <c r="C629" s="2">
        <v>43604</v>
      </c>
      <c r="D629" s="1" t="s">
        <v>36</v>
      </c>
      <c r="E629" s="1" t="s">
        <v>1285</v>
      </c>
      <c r="F629" s="1" t="s">
        <v>67</v>
      </c>
      <c r="G629" s="1" t="s">
        <v>68</v>
      </c>
      <c r="H629" s="1" t="s">
        <v>31</v>
      </c>
      <c r="I629" s="1" t="s">
        <v>32</v>
      </c>
      <c r="J629" s="1" t="s">
        <v>55</v>
      </c>
      <c r="K629" s="1" t="s">
        <v>1286</v>
      </c>
      <c r="L629" s="17">
        <v>97.16</v>
      </c>
      <c r="M629" s="1">
        <v>2</v>
      </c>
      <c r="N629" s="1">
        <v>0</v>
      </c>
      <c r="O629" s="17">
        <v>28.176399999999987</v>
      </c>
      <c r="P629" s="17">
        <f>('Work File (2)'!$L629*'Work File (2)'!$M629)*(1-'Work File (2)'!$N629)</f>
        <v>194.32</v>
      </c>
      <c r="Q629" s="1">
        <f>YEAR(Table2[[#This Row],[Order Date]])</f>
        <v>2019</v>
      </c>
      <c r="R629" s="18" t="str">
        <f>TEXT(Table2[[#This Row],[Order Date]],"mmm")</f>
        <v>May</v>
      </c>
      <c r="S629" s="18"/>
    </row>
    <row r="630" spans="1:19" x14ac:dyDescent="0.2">
      <c r="A630" s="1">
        <v>629</v>
      </c>
      <c r="B630" s="1" t="s">
        <v>1287</v>
      </c>
      <c r="C630" s="2">
        <v>43816</v>
      </c>
      <c r="D630" s="1" t="s">
        <v>36</v>
      </c>
      <c r="E630" s="1" t="s">
        <v>520</v>
      </c>
      <c r="F630" s="1" t="s">
        <v>89</v>
      </c>
      <c r="G630" s="1" t="s">
        <v>30</v>
      </c>
      <c r="H630" s="1" t="s">
        <v>31</v>
      </c>
      <c r="I630" s="1" t="s">
        <v>32</v>
      </c>
      <c r="J630" s="1" t="s">
        <v>53</v>
      </c>
      <c r="K630" s="1" t="s">
        <v>1288</v>
      </c>
      <c r="L630" s="17">
        <v>15.24</v>
      </c>
      <c r="M630" s="1">
        <v>5</v>
      </c>
      <c r="N630" s="1">
        <v>0.2</v>
      </c>
      <c r="O630" s="17">
        <v>5.1434999999999977</v>
      </c>
      <c r="P630" s="17">
        <f>('Work File (2)'!$L630*'Work File (2)'!$M630)*(1-'Work File (2)'!$N630)</f>
        <v>60.960000000000008</v>
      </c>
      <c r="Q630" s="1">
        <f>YEAR(Table2[[#This Row],[Order Date]])</f>
        <v>2019</v>
      </c>
      <c r="R630" s="18" t="str">
        <f>TEXT(Table2[[#This Row],[Order Date]],"mmm")</f>
        <v>Dec</v>
      </c>
      <c r="S630" s="18"/>
    </row>
    <row r="631" spans="1:19" x14ac:dyDescent="0.2">
      <c r="A631" s="1">
        <v>630</v>
      </c>
      <c r="B631" s="1" t="s">
        <v>1287</v>
      </c>
      <c r="C631" s="2">
        <v>43816</v>
      </c>
      <c r="D631" s="1" t="s">
        <v>36</v>
      </c>
      <c r="E631" s="1" t="s">
        <v>520</v>
      </c>
      <c r="F631" s="1" t="s">
        <v>89</v>
      </c>
      <c r="G631" s="1" t="s">
        <v>30</v>
      </c>
      <c r="H631" s="1" t="s">
        <v>31</v>
      </c>
      <c r="I631" s="1" t="s">
        <v>32</v>
      </c>
      <c r="J631" s="1" t="s">
        <v>63</v>
      </c>
      <c r="K631" s="1" t="s">
        <v>650</v>
      </c>
      <c r="L631" s="17">
        <v>13.23</v>
      </c>
      <c r="M631" s="1">
        <v>3</v>
      </c>
      <c r="N631" s="1">
        <v>0</v>
      </c>
      <c r="O631" s="17">
        <v>6.0857999999999999</v>
      </c>
      <c r="P631" s="17">
        <f>('Work File (2)'!$L631*'Work File (2)'!$M631)*(1-'Work File (2)'!$N631)</f>
        <v>39.69</v>
      </c>
      <c r="Q631" s="1">
        <f>YEAR(Table2[[#This Row],[Order Date]])</f>
        <v>2019</v>
      </c>
      <c r="R631" s="18" t="str">
        <f>TEXT(Table2[[#This Row],[Order Date]],"mmm")</f>
        <v>Dec</v>
      </c>
      <c r="S631" s="18"/>
    </row>
    <row r="632" spans="1:19" x14ac:dyDescent="0.2">
      <c r="A632" s="1">
        <v>631</v>
      </c>
      <c r="B632" s="1" t="s">
        <v>1289</v>
      </c>
      <c r="C632" s="2">
        <v>43445</v>
      </c>
      <c r="D632" s="1" t="s">
        <v>17</v>
      </c>
      <c r="E632" s="1" t="s">
        <v>1290</v>
      </c>
      <c r="F632" s="1" t="s">
        <v>297</v>
      </c>
      <c r="G632" s="1" t="s">
        <v>298</v>
      </c>
      <c r="H632" s="1" t="s">
        <v>31</v>
      </c>
      <c r="I632" s="1" t="s">
        <v>32</v>
      </c>
      <c r="J632" s="1" t="s">
        <v>42</v>
      </c>
      <c r="K632" s="1" t="s">
        <v>1291</v>
      </c>
      <c r="L632" s="17">
        <v>243.38400000000001</v>
      </c>
      <c r="M632" s="1">
        <v>3</v>
      </c>
      <c r="N632" s="1">
        <v>0.2</v>
      </c>
      <c r="O632" s="17">
        <v>-51.719100000000012</v>
      </c>
      <c r="P632" s="17">
        <f>('Work File (2)'!$L632*'Work File (2)'!$M632)*(1-'Work File (2)'!$N632)</f>
        <v>584.12160000000006</v>
      </c>
      <c r="Q632" s="1">
        <f>YEAR(Table2[[#This Row],[Order Date]])</f>
        <v>2018</v>
      </c>
      <c r="R632" s="18" t="str">
        <f>TEXT(Table2[[#This Row],[Order Date]],"mmm")</f>
        <v>Dec</v>
      </c>
      <c r="S632" s="18"/>
    </row>
    <row r="633" spans="1:19" x14ac:dyDescent="0.2">
      <c r="A633" s="1">
        <v>632</v>
      </c>
      <c r="B633" s="1" t="s">
        <v>1289</v>
      </c>
      <c r="C633" s="2">
        <v>43445</v>
      </c>
      <c r="D633" s="1" t="s">
        <v>17</v>
      </c>
      <c r="E633" s="1" t="s">
        <v>1290</v>
      </c>
      <c r="F633" s="1" t="s">
        <v>297</v>
      </c>
      <c r="G633" s="1" t="s">
        <v>298</v>
      </c>
      <c r="H633" s="1" t="s">
        <v>31</v>
      </c>
      <c r="I633" s="1" t="s">
        <v>50</v>
      </c>
      <c r="J633" s="1" t="s">
        <v>111</v>
      </c>
      <c r="K633" s="1" t="s">
        <v>1292</v>
      </c>
      <c r="L633" s="17">
        <v>119.80000000000001</v>
      </c>
      <c r="M633" s="1">
        <v>5</v>
      </c>
      <c r="N633" s="1">
        <v>0.2</v>
      </c>
      <c r="O633" s="17">
        <v>29.950000000000003</v>
      </c>
      <c r="P633" s="17">
        <f>('Work File (2)'!$L633*'Work File (2)'!$M633)*(1-'Work File (2)'!$N633)</f>
        <v>479.20000000000005</v>
      </c>
      <c r="Q633" s="1">
        <f>YEAR(Table2[[#This Row],[Order Date]])</f>
        <v>2018</v>
      </c>
      <c r="R633" s="18" t="str">
        <f>TEXT(Table2[[#This Row],[Order Date]],"mmm")</f>
        <v>Dec</v>
      </c>
      <c r="S633" s="18"/>
    </row>
    <row r="634" spans="1:19" x14ac:dyDescent="0.2">
      <c r="A634" s="1">
        <v>633</v>
      </c>
      <c r="B634" s="1" t="s">
        <v>1289</v>
      </c>
      <c r="C634" s="2">
        <v>43445</v>
      </c>
      <c r="D634" s="1" t="s">
        <v>17</v>
      </c>
      <c r="E634" s="1" t="s">
        <v>1290</v>
      </c>
      <c r="F634" s="1" t="s">
        <v>297</v>
      </c>
      <c r="G634" s="1" t="s">
        <v>298</v>
      </c>
      <c r="H634" s="1" t="s">
        <v>31</v>
      </c>
      <c r="I634" s="1" t="s">
        <v>50</v>
      </c>
      <c r="J634" s="1" t="s">
        <v>51</v>
      </c>
      <c r="K634" s="1" t="s">
        <v>1293</v>
      </c>
      <c r="L634" s="17">
        <v>300.76799999999997</v>
      </c>
      <c r="M634" s="1">
        <v>4</v>
      </c>
      <c r="N634" s="1">
        <v>0.2</v>
      </c>
      <c r="O634" s="17">
        <v>30.076800000000006</v>
      </c>
      <c r="P634" s="17">
        <f>('Work File (2)'!$L634*'Work File (2)'!$M634)*(1-'Work File (2)'!$N634)</f>
        <v>962.45759999999996</v>
      </c>
      <c r="Q634" s="1">
        <f>YEAR(Table2[[#This Row],[Order Date]])</f>
        <v>2018</v>
      </c>
      <c r="R634" s="18" t="str">
        <f>TEXT(Table2[[#This Row],[Order Date]],"mmm")</f>
        <v>Dec</v>
      </c>
      <c r="S634" s="18"/>
    </row>
    <row r="635" spans="1:19" x14ac:dyDescent="0.2">
      <c r="A635" s="1">
        <v>634</v>
      </c>
      <c r="B635" s="1" t="s">
        <v>1294</v>
      </c>
      <c r="C635" s="2">
        <v>43732</v>
      </c>
      <c r="D635" s="1" t="s">
        <v>17</v>
      </c>
      <c r="E635" s="1" t="s">
        <v>1114</v>
      </c>
      <c r="F635" s="1" t="s">
        <v>888</v>
      </c>
      <c r="G635" s="1" t="s">
        <v>39</v>
      </c>
      <c r="H635" s="1" t="s">
        <v>21</v>
      </c>
      <c r="I635" s="1" t="s">
        <v>50</v>
      </c>
      <c r="J635" s="1" t="s">
        <v>111</v>
      </c>
      <c r="K635" s="1" t="s">
        <v>1295</v>
      </c>
      <c r="L635" s="17">
        <v>17.880000000000003</v>
      </c>
      <c r="M635" s="1">
        <v>3</v>
      </c>
      <c r="N635" s="1">
        <v>0.2</v>
      </c>
      <c r="O635" s="17">
        <v>2.458499999999999</v>
      </c>
      <c r="P635" s="17">
        <f>('Work File (2)'!$L635*'Work File (2)'!$M635)*(1-'Work File (2)'!$N635)</f>
        <v>42.912000000000006</v>
      </c>
      <c r="Q635" s="1">
        <f>YEAR(Table2[[#This Row],[Order Date]])</f>
        <v>2019</v>
      </c>
      <c r="R635" s="18" t="str">
        <f>TEXT(Table2[[#This Row],[Order Date]],"mmm")</f>
        <v>Sep</v>
      </c>
      <c r="S635" s="18"/>
    </row>
    <row r="636" spans="1:19" x14ac:dyDescent="0.2">
      <c r="A636" s="1">
        <v>635</v>
      </c>
      <c r="B636" s="1" t="s">
        <v>1294</v>
      </c>
      <c r="C636" s="2">
        <v>43732</v>
      </c>
      <c r="D636" s="1" t="s">
        <v>17</v>
      </c>
      <c r="E636" s="1" t="s">
        <v>1114</v>
      </c>
      <c r="F636" s="1" t="s">
        <v>888</v>
      </c>
      <c r="G636" s="1" t="s">
        <v>39</v>
      </c>
      <c r="H636" s="1" t="s">
        <v>21</v>
      </c>
      <c r="I636" s="1" t="s">
        <v>32</v>
      </c>
      <c r="J636" s="1" t="s">
        <v>33</v>
      </c>
      <c r="K636" s="1" t="s">
        <v>1225</v>
      </c>
      <c r="L636" s="17">
        <v>235.94400000000002</v>
      </c>
      <c r="M636" s="1">
        <v>3</v>
      </c>
      <c r="N636" s="1">
        <v>0.2</v>
      </c>
      <c r="O636" s="17">
        <v>85.529700000000005</v>
      </c>
      <c r="P636" s="17">
        <f>('Work File (2)'!$L636*'Work File (2)'!$M636)*(1-'Work File (2)'!$N636)</f>
        <v>566.26560000000006</v>
      </c>
      <c r="Q636" s="1">
        <f>YEAR(Table2[[#This Row],[Order Date]])</f>
        <v>2019</v>
      </c>
      <c r="R636" s="18" t="str">
        <f>TEXT(Table2[[#This Row],[Order Date]],"mmm")</f>
        <v>Sep</v>
      </c>
      <c r="S636" s="18"/>
    </row>
    <row r="637" spans="1:19" x14ac:dyDescent="0.2">
      <c r="A637" s="1">
        <v>636</v>
      </c>
      <c r="B637" s="1" t="s">
        <v>1296</v>
      </c>
      <c r="C637" s="2">
        <v>43012</v>
      </c>
      <c r="D637" s="1" t="s">
        <v>17</v>
      </c>
      <c r="E637" s="1" t="s">
        <v>1297</v>
      </c>
      <c r="F637" s="1" t="s">
        <v>1298</v>
      </c>
      <c r="G637" s="1" t="s">
        <v>797</v>
      </c>
      <c r="H637" s="1" t="s">
        <v>21</v>
      </c>
      <c r="I637" s="1" t="s">
        <v>22</v>
      </c>
      <c r="J637" s="1" t="s">
        <v>25</v>
      </c>
      <c r="K637" s="1" t="s">
        <v>1299</v>
      </c>
      <c r="L637" s="17">
        <v>392.93999999999994</v>
      </c>
      <c r="M637" s="1">
        <v>3</v>
      </c>
      <c r="N637" s="1">
        <v>0</v>
      </c>
      <c r="O637" s="17">
        <v>43.223399999999984</v>
      </c>
      <c r="P637" s="17">
        <f>('Work File (2)'!$L637*'Work File (2)'!$M637)*(1-'Work File (2)'!$N637)</f>
        <v>1178.8199999999997</v>
      </c>
      <c r="Q637" s="1">
        <f>YEAR(Table2[[#This Row],[Order Date]])</f>
        <v>2017</v>
      </c>
      <c r="R637" s="18" t="str">
        <f>TEXT(Table2[[#This Row],[Order Date]],"mmm")</f>
        <v>Oct</v>
      </c>
      <c r="S637" s="18"/>
    </row>
    <row r="638" spans="1:19" x14ac:dyDescent="0.2">
      <c r="A638" s="1">
        <v>637</v>
      </c>
      <c r="B638" s="1" t="s">
        <v>1300</v>
      </c>
      <c r="C638" s="2">
        <v>43327</v>
      </c>
      <c r="D638" s="1" t="s">
        <v>36</v>
      </c>
      <c r="E638" s="1" t="s">
        <v>1301</v>
      </c>
      <c r="F638" s="1" t="s">
        <v>297</v>
      </c>
      <c r="G638" s="1" t="s">
        <v>298</v>
      </c>
      <c r="H638" s="1" t="s">
        <v>31</v>
      </c>
      <c r="I638" s="1" t="s">
        <v>32</v>
      </c>
      <c r="J638" s="1" t="s">
        <v>53</v>
      </c>
      <c r="K638" s="1" t="s">
        <v>1302</v>
      </c>
      <c r="L638" s="17">
        <v>18.882000000000005</v>
      </c>
      <c r="M638" s="1">
        <v>3</v>
      </c>
      <c r="N638" s="1">
        <v>0.7</v>
      </c>
      <c r="O638" s="17">
        <v>-13.846800000000002</v>
      </c>
      <c r="P638" s="17">
        <f>('Work File (2)'!$L638*'Work File (2)'!$M638)*(1-'Work File (2)'!$N638)</f>
        <v>16.993800000000007</v>
      </c>
      <c r="Q638" s="1">
        <f>YEAR(Table2[[#This Row],[Order Date]])</f>
        <v>2018</v>
      </c>
      <c r="R638" s="18" t="str">
        <f>TEXT(Table2[[#This Row],[Order Date]],"mmm")</f>
        <v>Aug</v>
      </c>
      <c r="S638" s="18"/>
    </row>
    <row r="639" spans="1:19" x14ac:dyDescent="0.2">
      <c r="A639" s="1">
        <v>638</v>
      </c>
      <c r="B639" s="1" t="s">
        <v>1300</v>
      </c>
      <c r="C639" s="2">
        <v>43327</v>
      </c>
      <c r="D639" s="1" t="s">
        <v>36</v>
      </c>
      <c r="E639" s="1" t="s">
        <v>1301</v>
      </c>
      <c r="F639" s="1" t="s">
        <v>297</v>
      </c>
      <c r="G639" s="1" t="s">
        <v>298</v>
      </c>
      <c r="H639" s="1" t="s">
        <v>31</v>
      </c>
      <c r="I639" s="1" t="s">
        <v>32</v>
      </c>
      <c r="J639" s="1" t="s">
        <v>55</v>
      </c>
      <c r="K639" s="1" t="s">
        <v>1303</v>
      </c>
      <c r="L639" s="17">
        <v>122.328</v>
      </c>
      <c r="M639" s="1">
        <v>3</v>
      </c>
      <c r="N639" s="1">
        <v>0.2</v>
      </c>
      <c r="O639" s="17">
        <v>12.232799999999997</v>
      </c>
      <c r="P639" s="17">
        <f>('Work File (2)'!$L639*'Work File (2)'!$M639)*(1-'Work File (2)'!$N639)</f>
        <v>293.58720000000005</v>
      </c>
      <c r="Q639" s="1">
        <f>YEAR(Table2[[#This Row],[Order Date]])</f>
        <v>2018</v>
      </c>
      <c r="R639" s="18" t="str">
        <f>TEXT(Table2[[#This Row],[Order Date]],"mmm")</f>
        <v>Aug</v>
      </c>
      <c r="S639" s="18"/>
    </row>
    <row r="640" spans="1:19" x14ac:dyDescent="0.2">
      <c r="A640" s="1">
        <v>639</v>
      </c>
      <c r="B640" s="1" t="s">
        <v>1304</v>
      </c>
      <c r="C640" s="2">
        <v>43240</v>
      </c>
      <c r="D640" s="1" t="s">
        <v>36</v>
      </c>
      <c r="E640" s="1" t="s">
        <v>288</v>
      </c>
      <c r="F640" s="1" t="s">
        <v>1305</v>
      </c>
      <c r="G640" s="1" t="s">
        <v>30</v>
      </c>
      <c r="H640" s="1" t="s">
        <v>31</v>
      </c>
      <c r="I640" s="1" t="s">
        <v>22</v>
      </c>
      <c r="J640" s="1" t="s">
        <v>46</v>
      </c>
      <c r="K640" s="1" t="s">
        <v>584</v>
      </c>
      <c r="L640" s="17">
        <v>1049.2</v>
      </c>
      <c r="M640" s="1">
        <v>5</v>
      </c>
      <c r="N640" s="1">
        <v>0</v>
      </c>
      <c r="O640" s="17">
        <v>272.79200000000003</v>
      </c>
      <c r="P640" s="17">
        <f>('Work File (2)'!$L640*'Work File (2)'!$M640)*(1-'Work File (2)'!$N640)</f>
        <v>5246</v>
      </c>
      <c r="Q640" s="1">
        <f>YEAR(Table2[[#This Row],[Order Date]])</f>
        <v>2018</v>
      </c>
      <c r="R640" s="18" t="str">
        <f>TEXT(Table2[[#This Row],[Order Date]],"mmm")</f>
        <v>May</v>
      </c>
      <c r="S640" s="18"/>
    </row>
    <row r="641" spans="1:19" x14ac:dyDescent="0.2">
      <c r="A641" s="1">
        <v>640</v>
      </c>
      <c r="B641" s="1" t="s">
        <v>1304</v>
      </c>
      <c r="C641" s="2">
        <v>43240</v>
      </c>
      <c r="D641" s="1" t="s">
        <v>36</v>
      </c>
      <c r="E641" s="1" t="s">
        <v>288</v>
      </c>
      <c r="F641" s="1" t="s">
        <v>1305</v>
      </c>
      <c r="G641" s="1" t="s">
        <v>30</v>
      </c>
      <c r="H641" s="1" t="s">
        <v>31</v>
      </c>
      <c r="I641" s="1" t="s">
        <v>32</v>
      </c>
      <c r="J641" s="1" t="s">
        <v>53</v>
      </c>
      <c r="K641" s="1" t="s">
        <v>1306</v>
      </c>
      <c r="L641" s="17">
        <v>15.424000000000001</v>
      </c>
      <c r="M641" s="1">
        <v>4</v>
      </c>
      <c r="N641" s="1">
        <v>0.2</v>
      </c>
      <c r="O641" s="17">
        <v>5.0128000000000004</v>
      </c>
      <c r="P641" s="17">
        <f>('Work File (2)'!$L641*'Work File (2)'!$M641)*(1-'Work File (2)'!$N641)</f>
        <v>49.356800000000007</v>
      </c>
      <c r="Q641" s="1">
        <f>YEAR(Table2[[#This Row],[Order Date]])</f>
        <v>2018</v>
      </c>
      <c r="R641" s="18" t="str">
        <f>TEXT(Table2[[#This Row],[Order Date]],"mmm")</f>
        <v>May</v>
      </c>
      <c r="S641" s="18"/>
    </row>
    <row r="642" spans="1:19" x14ac:dyDescent="0.2">
      <c r="A642" s="1">
        <v>641</v>
      </c>
      <c r="B642" s="1" t="s">
        <v>1307</v>
      </c>
      <c r="C642" s="2">
        <v>43452</v>
      </c>
      <c r="D642" s="1" t="s">
        <v>36</v>
      </c>
      <c r="E642" s="1" t="s">
        <v>1308</v>
      </c>
      <c r="F642" s="1" t="s">
        <v>268</v>
      </c>
      <c r="G642" s="1" t="s">
        <v>154</v>
      </c>
      <c r="H642" s="1" t="s">
        <v>74</v>
      </c>
      <c r="I642" s="1" t="s">
        <v>22</v>
      </c>
      <c r="J642" s="1" t="s">
        <v>46</v>
      </c>
      <c r="K642" s="1" t="s">
        <v>1309</v>
      </c>
      <c r="L642" s="17">
        <v>18.84</v>
      </c>
      <c r="M642" s="1">
        <v>3</v>
      </c>
      <c r="N642" s="1">
        <v>0</v>
      </c>
      <c r="O642" s="17">
        <v>6.0287999999999995</v>
      </c>
      <c r="P642" s="17">
        <f>('Work File (2)'!$L642*'Work File (2)'!$M642)*(1-'Work File (2)'!$N642)</f>
        <v>56.519999999999996</v>
      </c>
      <c r="Q642" s="1">
        <f>YEAR(Table2[[#This Row],[Order Date]])</f>
        <v>2018</v>
      </c>
      <c r="R642" s="18" t="str">
        <f>TEXT(Table2[[#This Row],[Order Date]],"mmm")</f>
        <v>Dec</v>
      </c>
      <c r="S642" s="18"/>
    </row>
    <row r="643" spans="1:19" x14ac:dyDescent="0.2">
      <c r="A643" s="1">
        <v>642</v>
      </c>
      <c r="B643" s="1" t="s">
        <v>1310</v>
      </c>
      <c r="C643" s="2">
        <v>43676</v>
      </c>
      <c r="D643" s="1" t="s">
        <v>17</v>
      </c>
      <c r="E643" s="1" t="s">
        <v>1311</v>
      </c>
      <c r="F643" s="1" t="s">
        <v>1312</v>
      </c>
      <c r="G643" s="1" t="s">
        <v>30</v>
      </c>
      <c r="H643" s="1" t="s">
        <v>31</v>
      </c>
      <c r="I643" s="1" t="s">
        <v>32</v>
      </c>
      <c r="J643" s="1" t="s">
        <v>42</v>
      </c>
      <c r="K643" s="1" t="s">
        <v>1313</v>
      </c>
      <c r="L643" s="17">
        <v>330.4</v>
      </c>
      <c r="M643" s="1">
        <v>2</v>
      </c>
      <c r="N643" s="1">
        <v>0</v>
      </c>
      <c r="O643" s="17">
        <v>85.903999999999996</v>
      </c>
      <c r="P643" s="17">
        <f>('Work File (2)'!$L643*'Work File (2)'!$M643)*(1-'Work File (2)'!$N643)</f>
        <v>660.8</v>
      </c>
      <c r="Q643" s="1">
        <f>YEAR(Table2[[#This Row],[Order Date]])</f>
        <v>2019</v>
      </c>
      <c r="R643" s="18" t="str">
        <f>TEXT(Table2[[#This Row],[Order Date]],"mmm")</f>
        <v>Jul</v>
      </c>
      <c r="S643" s="18"/>
    </row>
    <row r="644" spans="1:19" x14ac:dyDescent="0.2">
      <c r="A644" s="1">
        <v>643</v>
      </c>
      <c r="B644" s="1" t="s">
        <v>1310</v>
      </c>
      <c r="C644" s="2">
        <v>43676</v>
      </c>
      <c r="D644" s="1" t="s">
        <v>17</v>
      </c>
      <c r="E644" s="1" t="s">
        <v>1311</v>
      </c>
      <c r="F644" s="1" t="s">
        <v>1312</v>
      </c>
      <c r="G644" s="1" t="s">
        <v>30</v>
      </c>
      <c r="H644" s="1" t="s">
        <v>31</v>
      </c>
      <c r="I644" s="1" t="s">
        <v>32</v>
      </c>
      <c r="J644" s="1" t="s">
        <v>33</v>
      </c>
      <c r="K644" s="1" t="s">
        <v>1314</v>
      </c>
      <c r="L644" s="17">
        <v>26.25</v>
      </c>
      <c r="M644" s="1">
        <v>7</v>
      </c>
      <c r="N644" s="1">
        <v>0</v>
      </c>
      <c r="O644" s="17">
        <v>12.599999999999998</v>
      </c>
      <c r="P644" s="17">
        <f>('Work File (2)'!$L644*'Work File (2)'!$M644)*(1-'Work File (2)'!$N644)</f>
        <v>183.75</v>
      </c>
      <c r="Q644" s="1">
        <f>YEAR(Table2[[#This Row],[Order Date]])</f>
        <v>2019</v>
      </c>
      <c r="R644" s="18" t="str">
        <f>TEXT(Table2[[#This Row],[Order Date]],"mmm")</f>
        <v>Jul</v>
      </c>
      <c r="S644" s="18"/>
    </row>
    <row r="645" spans="1:19" x14ac:dyDescent="0.2">
      <c r="A645" s="1">
        <v>644</v>
      </c>
      <c r="B645" s="1" t="s">
        <v>1315</v>
      </c>
      <c r="C645" s="2">
        <v>43626</v>
      </c>
      <c r="D645" s="1" t="s">
        <v>36</v>
      </c>
      <c r="E645" s="1" t="s">
        <v>1316</v>
      </c>
      <c r="F645" s="1" t="s">
        <v>1317</v>
      </c>
      <c r="G645" s="1" t="s">
        <v>160</v>
      </c>
      <c r="H645" s="1" t="s">
        <v>74</v>
      </c>
      <c r="I645" s="1" t="s">
        <v>50</v>
      </c>
      <c r="J645" s="1" t="s">
        <v>111</v>
      </c>
      <c r="K645" s="1" t="s">
        <v>1112</v>
      </c>
      <c r="L645" s="17">
        <v>132.52000000000001</v>
      </c>
      <c r="M645" s="1">
        <v>4</v>
      </c>
      <c r="N645" s="1">
        <v>0</v>
      </c>
      <c r="O645" s="17">
        <v>54.333200000000005</v>
      </c>
      <c r="P645" s="17">
        <f>('Work File (2)'!$L645*'Work File (2)'!$M645)*(1-'Work File (2)'!$N645)</f>
        <v>530.08000000000004</v>
      </c>
      <c r="Q645" s="1">
        <f>YEAR(Table2[[#This Row],[Order Date]])</f>
        <v>2019</v>
      </c>
      <c r="R645" s="18" t="str">
        <f>TEXT(Table2[[#This Row],[Order Date]],"mmm")</f>
        <v>Jun</v>
      </c>
      <c r="S645" s="18"/>
    </row>
    <row r="646" spans="1:19" x14ac:dyDescent="0.2">
      <c r="A646" s="1">
        <v>645</v>
      </c>
      <c r="B646" s="1" t="s">
        <v>1318</v>
      </c>
      <c r="C646" s="2">
        <v>43667</v>
      </c>
      <c r="D646" s="1" t="s">
        <v>36</v>
      </c>
      <c r="E646" s="1" t="s">
        <v>400</v>
      </c>
      <c r="F646" s="1" t="s">
        <v>1319</v>
      </c>
      <c r="G646" s="1" t="s">
        <v>504</v>
      </c>
      <c r="H646" s="1" t="s">
        <v>103</v>
      </c>
      <c r="I646" s="1" t="s">
        <v>32</v>
      </c>
      <c r="J646" s="1" t="s">
        <v>63</v>
      </c>
      <c r="K646" s="1" t="s">
        <v>1320</v>
      </c>
      <c r="L646" s="17">
        <v>6.48</v>
      </c>
      <c r="M646" s="1">
        <v>1</v>
      </c>
      <c r="N646" s="1">
        <v>0</v>
      </c>
      <c r="O646" s="17">
        <v>3.1752000000000002</v>
      </c>
      <c r="P646" s="17">
        <f>('Work File (2)'!$L646*'Work File (2)'!$M646)*(1-'Work File (2)'!$N646)</f>
        <v>6.48</v>
      </c>
      <c r="Q646" s="1">
        <f>YEAR(Table2[[#This Row],[Order Date]])</f>
        <v>2019</v>
      </c>
      <c r="R646" s="18" t="str">
        <f>TEXT(Table2[[#This Row],[Order Date]],"mmm")</f>
        <v>Jul</v>
      </c>
      <c r="S646" s="18"/>
    </row>
    <row r="647" spans="1:19" x14ac:dyDescent="0.2">
      <c r="A647" s="1">
        <v>646</v>
      </c>
      <c r="B647" s="1" t="s">
        <v>1321</v>
      </c>
      <c r="C647" s="2">
        <v>43829</v>
      </c>
      <c r="D647" s="1" t="s">
        <v>36</v>
      </c>
      <c r="E647" s="1" t="s">
        <v>1322</v>
      </c>
      <c r="F647" s="1" t="s">
        <v>323</v>
      </c>
      <c r="G647" s="1" t="s">
        <v>171</v>
      </c>
      <c r="H647" s="1" t="s">
        <v>74</v>
      </c>
      <c r="I647" s="1" t="s">
        <v>32</v>
      </c>
      <c r="J647" s="1" t="s">
        <v>55</v>
      </c>
      <c r="K647" s="1" t="s">
        <v>1323</v>
      </c>
      <c r="L647" s="17">
        <v>209.3</v>
      </c>
      <c r="M647" s="1">
        <v>2</v>
      </c>
      <c r="N647" s="1">
        <v>0</v>
      </c>
      <c r="O647" s="17">
        <v>56.510999999999996</v>
      </c>
      <c r="P647" s="17">
        <f>('Work File (2)'!$L647*'Work File (2)'!$M647)*(1-'Work File (2)'!$N647)</f>
        <v>418.6</v>
      </c>
      <c r="Q647" s="1">
        <f>YEAR(Table2[[#This Row],[Order Date]])</f>
        <v>2019</v>
      </c>
      <c r="R647" s="18" t="str">
        <f>TEXT(Table2[[#This Row],[Order Date]],"mmm")</f>
        <v>Dec</v>
      </c>
      <c r="S647" s="18"/>
    </row>
    <row r="648" spans="1:19" x14ac:dyDescent="0.2">
      <c r="A648" s="1">
        <v>647</v>
      </c>
      <c r="B648" s="1" t="s">
        <v>1324</v>
      </c>
      <c r="C648" s="2">
        <v>43191</v>
      </c>
      <c r="D648" s="1" t="s">
        <v>36</v>
      </c>
      <c r="E648" s="1" t="s">
        <v>648</v>
      </c>
      <c r="F648" s="1" t="s">
        <v>1325</v>
      </c>
      <c r="G648" s="1" t="s">
        <v>205</v>
      </c>
      <c r="H648" s="1" t="s">
        <v>31</v>
      </c>
      <c r="I648" s="1" t="s">
        <v>32</v>
      </c>
      <c r="J648" s="1" t="s">
        <v>180</v>
      </c>
      <c r="K648" s="1" t="s">
        <v>363</v>
      </c>
      <c r="L648" s="17">
        <v>31.560000000000002</v>
      </c>
      <c r="M648" s="1">
        <v>5</v>
      </c>
      <c r="N648" s="1">
        <v>0.2</v>
      </c>
      <c r="O648" s="17">
        <v>9.8624999999999972</v>
      </c>
      <c r="P648" s="17">
        <f>('Work File (2)'!$L648*'Work File (2)'!$M648)*(1-'Work File (2)'!$N648)</f>
        <v>126.24000000000001</v>
      </c>
      <c r="Q648" s="1">
        <f>YEAR(Table2[[#This Row],[Order Date]])</f>
        <v>2018</v>
      </c>
      <c r="R648" s="18" t="str">
        <f>TEXT(Table2[[#This Row],[Order Date]],"mmm")</f>
        <v>Apr</v>
      </c>
      <c r="S648" s="18"/>
    </row>
    <row r="649" spans="1:19" x14ac:dyDescent="0.2">
      <c r="A649" s="1">
        <v>648</v>
      </c>
      <c r="B649" s="1" t="s">
        <v>1324</v>
      </c>
      <c r="C649" s="2">
        <v>43191</v>
      </c>
      <c r="D649" s="1" t="s">
        <v>36</v>
      </c>
      <c r="E649" s="1" t="s">
        <v>648</v>
      </c>
      <c r="F649" s="1" t="s">
        <v>1325</v>
      </c>
      <c r="G649" s="1" t="s">
        <v>205</v>
      </c>
      <c r="H649" s="1" t="s">
        <v>31</v>
      </c>
      <c r="I649" s="1" t="s">
        <v>32</v>
      </c>
      <c r="J649" s="1" t="s">
        <v>55</v>
      </c>
      <c r="K649" s="1" t="s">
        <v>1326</v>
      </c>
      <c r="L649" s="17">
        <v>30.144000000000002</v>
      </c>
      <c r="M649" s="1">
        <v>2</v>
      </c>
      <c r="N649" s="1">
        <v>0.2</v>
      </c>
      <c r="O649" s="17">
        <v>3.0143999999999993</v>
      </c>
      <c r="P649" s="17">
        <f>('Work File (2)'!$L649*'Work File (2)'!$M649)*(1-'Work File (2)'!$N649)</f>
        <v>48.230400000000003</v>
      </c>
      <c r="Q649" s="1">
        <f>YEAR(Table2[[#This Row],[Order Date]])</f>
        <v>2018</v>
      </c>
      <c r="R649" s="18" t="str">
        <f>TEXT(Table2[[#This Row],[Order Date]],"mmm")</f>
        <v>Apr</v>
      </c>
      <c r="S649" s="18"/>
    </row>
    <row r="650" spans="1:19" x14ac:dyDescent="0.2">
      <c r="A650" s="1">
        <v>649</v>
      </c>
      <c r="B650" s="1" t="s">
        <v>1327</v>
      </c>
      <c r="C650" s="2">
        <v>43445</v>
      </c>
      <c r="D650" s="1" t="s">
        <v>17</v>
      </c>
      <c r="E650" s="1" t="s">
        <v>1328</v>
      </c>
      <c r="F650" s="1" t="s">
        <v>1329</v>
      </c>
      <c r="G650" s="1" t="s">
        <v>68</v>
      </c>
      <c r="H650" s="1" t="s">
        <v>31</v>
      </c>
      <c r="I650" s="1" t="s">
        <v>22</v>
      </c>
      <c r="J650" s="1" t="s">
        <v>46</v>
      </c>
      <c r="K650" s="1" t="s">
        <v>852</v>
      </c>
      <c r="L650" s="17">
        <v>14.8</v>
      </c>
      <c r="M650" s="1">
        <v>4</v>
      </c>
      <c r="N650" s="1">
        <v>0</v>
      </c>
      <c r="O650" s="17">
        <v>6.0680000000000014</v>
      </c>
      <c r="P650" s="17">
        <f>('Work File (2)'!$L650*'Work File (2)'!$M650)*(1-'Work File (2)'!$N650)</f>
        <v>59.2</v>
      </c>
      <c r="Q650" s="1">
        <f>YEAR(Table2[[#This Row],[Order Date]])</f>
        <v>2018</v>
      </c>
      <c r="R650" s="18" t="str">
        <f>TEXT(Table2[[#This Row],[Order Date]],"mmm")</f>
        <v>Dec</v>
      </c>
      <c r="S650" s="18"/>
    </row>
    <row r="651" spans="1:19" x14ac:dyDescent="0.2">
      <c r="A651" s="1">
        <v>650</v>
      </c>
      <c r="B651" s="1" t="s">
        <v>1327</v>
      </c>
      <c r="C651" s="2">
        <v>43445</v>
      </c>
      <c r="D651" s="1" t="s">
        <v>17</v>
      </c>
      <c r="E651" s="1" t="s">
        <v>1328</v>
      </c>
      <c r="F651" s="1" t="s">
        <v>1329</v>
      </c>
      <c r="G651" s="1" t="s">
        <v>68</v>
      </c>
      <c r="H651" s="1" t="s">
        <v>31</v>
      </c>
      <c r="I651" s="1" t="s">
        <v>50</v>
      </c>
      <c r="J651" s="1" t="s">
        <v>51</v>
      </c>
      <c r="K651" s="1" t="s">
        <v>472</v>
      </c>
      <c r="L651" s="17">
        <v>302.37599999999998</v>
      </c>
      <c r="M651" s="1">
        <v>3</v>
      </c>
      <c r="N651" s="1">
        <v>0.2</v>
      </c>
      <c r="O651" s="17">
        <v>22.678200000000018</v>
      </c>
      <c r="P651" s="17">
        <f>('Work File (2)'!$L651*'Work File (2)'!$M651)*(1-'Work File (2)'!$N651)</f>
        <v>725.70240000000001</v>
      </c>
      <c r="Q651" s="1">
        <f>YEAR(Table2[[#This Row],[Order Date]])</f>
        <v>2018</v>
      </c>
      <c r="R651" s="18" t="str">
        <f>TEXT(Table2[[#This Row],[Order Date]],"mmm")</f>
        <v>Dec</v>
      </c>
      <c r="S651" s="18"/>
    </row>
    <row r="652" spans="1:19" x14ac:dyDescent="0.2">
      <c r="A652" s="1">
        <v>651</v>
      </c>
      <c r="B652" s="1" t="s">
        <v>1327</v>
      </c>
      <c r="C652" s="2">
        <v>43445</v>
      </c>
      <c r="D652" s="1" t="s">
        <v>17</v>
      </c>
      <c r="E652" s="1" t="s">
        <v>1328</v>
      </c>
      <c r="F652" s="1" t="s">
        <v>1329</v>
      </c>
      <c r="G652" s="1" t="s">
        <v>68</v>
      </c>
      <c r="H652" s="1" t="s">
        <v>31</v>
      </c>
      <c r="I652" s="1" t="s">
        <v>50</v>
      </c>
      <c r="J652" s="1" t="s">
        <v>111</v>
      </c>
      <c r="K652" s="1" t="s">
        <v>1330</v>
      </c>
      <c r="L652" s="17">
        <v>316</v>
      </c>
      <c r="M652" s="1">
        <v>4</v>
      </c>
      <c r="N652" s="1">
        <v>0</v>
      </c>
      <c r="O652" s="17">
        <v>31.599999999999966</v>
      </c>
      <c r="P652" s="17">
        <f>('Work File (2)'!$L652*'Work File (2)'!$M652)*(1-'Work File (2)'!$N652)</f>
        <v>1264</v>
      </c>
      <c r="Q652" s="1">
        <f>YEAR(Table2[[#This Row],[Order Date]])</f>
        <v>2018</v>
      </c>
      <c r="R652" s="18" t="str">
        <f>TEXT(Table2[[#This Row],[Order Date]],"mmm")</f>
        <v>Dec</v>
      </c>
      <c r="S652" s="18"/>
    </row>
    <row r="653" spans="1:19" x14ac:dyDescent="0.2">
      <c r="A653" s="1">
        <v>652</v>
      </c>
      <c r="B653" s="1" t="s">
        <v>1331</v>
      </c>
      <c r="C653" s="2">
        <v>43396</v>
      </c>
      <c r="D653" s="1" t="s">
        <v>36</v>
      </c>
      <c r="E653" s="1" t="s">
        <v>1332</v>
      </c>
      <c r="F653" s="1" t="s">
        <v>178</v>
      </c>
      <c r="G653" s="1" t="s">
        <v>179</v>
      </c>
      <c r="H653" s="1" t="s">
        <v>103</v>
      </c>
      <c r="I653" s="1" t="s">
        <v>32</v>
      </c>
      <c r="J653" s="1" t="s">
        <v>63</v>
      </c>
      <c r="K653" s="1" t="s">
        <v>212</v>
      </c>
      <c r="L653" s="17">
        <v>379.4</v>
      </c>
      <c r="M653" s="1">
        <v>10</v>
      </c>
      <c r="N653" s="1">
        <v>0</v>
      </c>
      <c r="O653" s="17">
        <v>178.31799999999998</v>
      </c>
      <c r="P653" s="17">
        <f>('Work File (2)'!$L653*'Work File (2)'!$M653)*(1-'Work File (2)'!$N653)</f>
        <v>3794</v>
      </c>
      <c r="Q653" s="1">
        <f>YEAR(Table2[[#This Row],[Order Date]])</f>
        <v>2018</v>
      </c>
      <c r="R653" s="18" t="str">
        <f>TEXT(Table2[[#This Row],[Order Date]],"mmm")</f>
        <v>Oct</v>
      </c>
      <c r="S653" s="18"/>
    </row>
    <row r="654" spans="1:19" x14ac:dyDescent="0.2">
      <c r="A654" s="1">
        <v>653</v>
      </c>
      <c r="B654" s="1" t="s">
        <v>1333</v>
      </c>
      <c r="C654" s="2">
        <v>43635</v>
      </c>
      <c r="D654" s="1" t="s">
        <v>36</v>
      </c>
      <c r="E654" s="1" t="s">
        <v>830</v>
      </c>
      <c r="F654" s="1" t="s">
        <v>178</v>
      </c>
      <c r="G654" s="1" t="s">
        <v>179</v>
      </c>
      <c r="H654" s="1" t="s">
        <v>103</v>
      </c>
      <c r="I654" s="1" t="s">
        <v>32</v>
      </c>
      <c r="J654" s="1" t="s">
        <v>63</v>
      </c>
      <c r="K654" s="1" t="s">
        <v>196</v>
      </c>
      <c r="L654" s="17">
        <v>97.82</v>
      </c>
      <c r="M654" s="1">
        <v>2</v>
      </c>
      <c r="N654" s="1">
        <v>0</v>
      </c>
      <c r="O654" s="17">
        <v>45.975399999999993</v>
      </c>
      <c r="P654" s="17">
        <f>('Work File (2)'!$L654*'Work File (2)'!$M654)*(1-'Work File (2)'!$N654)</f>
        <v>195.64</v>
      </c>
      <c r="Q654" s="1">
        <f>YEAR(Table2[[#This Row],[Order Date]])</f>
        <v>2019</v>
      </c>
      <c r="R654" s="18" t="str">
        <f>TEXT(Table2[[#This Row],[Order Date]],"mmm")</f>
        <v>Jun</v>
      </c>
      <c r="S654" s="18"/>
    </row>
    <row r="655" spans="1:19" x14ac:dyDescent="0.2">
      <c r="A655" s="1">
        <v>654</v>
      </c>
      <c r="B655" s="1" t="s">
        <v>1333</v>
      </c>
      <c r="C655" s="2">
        <v>43635</v>
      </c>
      <c r="D655" s="1" t="s">
        <v>36</v>
      </c>
      <c r="E655" s="1" t="s">
        <v>830</v>
      </c>
      <c r="F655" s="1" t="s">
        <v>178</v>
      </c>
      <c r="G655" s="1" t="s">
        <v>179</v>
      </c>
      <c r="H655" s="1" t="s">
        <v>103</v>
      </c>
      <c r="I655" s="1" t="s">
        <v>50</v>
      </c>
      <c r="J655" s="1" t="s">
        <v>111</v>
      </c>
      <c r="K655" s="1" t="s">
        <v>1334</v>
      </c>
      <c r="L655" s="17">
        <v>103.12</v>
      </c>
      <c r="M655" s="1">
        <v>8</v>
      </c>
      <c r="N655" s="1">
        <v>0</v>
      </c>
      <c r="O655" s="17">
        <v>10.311999999999998</v>
      </c>
      <c r="P655" s="17">
        <f>('Work File (2)'!$L655*'Work File (2)'!$M655)*(1-'Work File (2)'!$N655)</f>
        <v>824.96</v>
      </c>
      <c r="Q655" s="1">
        <f>YEAR(Table2[[#This Row],[Order Date]])</f>
        <v>2019</v>
      </c>
      <c r="R655" s="18" t="str">
        <f>TEXT(Table2[[#This Row],[Order Date]],"mmm")</f>
        <v>Jun</v>
      </c>
      <c r="S655" s="18"/>
    </row>
    <row r="656" spans="1:19" x14ac:dyDescent="0.2">
      <c r="A656" s="1">
        <v>655</v>
      </c>
      <c r="B656" s="1" t="s">
        <v>1335</v>
      </c>
      <c r="C656" s="2">
        <v>43334</v>
      </c>
      <c r="D656" s="1" t="s">
        <v>36</v>
      </c>
      <c r="E656" s="1" t="s">
        <v>1336</v>
      </c>
      <c r="F656" s="1" t="s">
        <v>323</v>
      </c>
      <c r="G656" s="1" t="s">
        <v>324</v>
      </c>
      <c r="H656" s="1" t="s">
        <v>103</v>
      </c>
      <c r="I656" s="1" t="s">
        <v>32</v>
      </c>
      <c r="J656" s="1" t="s">
        <v>55</v>
      </c>
      <c r="K656" s="1" t="s">
        <v>1337</v>
      </c>
      <c r="L656" s="17">
        <v>113.55200000000001</v>
      </c>
      <c r="M656" s="1">
        <v>2</v>
      </c>
      <c r="N656" s="1">
        <v>0.2</v>
      </c>
      <c r="O656" s="17">
        <v>8.5163999999999938</v>
      </c>
      <c r="P656" s="17">
        <f>('Work File (2)'!$L656*'Work File (2)'!$M656)*(1-'Work File (2)'!$N656)</f>
        <v>181.68320000000003</v>
      </c>
      <c r="Q656" s="1">
        <f>YEAR(Table2[[#This Row],[Order Date]])</f>
        <v>2018</v>
      </c>
      <c r="R656" s="18" t="str">
        <f>TEXT(Table2[[#This Row],[Order Date]],"mmm")</f>
        <v>Aug</v>
      </c>
      <c r="S656" s="18"/>
    </row>
    <row r="657" spans="1:19" x14ac:dyDescent="0.2">
      <c r="A657" s="1">
        <v>656</v>
      </c>
      <c r="B657" s="1" t="s">
        <v>1335</v>
      </c>
      <c r="C657" s="2">
        <v>43334</v>
      </c>
      <c r="D657" s="1" t="s">
        <v>36</v>
      </c>
      <c r="E657" s="1" t="s">
        <v>1336</v>
      </c>
      <c r="F657" s="1" t="s">
        <v>323</v>
      </c>
      <c r="G657" s="1" t="s">
        <v>324</v>
      </c>
      <c r="H657" s="1" t="s">
        <v>103</v>
      </c>
      <c r="I657" s="1" t="s">
        <v>32</v>
      </c>
      <c r="J657" s="1" t="s">
        <v>53</v>
      </c>
      <c r="K657" s="1" t="s">
        <v>1338</v>
      </c>
      <c r="L657" s="17">
        <v>3.3180000000000005</v>
      </c>
      <c r="M657" s="1">
        <v>2</v>
      </c>
      <c r="N657" s="1">
        <v>0.7</v>
      </c>
      <c r="O657" s="17">
        <v>-2.6543999999999999</v>
      </c>
      <c r="P657" s="17">
        <f>('Work File (2)'!$L657*'Work File (2)'!$M657)*(1-'Work File (2)'!$N657)</f>
        <v>1.9908000000000006</v>
      </c>
      <c r="Q657" s="1">
        <f>YEAR(Table2[[#This Row],[Order Date]])</f>
        <v>2018</v>
      </c>
      <c r="R657" s="18" t="str">
        <f>TEXT(Table2[[#This Row],[Order Date]],"mmm")</f>
        <v>Aug</v>
      </c>
      <c r="S657" s="18"/>
    </row>
    <row r="658" spans="1:19" x14ac:dyDescent="0.2">
      <c r="A658" s="1">
        <v>657</v>
      </c>
      <c r="B658" s="1" t="s">
        <v>1335</v>
      </c>
      <c r="C658" s="2">
        <v>43334</v>
      </c>
      <c r="D658" s="1" t="s">
        <v>36</v>
      </c>
      <c r="E658" s="1" t="s">
        <v>1336</v>
      </c>
      <c r="F658" s="1" t="s">
        <v>323</v>
      </c>
      <c r="G658" s="1" t="s">
        <v>324</v>
      </c>
      <c r="H658" s="1" t="s">
        <v>103</v>
      </c>
      <c r="I658" s="1" t="s">
        <v>32</v>
      </c>
      <c r="J658" s="1" t="s">
        <v>118</v>
      </c>
      <c r="K658" s="1" t="s">
        <v>1339</v>
      </c>
      <c r="L658" s="17">
        <v>134.28800000000001</v>
      </c>
      <c r="M658" s="1">
        <v>2</v>
      </c>
      <c r="N658" s="1">
        <v>0.2</v>
      </c>
      <c r="O658" s="17">
        <v>45.322199999999995</v>
      </c>
      <c r="P658" s="17">
        <f>('Work File (2)'!$L658*'Work File (2)'!$M658)*(1-'Work File (2)'!$N658)</f>
        <v>214.86080000000004</v>
      </c>
      <c r="Q658" s="1">
        <f>YEAR(Table2[[#This Row],[Order Date]])</f>
        <v>2018</v>
      </c>
      <c r="R658" s="18" t="str">
        <f>TEXT(Table2[[#This Row],[Order Date]],"mmm")</f>
        <v>Aug</v>
      </c>
      <c r="S658" s="18"/>
    </row>
    <row r="659" spans="1:19" x14ac:dyDescent="0.2">
      <c r="A659" s="1">
        <v>658</v>
      </c>
      <c r="B659" s="1" t="s">
        <v>1340</v>
      </c>
      <c r="C659" s="2">
        <v>43362</v>
      </c>
      <c r="D659" s="1" t="s">
        <v>808</v>
      </c>
      <c r="E659" s="1" t="s">
        <v>1341</v>
      </c>
      <c r="F659" s="1" t="s">
        <v>297</v>
      </c>
      <c r="G659" s="1" t="s">
        <v>142</v>
      </c>
      <c r="H659" s="1" t="s">
        <v>74</v>
      </c>
      <c r="I659" s="1" t="s">
        <v>22</v>
      </c>
      <c r="J659" s="1" t="s">
        <v>25</v>
      </c>
      <c r="K659" s="1" t="s">
        <v>1076</v>
      </c>
      <c r="L659" s="17">
        <v>701.37199999999996</v>
      </c>
      <c r="M659" s="1">
        <v>2</v>
      </c>
      <c r="N659" s="1">
        <v>0.3</v>
      </c>
      <c r="O659" s="17">
        <v>-50.098000000000013</v>
      </c>
      <c r="P659" s="17">
        <f>('Work File (2)'!$L659*'Work File (2)'!$M659)*(1-'Work File (2)'!$N659)</f>
        <v>981.92079999999987</v>
      </c>
      <c r="Q659" s="1">
        <f>YEAR(Table2[[#This Row],[Order Date]])</f>
        <v>2018</v>
      </c>
      <c r="R659" s="18" t="str">
        <f>TEXT(Table2[[#This Row],[Order Date]],"mmm")</f>
        <v>Sep</v>
      </c>
      <c r="S659" s="18"/>
    </row>
    <row r="660" spans="1:19" x14ac:dyDescent="0.2">
      <c r="A660" s="1">
        <v>659</v>
      </c>
      <c r="B660" s="1" t="s">
        <v>1340</v>
      </c>
      <c r="C660" s="2">
        <v>43362</v>
      </c>
      <c r="D660" s="1" t="s">
        <v>808</v>
      </c>
      <c r="E660" s="1" t="s">
        <v>1341</v>
      </c>
      <c r="F660" s="1" t="s">
        <v>297</v>
      </c>
      <c r="G660" s="1" t="s">
        <v>142</v>
      </c>
      <c r="H660" s="1" t="s">
        <v>74</v>
      </c>
      <c r="I660" s="1" t="s">
        <v>32</v>
      </c>
      <c r="J660" s="1" t="s">
        <v>53</v>
      </c>
      <c r="K660" s="1" t="s">
        <v>215</v>
      </c>
      <c r="L660" s="17">
        <v>2.3079999999999994</v>
      </c>
      <c r="M660" s="1">
        <v>2</v>
      </c>
      <c r="N660" s="1">
        <v>0.8</v>
      </c>
      <c r="O660" s="17">
        <v>-3.4619999999999997</v>
      </c>
      <c r="P660" s="17">
        <f>('Work File (2)'!$L660*'Work File (2)'!$M660)*(1-'Work File (2)'!$N660)</f>
        <v>0.92319999999999958</v>
      </c>
      <c r="Q660" s="1">
        <f>YEAR(Table2[[#This Row],[Order Date]])</f>
        <v>2018</v>
      </c>
      <c r="R660" s="18" t="str">
        <f>TEXT(Table2[[#This Row],[Order Date]],"mmm")</f>
        <v>Sep</v>
      </c>
      <c r="S660" s="18"/>
    </row>
    <row r="661" spans="1:19" x14ac:dyDescent="0.2">
      <c r="A661" s="1">
        <v>660</v>
      </c>
      <c r="B661" s="1" t="s">
        <v>1342</v>
      </c>
      <c r="C661" s="2">
        <v>42971</v>
      </c>
      <c r="D661" s="1" t="s">
        <v>36</v>
      </c>
      <c r="E661" s="1" t="s">
        <v>497</v>
      </c>
      <c r="F661" s="1" t="s">
        <v>708</v>
      </c>
      <c r="G661" s="1" t="s">
        <v>73</v>
      </c>
      <c r="H661" s="1" t="s">
        <v>74</v>
      </c>
      <c r="I661" s="1" t="s">
        <v>32</v>
      </c>
      <c r="J661" s="1" t="s">
        <v>42</v>
      </c>
      <c r="K661" s="1" t="s">
        <v>1249</v>
      </c>
      <c r="L661" s="17">
        <v>999.43200000000002</v>
      </c>
      <c r="M661" s="1">
        <v>7</v>
      </c>
      <c r="N661" s="1">
        <v>0.2</v>
      </c>
      <c r="O661" s="17">
        <v>124.92899999999986</v>
      </c>
      <c r="P661" s="17">
        <f>('Work File (2)'!$L661*'Work File (2)'!$M661)*(1-'Work File (2)'!$N661)</f>
        <v>5596.8192000000008</v>
      </c>
      <c r="Q661" s="1">
        <f>YEAR(Table2[[#This Row],[Order Date]])</f>
        <v>2017</v>
      </c>
      <c r="R661" s="18" t="str">
        <f>TEXT(Table2[[#This Row],[Order Date]],"mmm")</f>
        <v>Aug</v>
      </c>
      <c r="S661" s="18"/>
    </row>
    <row r="662" spans="1:19" x14ac:dyDescent="0.2">
      <c r="A662" s="1">
        <v>661</v>
      </c>
      <c r="B662" s="1" t="s">
        <v>1342</v>
      </c>
      <c r="C662" s="2">
        <v>42971</v>
      </c>
      <c r="D662" s="1" t="s">
        <v>36</v>
      </c>
      <c r="E662" s="1" t="s">
        <v>497</v>
      </c>
      <c r="F662" s="1" t="s">
        <v>708</v>
      </c>
      <c r="G662" s="1" t="s">
        <v>73</v>
      </c>
      <c r="H662" s="1" t="s">
        <v>74</v>
      </c>
      <c r="I662" s="1" t="s">
        <v>32</v>
      </c>
      <c r="J662" s="1" t="s">
        <v>42</v>
      </c>
      <c r="K662" s="1" t="s">
        <v>1343</v>
      </c>
      <c r="L662" s="17">
        <v>724.08</v>
      </c>
      <c r="M662" s="1">
        <v>14</v>
      </c>
      <c r="N662" s="1">
        <v>0.2</v>
      </c>
      <c r="O662" s="17">
        <v>-135.7650000000001</v>
      </c>
      <c r="P662" s="17">
        <f>('Work File (2)'!$L662*'Work File (2)'!$M662)*(1-'Work File (2)'!$N662)</f>
        <v>8109.6960000000008</v>
      </c>
      <c r="Q662" s="1">
        <f>YEAR(Table2[[#This Row],[Order Date]])</f>
        <v>2017</v>
      </c>
      <c r="R662" s="18" t="str">
        <f>TEXT(Table2[[#This Row],[Order Date]],"mmm")</f>
        <v>Aug</v>
      </c>
      <c r="S662" s="18"/>
    </row>
    <row r="663" spans="1:19" x14ac:dyDescent="0.2">
      <c r="A663" s="1">
        <v>662</v>
      </c>
      <c r="B663" s="1" t="s">
        <v>1342</v>
      </c>
      <c r="C663" s="2">
        <v>42971</v>
      </c>
      <c r="D663" s="1" t="s">
        <v>36</v>
      </c>
      <c r="E663" s="1" t="s">
        <v>497</v>
      </c>
      <c r="F663" s="1" t="s">
        <v>708</v>
      </c>
      <c r="G663" s="1" t="s">
        <v>73</v>
      </c>
      <c r="H663" s="1" t="s">
        <v>74</v>
      </c>
      <c r="I663" s="1" t="s">
        <v>22</v>
      </c>
      <c r="J663" s="1" t="s">
        <v>40</v>
      </c>
      <c r="K663" s="1" t="s">
        <v>331</v>
      </c>
      <c r="L663" s="17">
        <v>918.78499999999985</v>
      </c>
      <c r="M663" s="1">
        <v>5</v>
      </c>
      <c r="N663" s="1">
        <v>0.3</v>
      </c>
      <c r="O663" s="17">
        <v>-118.12950000000006</v>
      </c>
      <c r="P663" s="17">
        <f>('Work File (2)'!$L663*'Work File (2)'!$M663)*(1-'Work File (2)'!$N663)</f>
        <v>3215.7474999999995</v>
      </c>
      <c r="Q663" s="1">
        <f>YEAR(Table2[[#This Row],[Order Date]])</f>
        <v>2017</v>
      </c>
      <c r="R663" s="18" t="str">
        <f>TEXT(Table2[[#This Row],[Order Date]],"mmm")</f>
        <v>Aug</v>
      </c>
      <c r="S663" s="18"/>
    </row>
    <row r="664" spans="1:19" x14ac:dyDescent="0.2">
      <c r="A664" s="1">
        <v>663</v>
      </c>
      <c r="B664" s="1" t="s">
        <v>1342</v>
      </c>
      <c r="C664" s="2">
        <v>42971</v>
      </c>
      <c r="D664" s="1" t="s">
        <v>36</v>
      </c>
      <c r="E664" s="1" t="s">
        <v>497</v>
      </c>
      <c r="F664" s="1" t="s">
        <v>708</v>
      </c>
      <c r="G664" s="1" t="s">
        <v>73</v>
      </c>
      <c r="H664" s="1" t="s">
        <v>74</v>
      </c>
      <c r="I664" s="1" t="s">
        <v>32</v>
      </c>
      <c r="J664" s="1" t="s">
        <v>53</v>
      </c>
      <c r="K664" s="1" t="s">
        <v>320</v>
      </c>
      <c r="L664" s="17">
        <v>2.7239999999999993</v>
      </c>
      <c r="M664" s="1">
        <v>3</v>
      </c>
      <c r="N664" s="1">
        <v>0.8</v>
      </c>
      <c r="O664" s="17">
        <v>-4.2222000000000008</v>
      </c>
      <c r="P664" s="17">
        <f>('Work File (2)'!$L664*'Work File (2)'!$M664)*(1-'Work File (2)'!$N664)</f>
        <v>1.634399999999999</v>
      </c>
      <c r="Q664" s="1">
        <f>YEAR(Table2[[#This Row],[Order Date]])</f>
        <v>2017</v>
      </c>
      <c r="R664" s="18" t="str">
        <f>TEXT(Table2[[#This Row],[Order Date]],"mmm")</f>
        <v>Aug</v>
      </c>
      <c r="S664" s="18"/>
    </row>
    <row r="665" spans="1:19" x14ac:dyDescent="0.2">
      <c r="A665" s="1">
        <v>664</v>
      </c>
      <c r="B665" s="1" t="s">
        <v>1344</v>
      </c>
      <c r="C665" s="2">
        <v>43185</v>
      </c>
      <c r="D665" s="1" t="s">
        <v>36</v>
      </c>
      <c r="E665" s="1" t="s">
        <v>1345</v>
      </c>
      <c r="F665" s="1" t="s">
        <v>178</v>
      </c>
      <c r="G665" s="1" t="s">
        <v>179</v>
      </c>
      <c r="H665" s="1" t="s">
        <v>103</v>
      </c>
      <c r="I665" s="1" t="s">
        <v>32</v>
      </c>
      <c r="J665" s="1" t="s">
        <v>42</v>
      </c>
      <c r="K665" s="1" t="s">
        <v>536</v>
      </c>
      <c r="L665" s="17">
        <v>459.95</v>
      </c>
      <c r="M665" s="1">
        <v>5</v>
      </c>
      <c r="N665" s="1">
        <v>0</v>
      </c>
      <c r="O665" s="17">
        <v>18.397999999999968</v>
      </c>
      <c r="P665" s="17">
        <f>('Work File (2)'!$L665*'Work File (2)'!$M665)*(1-'Work File (2)'!$N665)</f>
        <v>2299.75</v>
      </c>
      <c r="Q665" s="1">
        <f>YEAR(Table2[[#This Row],[Order Date]])</f>
        <v>2018</v>
      </c>
      <c r="R665" s="18" t="str">
        <f>TEXT(Table2[[#This Row],[Order Date]],"mmm")</f>
        <v>Mar</v>
      </c>
      <c r="S665" s="18"/>
    </row>
    <row r="666" spans="1:19" x14ac:dyDescent="0.2">
      <c r="A666" s="1">
        <v>665</v>
      </c>
      <c r="B666" s="1" t="s">
        <v>1346</v>
      </c>
      <c r="C666" s="2">
        <v>43408</v>
      </c>
      <c r="D666" s="1" t="s">
        <v>808</v>
      </c>
      <c r="E666" s="1" t="s">
        <v>622</v>
      </c>
      <c r="F666" s="1" t="s">
        <v>922</v>
      </c>
      <c r="G666" s="1" t="s">
        <v>20</v>
      </c>
      <c r="H666" s="1" t="s">
        <v>21</v>
      </c>
      <c r="I666" s="1" t="s">
        <v>32</v>
      </c>
      <c r="J666" s="1" t="s">
        <v>180</v>
      </c>
      <c r="K666" s="1" t="s">
        <v>325</v>
      </c>
      <c r="L666" s="17">
        <v>10.74</v>
      </c>
      <c r="M666" s="1">
        <v>3</v>
      </c>
      <c r="N666" s="1">
        <v>0</v>
      </c>
      <c r="O666" s="17">
        <v>5.2625999999999999</v>
      </c>
      <c r="P666" s="17">
        <f>('Work File (2)'!$L666*'Work File (2)'!$M666)*(1-'Work File (2)'!$N666)</f>
        <v>32.22</v>
      </c>
      <c r="Q666" s="1">
        <f>YEAR(Table2[[#This Row],[Order Date]])</f>
        <v>2018</v>
      </c>
      <c r="R666" s="18" t="str">
        <f>TEXT(Table2[[#This Row],[Order Date]],"mmm")</f>
        <v>Nov</v>
      </c>
      <c r="S666" s="18"/>
    </row>
    <row r="667" spans="1:19" x14ac:dyDescent="0.2">
      <c r="A667" s="1">
        <v>666</v>
      </c>
      <c r="B667" s="1" t="s">
        <v>1347</v>
      </c>
      <c r="C667" s="2">
        <v>43624</v>
      </c>
      <c r="D667" s="1" t="s">
        <v>17</v>
      </c>
      <c r="E667" s="1" t="s">
        <v>1348</v>
      </c>
      <c r="F667" s="1" t="s">
        <v>521</v>
      </c>
      <c r="G667" s="1" t="s">
        <v>73</v>
      </c>
      <c r="H667" s="1" t="s">
        <v>74</v>
      </c>
      <c r="I667" s="1" t="s">
        <v>32</v>
      </c>
      <c r="J667" s="1" t="s">
        <v>372</v>
      </c>
      <c r="K667" s="1" t="s">
        <v>1349</v>
      </c>
      <c r="L667" s="17">
        <v>23.76</v>
      </c>
      <c r="M667" s="1">
        <v>3</v>
      </c>
      <c r="N667" s="1">
        <v>0.2</v>
      </c>
      <c r="O667" s="17">
        <v>2.0789999999999997</v>
      </c>
      <c r="P667" s="17">
        <f>('Work File (2)'!$L667*'Work File (2)'!$M667)*(1-'Work File (2)'!$N667)</f>
        <v>57.024000000000001</v>
      </c>
      <c r="Q667" s="1">
        <f>YEAR(Table2[[#This Row],[Order Date]])</f>
        <v>2019</v>
      </c>
      <c r="R667" s="18" t="str">
        <f>TEXT(Table2[[#This Row],[Order Date]],"mmm")</f>
        <v>Jun</v>
      </c>
      <c r="S667" s="18"/>
    </row>
    <row r="668" spans="1:19" x14ac:dyDescent="0.2">
      <c r="A668" s="1">
        <v>667</v>
      </c>
      <c r="B668" s="1" t="s">
        <v>1347</v>
      </c>
      <c r="C668" s="2">
        <v>43624</v>
      </c>
      <c r="D668" s="1" t="s">
        <v>17</v>
      </c>
      <c r="E668" s="1" t="s">
        <v>1348</v>
      </c>
      <c r="F668" s="1" t="s">
        <v>521</v>
      </c>
      <c r="G668" s="1" t="s">
        <v>73</v>
      </c>
      <c r="H668" s="1" t="s">
        <v>74</v>
      </c>
      <c r="I668" s="1" t="s">
        <v>32</v>
      </c>
      <c r="J668" s="1" t="s">
        <v>63</v>
      </c>
      <c r="K668" s="1" t="s">
        <v>126</v>
      </c>
      <c r="L668" s="17">
        <v>85.055999999999997</v>
      </c>
      <c r="M668" s="1">
        <v>3</v>
      </c>
      <c r="N668" s="1">
        <v>0.2</v>
      </c>
      <c r="O668" s="17">
        <v>28.706399999999991</v>
      </c>
      <c r="P668" s="17">
        <f>('Work File (2)'!$L668*'Work File (2)'!$M668)*(1-'Work File (2)'!$N668)</f>
        <v>204.13440000000003</v>
      </c>
      <c r="Q668" s="1">
        <f>YEAR(Table2[[#This Row],[Order Date]])</f>
        <v>2019</v>
      </c>
      <c r="R668" s="18" t="str">
        <f>TEXT(Table2[[#This Row],[Order Date]],"mmm")</f>
        <v>Jun</v>
      </c>
      <c r="S668" s="18"/>
    </row>
    <row r="669" spans="1:19" x14ac:dyDescent="0.2">
      <c r="A669" s="1">
        <v>668</v>
      </c>
      <c r="B669" s="1" t="s">
        <v>1347</v>
      </c>
      <c r="C669" s="2">
        <v>43624</v>
      </c>
      <c r="D669" s="1" t="s">
        <v>17</v>
      </c>
      <c r="E669" s="1" t="s">
        <v>1348</v>
      </c>
      <c r="F669" s="1" t="s">
        <v>521</v>
      </c>
      <c r="G669" s="1" t="s">
        <v>73</v>
      </c>
      <c r="H669" s="1" t="s">
        <v>74</v>
      </c>
      <c r="I669" s="1" t="s">
        <v>50</v>
      </c>
      <c r="J669" s="1" t="s">
        <v>51</v>
      </c>
      <c r="K669" s="1" t="s">
        <v>1350</v>
      </c>
      <c r="L669" s="17">
        <v>381.57600000000002</v>
      </c>
      <c r="M669" s="1">
        <v>3</v>
      </c>
      <c r="N669" s="1">
        <v>0.2</v>
      </c>
      <c r="O669" s="17">
        <v>28.618200000000002</v>
      </c>
      <c r="P669" s="17">
        <f>('Work File (2)'!$L669*'Work File (2)'!$M669)*(1-'Work File (2)'!$N669)</f>
        <v>915.78240000000005</v>
      </c>
      <c r="Q669" s="1">
        <f>YEAR(Table2[[#This Row],[Order Date]])</f>
        <v>2019</v>
      </c>
      <c r="R669" s="18" t="str">
        <f>TEXT(Table2[[#This Row],[Order Date]],"mmm")</f>
        <v>Jun</v>
      </c>
      <c r="S669" s="18"/>
    </row>
    <row r="670" spans="1:19" x14ac:dyDescent="0.2">
      <c r="A670" s="1">
        <v>669</v>
      </c>
      <c r="B670" s="1" t="s">
        <v>1351</v>
      </c>
      <c r="C670" s="2">
        <v>42728</v>
      </c>
      <c r="D670" s="1" t="s">
        <v>128</v>
      </c>
      <c r="E670" s="1" t="s">
        <v>1352</v>
      </c>
      <c r="F670" s="1" t="s">
        <v>1353</v>
      </c>
      <c r="G670" s="1" t="s">
        <v>324</v>
      </c>
      <c r="H670" s="1" t="s">
        <v>103</v>
      </c>
      <c r="I670" s="1" t="s">
        <v>22</v>
      </c>
      <c r="J670" s="1" t="s">
        <v>46</v>
      </c>
      <c r="K670" s="1" t="s">
        <v>1354</v>
      </c>
      <c r="L670" s="17">
        <v>30.36</v>
      </c>
      <c r="M670" s="1">
        <v>5</v>
      </c>
      <c r="N670" s="1">
        <v>0.2</v>
      </c>
      <c r="O670" s="17">
        <v>8.7285000000000004</v>
      </c>
      <c r="P670" s="17">
        <f>('Work File (2)'!$L670*'Work File (2)'!$M670)*(1-'Work File (2)'!$N670)</f>
        <v>121.44000000000001</v>
      </c>
      <c r="Q670" s="1">
        <f>YEAR(Table2[[#This Row],[Order Date]])</f>
        <v>2016</v>
      </c>
      <c r="R670" s="18" t="str">
        <f>TEXT(Table2[[#This Row],[Order Date]],"mmm")</f>
        <v>Dec</v>
      </c>
      <c r="S670" s="18"/>
    </row>
    <row r="671" spans="1:19" x14ac:dyDescent="0.2">
      <c r="A671" s="1">
        <v>670</v>
      </c>
      <c r="B671" s="1" t="s">
        <v>1355</v>
      </c>
      <c r="C671" s="2">
        <v>43625</v>
      </c>
      <c r="D671" s="1" t="s">
        <v>36</v>
      </c>
      <c r="E671" s="1" t="s">
        <v>1282</v>
      </c>
      <c r="F671" s="1" t="s">
        <v>200</v>
      </c>
      <c r="G671" s="1" t="s">
        <v>142</v>
      </c>
      <c r="H671" s="1" t="s">
        <v>74</v>
      </c>
      <c r="I671" s="1" t="s">
        <v>22</v>
      </c>
      <c r="J671" s="1" t="s">
        <v>46</v>
      </c>
      <c r="K671" s="1" t="s">
        <v>1356</v>
      </c>
      <c r="L671" s="17">
        <v>23.976000000000003</v>
      </c>
      <c r="M671" s="1">
        <v>3</v>
      </c>
      <c r="N671" s="1">
        <v>0.6</v>
      </c>
      <c r="O671" s="17">
        <v>-14.385599999999997</v>
      </c>
      <c r="P671" s="17">
        <f>('Work File (2)'!$L671*'Work File (2)'!$M671)*(1-'Work File (2)'!$N671)</f>
        <v>28.771200000000007</v>
      </c>
      <c r="Q671" s="1">
        <f>YEAR(Table2[[#This Row],[Order Date]])</f>
        <v>2019</v>
      </c>
      <c r="R671" s="18" t="str">
        <f>TEXT(Table2[[#This Row],[Order Date]],"mmm")</f>
        <v>Jun</v>
      </c>
      <c r="S671" s="18"/>
    </row>
    <row r="672" spans="1:19" x14ac:dyDescent="0.2">
      <c r="A672" s="1">
        <v>671</v>
      </c>
      <c r="B672" s="1" t="s">
        <v>1355</v>
      </c>
      <c r="C672" s="2">
        <v>43625</v>
      </c>
      <c r="D672" s="1" t="s">
        <v>36</v>
      </c>
      <c r="E672" s="1" t="s">
        <v>1282</v>
      </c>
      <c r="F672" s="1" t="s">
        <v>200</v>
      </c>
      <c r="G672" s="1" t="s">
        <v>142</v>
      </c>
      <c r="H672" s="1" t="s">
        <v>74</v>
      </c>
      <c r="I672" s="1" t="s">
        <v>22</v>
      </c>
      <c r="J672" s="1" t="s">
        <v>40</v>
      </c>
      <c r="K672" s="1" t="s">
        <v>1357</v>
      </c>
      <c r="L672" s="17">
        <v>108.925</v>
      </c>
      <c r="M672" s="1">
        <v>1</v>
      </c>
      <c r="N672" s="1">
        <v>0.5</v>
      </c>
      <c r="O672" s="17">
        <v>-71.890500000000017</v>
      </c>
      <c r="P672" s="17">
        <f>('Work File (2)'!$L672*'Work File (2)'!$M672)*(1-'Work File (2)'!$N672)</f>
        <v>54.462499999999999</v>
      </c>
      <c r="Q672" s="1">
        <f>YEAR(Table2[[#This Row],[Order Date]])</f>
        <v>2019</v>
      </c>
      <c r="R672" s="18" t="str">
        <f>TEXT(Table2[[#This Row],[Order Date]],"mmm")</f>
        <v>Jun</v>
      </c>
      <c r="S672" s="18"/>
    </row>
    <row r="673" spans="1:19" x14ac:dyDescent="0.2">
      <c r="A673" s="1">
        <v>672</v>
      </c>
      <c r="B673" s="1" t="s">
        <v>1355</v>
      </c>
      <c r="C673" s="2">
        <v>43625</v>
      </c>
      <c r="D673" s="1" t="s">
        <v>36</v>
      </c>
      <c r="E673" s="1" t="s">
        <v>1282</v>
      </c>
      <c r="F673" s="1" t="s">
        <v>200</v>
      </c>
      <c r="G673" s="1" t="s">
        <v>142</v>
      </c>
      <c r="H673" s="1" t="s">
        <v>74</v>
      </c>
      <c r="I673" s="1" t="s">
        <v>32</v>
      </c>
      <c r="J673" s="1" t="s">
        <v>63</v>
      </c>
      <c r="K673" s="1" t="s">
        <v>1358</v>
      </c>
      <c r="L673" s="17">
        <v>36.351999999999997</v>
      </c>
      <c r="M673" s="1">
        <v>8</v>
      </c>
      <c r="N673" s="1">
        <v>0.2</v>
      </c>
      <c r="O673" s="17">
        <v>11.359999999999998</v>
      </c>
      <c r="P673" s="17">
        <f>('Work File (2)'!$L673*'Work File (2)'!$M673)*(1-'Work File (2)'!$N673)</f>
        <v>232.65279999999998</v>
      </c>
      <c r="Q673" s="1">
        <f>YEAR(Table2[[#This Row],[Order Date]])</f>
        <v>2019</v>
      </c>
      <c r="R673" s="18" t="str">
        <f>TEXT(Table2[[#This Row],[Order Date]],"mmm")</f>
        <v>Jun</v>
      </c>
      <c r="S673" s="18"/>
    </row>
    <row r="674" spans="1:19" x14ac:dyDescent="0.2">
      <c r="A674" s="1">
        <v>673</v>
      </c>
      <c r="B674" s="1" t="s">
        <v>1359</v>
      </c>
      <c r="C674" s="2">
        <v>43631</v>
      </c>
      <c r="D674" s="1" t="s">
        <v>36</v>
      </c>
      <c r="E674" s="1" t="s">
        <v>779</v>
      </c>
      <c r="F674" s="1" t="s">
        <v>827</v>
      </c>
      <c r="G674" s="1" t="s">
        <v>142</v>
      </c>
      <c r="H674" s="1" t="s">
        <v>74</v>
      </c>
      <c r="I674" s="1" t="s">
        <v>32</v>
      </c>
      <c r="J674" s="1" t="s">
        <v>48</v>
      </c>
      <c r="K674" s="1" t="s">
        <v>1360</v>
      </c>
      <c r="L674" s="17">
        <v>19.559999999999999</v>
      </c>
      <c r="M674" s="1">
        <v>5</v>
      </c>
      <c r="N674" s="1">
        <v>0.2</v>
      </c>
      <c r="O674" s="17">
        <v>1.7115</v>
      </c>
      <c r="P674" s="17">
        <f>('Work File (2)'!$L674*'Work File (2)'!$M674)*(1-'Work File (2)'!$N674)</f>
        <v>78.240000000000009</v>
      </c>
      <c r="Q674" s="1">
        <f>YEAR(Table2[[#This Row],[Order Date]])</f>
        <v>2019</v>
      </c>
      <c r="R674" s="18" t="str">
        <f>TEXT(Table2[[#This Row],[Order Date]],"mmm")</f>
        <v>Jun</v>
      </c>
      <c r="S674" s="18"/>
    </row>
    <row r="675" spans="1:19" x14ac:dyDescent="0.2">
      <c r="A675" s="1">
        <v>674</v>
      </c>
      <c r="B675" s="1" t="s">
        <v>1361</v>
      </c>
      <c r="C675" s="2">
        <v>43804</v>
      </c>
      <c r="D675" s="1" t="s">
        <v>128</v>
      </c>
      <c r="E675" s="1" t="s">
        <v>1362</v>
      </c>
      <c r="F675" s="1" t="s">
        <v>323</v>
      </c>
      <c r="G675" s="1" t="s">
        <v>171</v>
      </c>
      <c r="H675" s="1" t="s">
        <v>74</v>
      </c>
      <c r="I675" s="1" t="s">
        <v>32</v>
      </c>
      <c r="J675" s="1" t="s">
        <v>55</v>
      </c>
      <c r="K675" s="1" t="s">
        <v>1363</v>
      </c>
      <c r="L675" s="17">
        <v>61.44</v>
      </c>
      <c r="M675" s="1">
        <v>3</v>
      </c>
      <c r="N675" s="1">
        <v>0</v>
      </c>
      <c r="O675" s="17">
        <v>16.588799999999999</v>
      </c>
      <c r="P675" s="17">
        <f>('Work File (2)'!$L675*'Work File (2)'!$M675)*(1-'Work File (2)'!$N675)</f>
        <v>184.32</v>
      </c>
      <c r="Q675" s="1">
        <f>YEAR(Table2[[#This Row],[Order Date]])</f>
        <v>2019</v>
      </c>
      <c r="R675" s="18" t="str">
        <f>TEXT(Table2[[#This Row],[Order Date]],"mmm")</f>
        <v>Dec</v>
      </c>
      <c r="S675" s="18"/>
    </row>
    <row r="676" spans="1:19" x14ac:dyDescent="0.2">
      <c r="A676" s="1">
        <v>675</v>
      </c>
      <c r="B676" s="1" t="s">
        <v>1361</v>
      </c>
      <c r="C676" s="2">
        <v>43804</v>
      </c>
      <c r="D676" s="1" t="s">
        <v>128</v>
      </c>
      <c r="E676" s="1" t="s">
        <v>1362</v>
      </c>
      <c r="F676" s="1" t="s">
        <v>323</v>
      </c>
      <c r="G676" s="1" t="s">
        <v>171</v>
      </c>
      <c r="H676" s="1" t="s">
        <v>74</v>
      </c>
      <c r="I676" s="1" t="s">
        <v>32</v>
      </c>
      <c r="J676" s="1" t="s">
        <v>63</v>
      </c>
      <c r="K676" s="1" t="s">
        <v>1364</v>
      </c>
      <c r="L676" s="17">
        <v>38.9</v>
      </c>
      <c r="M676" s="1">
        <v>5</v>
      </c>
      <c r="N676" s="1">
        <v>0</v>
      </c>
      <c r="O676" s="17">
        <v>17.504999999999995</v>
      </c>
      <c r="P676" s="17">
        <f>('Work File (2)'!$L676*'Work File (2)'!$M676)*(1-'Work File (2)'!$N676)</f>
        <v>194.5</v>
      </c>
      <c r="Q676" s="1">
        <f>YEAR(Table2[[#This Row],[Order Date]])</f>
        <v>2019</v>
      </c>
      <c r="R676" s="18" t="str">
        <f>TEXT(Table2[[#This Row],[Order Date]],"mmm")</f>
        <v>Dec</v>
      </c>
      <c r="S676" s="18"/>
    </row>
    <row r="677" spans="1:19" x14ac:dyDescent="0.2">
      <c r="A677" s="1">
        <v>676</v>
      </c>
      <c r="B677" s="1" t="s">
        <v>1361</v>
      </c>
      <c r="C677" s="2">
        <v>43804</v>
      </c>
      <c r="D677" s="1" t="s">
        <v>128</v>
      </c>
      <c r="E677" s="1" t="s">
        <v>1362</v>
      </c>
      <c r="F677" s="1" t="s">
        <v>323</v>
      </c>
      <c r="G677" s="1" t="s">
        <v>171</v>
      </c>
      <c r="H677" s="1" t="s">
        <v>74</v>
      </c>
      <c r="I677" s="1" t="s">
        <v>50</v>
      </c>
      <c r="J677" s="1" t="s">
        <v>111</v>
      </c>
      <c r="K677" s="1" t="s">
        <v>1112</v>
      </c>
      <c r="L677" s="17">
        <v>99.390000000000015</v>
      </c>
      <c r="M677" s="1">
        <v>3</v>
      </c>
      <c r="N677" s="1">
        <v>0</v>
      </c>
      <c r="O677" s="17">
        <v>40.749900000000004</v>
      </c>
      <c r="P677" s="17">
        <f>('Work File (2)'!$L677*'Work File (2)'!$M677)*(1-'Work File (2)'!$N677)</f>
        <v>298.17000000000007</v>
      </c>
      <c r="Q677" s="1">
        <f>YEAR(Table2[[#This Row],[Order Date]])</f>
        <v>2019</v>
      </c>
      <c r="R677" s="18" t="str">
        <f>TEXT(Table2[[#This Row],[Order Date]],"mmm")</f>
        <v>Dec</v>
      </c>
      <c r="S677" s="18"/>
    </row>
    <row r="678" spans="1:19" x14ac:dyDescent="0.2">
      <c r="A678" s="1">
        <v>677</v>
      </c>
      <c r="B678" s="1" t="s">
        <v>1365</v>
      </c>
      <c r="C678" s="2">
        <v>43542</v>
      </c>
      <c r="D678" s="1" t="s">
        <v>36</v>
      </c>
      <c r="E678" s="1" t="s">
        <v>1366</v>
      </c>
      <c r="F678" s="1" t="s">
        <v>1367</v>
      </c>
      <c r="G678" s="1" t="s">
        <v>73</v>
      </c>
      <c r="H678" s="1" t="s">
        <v>74</v>
      </c>
      <c r="I678" s="1" t="s">
        <v>32</v>
      </c>
      <c r="J678" s="1" t="s">
        <v>55</v>
      </c>
      <c r="K678" s="1" t="s">
        <v>1368</v>
      </c>
      <c r="L678" s="17">
        <v>2.6879999999999997</v>
      </c>
      <c r="M678" s="1">
        <v>3</v>
      </c>
      <c r="N678" s="1">
        <v>0.8</v>
      </c>
      <c r="O678" s="17">
        <v>-7.3920000000000021</v>
      </c>
      <c r="P678" s="17">
        <f>('Work File (2)'!$L678*'Work File (2)'!$M678)*(1-'Work File (2)'!$N678)</f>
        <v>1.6127999999999996</v>
      </c>
      <c r="Q678" s="1">
        <f>YEAR(Table2[[#This Row],[Order Date]])</f>
        <v>2019</v>
      </c>
      <c r="R678" s="18" t="str">
        <f>TEXT(Table2[[#This Row],[Order Date]],"mmm")</f>
        <v>Mar</v>
      </c>
      <c r="S678" s="18"/>
    </row>
    <row r="679" spans="1:19" x14ac:dyDescent="0.2">
      <c r="A679" s="1">
        <v>678</v>
      </c>
      <c r="B679" s="1" t="s">
        <v>1365</v>
      </c>
      <c r="C679" s="2">
        <v>43542</v>
      </c>
      <c r="D679" s="1" t="s">
        <v>36</v>
      </c>
      <c r="E679" s="1" t="s">
        <v>1366</v>
      </c>
      <c r="F679" s="1" t="s">
        <v>1367</v>
      </c>
      <c r="G679" s="1" t="s">
        <v>73</v>
      </c>
      <c r="H679" s="1" t="s">
        <v>74</v>
      </c>
      <c r="I679" s="1" t="s">
        <v>50</v>
      </c>
      <c r="J679" s="1" t="s">
        <v>111</v>
      </c>
      <c r="K679" s="1" t="s">
        <v>1369</v>
      </c>
      <c r="L679" s="17">
        <v>27.816000000000003</v>
      </c>
      <c r="M679" s="1">
        <v>3</v>
      </c>
      <c r="N679" s="1">
        <v>0.2</v>
      </c>
      <c r="O679" s="17">
        <v>4.5200999999999958</v>
      </c>
      <c r="P679" s="17">
        <f>('Work File (2)'!$L679*'Work File (2)'!$M679)*(1-'Work File (2)'!$N679)</f>
        <v>66.758400000000009</v>
      </c>
      <c r="Q679" s="1">
        <f>YEAR(Table2[[#This Row],[Order Date]])</f>
        <v>2019</v>
      </c>
      <c r="R679" s="18" t="str">
        <f>TEXT(Table2[[#This Row],[Order Date]],"mmm")</f>
        <v>Mar</v>
      </c>
      <c r="S679" s="18"/>
    </row>
    <row r="680" spans="1:19" x14ac:dyDescent="0.2">
      <c r="A680" s="1">
        <v>679</v>
      </c>
      <c r="B680" s="1" t="s">
        <v>1365</v>
      </c>
      <c r="C680" s="2">
        <v>43542</v>
      </c>
      <c r="D680" s="1" t="s">
        <v>36</v>
      </c>
      <c r="E680" s="1" t="s">
        <v>1366</v>
      </c>
      <c r="F680" s="1" t="s">
        <v>1367</v>
      </c>
      <c r="G680" s="1" t="s">
        <v>73</v>
      </c>
      <c r="H680" s="1" t="s">
        <v>74</v>
      </c>
      <c r="I680" s="1" t="s">
        <v>22</v>
      </c>
      <c r="J680" s="1" t="s">
        <v>46</v>
      </c>
      <c r="K680" s="1" t="s">
        <v>1370</v>
      </c>
      <c r="L680" s="17">
        <v>82.524000000000001</v>
      </c>
      <c r="M680" s="1">
        <v>3</v>
      </c>
      <c r="N680" s="1">
        <v>0.6</v>
      </c>
      <c r="O680" s="17">
        <v>-41.261999999999972</v>
      </c>
      <c r="P680" s="17">
        <f>('Work File (2)'!$L680*'Work File (2)'!$M680)*(1-'Work File (2)'!$N680)</f>
        <v>99.028800000000004</v>
      </c>
      <c r="Q680" s="1">
        <f>YEAR(Table2[[#This Row],[Order Date]])</f>
        <v>2019</v>
      </c>
      <c r="R680" s="18" t="str">
        <f>TEXT(Table2[[#This Row],[Order Date]],"mmm")</f>
        <v>Mar</v>
      </c>
      <c r="S680" s="18"/>
    </row>
    <row r="681" spans="1:19" x14ac:dyDescent="0.2">
      <c r="A681" s="1">
        <v>680</v>
      </c>
      <c r="B681" s="1" t="s">
        <v>1365</v>
      </c>
      <c r="C681" s="2">
        <v>43542</v>
      </c>
      <c r="D681" s="1" t="s">
        <v>36</v>
      </c>
      <c r="E681" s="1" t="s">
        <v>1366</v>
      </c>
      <c r="F681" s="1" t="s">
        <v>1367</v>
      </c>
      <c r="G681" s="1" t="s">
        <v>73</v>
      </c>
      <c r="H681" s="1" t="s">
        <v>74</v>
      </c>
      <c r="I681" s="1" t="s">
        <v>32</v>
      </c>
      <c r="J681" s="1" t="s">
        <v>53</v>
      </c>
      <c r="K681" s="1" t="s">
        <v>1371</v>
      </c>
      <c r="L681" s="17">
        <v>182.99399999999997</v>
      </c>
      <c r="M681" s="1">
        <v>3</v>
      </c>
      <c r="N681" s="1">
        <v>0.8</v>
      </c>
      <c r="O681" s="17">
        <v>-320.23950000000013</v>
      </c>
      <c r="P681" s="17">
        <f>('Work File (2)'!$L681*'Work File (2)'!$M681)*(1-'Work File (2)'!$N681)</f>
        <v>109.79639999999996</v>
      </c>
      <c r="Q681" s="1">
        <f>YEAR(Table2[[#This Row],[Order Date]])</f>
        <v>2019</v>
      </c>
      <c r="R681" s="18" t="str">
        <f>TEXT(Table2[[#This Row],[Order Date]],"mmm")</f>
        <v>Mar</v>
      </c>
      <c r="S681" s="18"/>
    </row>
    <row r="682" spans="1:19" x14ac:dyDescent="0.2">
      <c r="A682" s="1">
        <v>681</v>
      </c>
      <c r="B682" s="1" t="s">
        <v>1372</v>
      </c>
      <c r="C682" s="2">
        <v>43423</v>
      </c>
      <c r="D682" s="1" t="s">
        <v>36</v>
      </c>
      <c r="E682" s="1" t="s">
        <v>1373</v>
      </c>
      <c r="F682" s="1" t="s">
        <v>178</v>
      </c>
      <c r="G682" s="1" t="s">
        <v>179</v>
      </c>
      <c r="H682" s="1" t="s">
        <v>103</v>
      </c>
      <c r="I682" s="1" t="s">
        <v>32</v>
      </c>
      <c r="J682" s="1" t="s">
        <v>53</v>
      </c>
      <c r="K682" s="1" t="s">
        <v>1374</v>
      </c>
      <c r="L682" s="17">
        <v>14.352000000000002</v>
      </c>
      <c r="M682" s="1">
        <v>3</v>
      </c>
      <c r="N682" s="1">
        <v>0.2</v>
      </c>
      <c r="O682" s="17">
        <v>4.6643999999999988</v>
      </c>
      <c r="P682" s="17">
        <f>('Work File (2)'!$L682*'Work File (2)'!$M682)*(1-'Work File (2)'!$N682)</f>
        <v>34.444800000000008</v>
      </c>
      <c r="Q682" s="1">
        <f>YEAR(Table2[[#This Row],[Order Date]])</f>
        <v>2018</v>
      </c>
      <c r="R682" s="18" t="str">
        <f>TEXT(Table2[[#This Row],[Order Date]],"mmm")</f>
        <v>Nov</v>
      </c>
      <c r="S682" s="18"/>
    </row>
    <row r="683" spans="1:19" x14ac:dyDescent="0.2">
      <c r="A683" s="1">
        <v>682</v>
      </c>
      <c r="B683" s="1" t="s">
        <v>1372</v>
      </c>
      <c r="C683" s="2">
        <v>43423</v>
      </c>
      <c r="D683" s="1" t="s">
        <v>36</v>
      </c>
      <c r="E683" s="1" t="s">
        <v>1373</v>
      </c>
      <c r="F683" s="1" t="s">
        <v>178</v>
      </c>
      <c r="G683" s="1" t="s">
        <v>179</v>
      </c>
      <c r="H683" s="1" t="s">
        <v>103</v>
      </c>
      <c r="I683" s="1" t="s">
        <v>32</v>
      </c>
      <c r="J683" s="1" t="s">
        <v>42</v>
      </c>
      <c r="K683" s="1" t="s">
        <v>1375</v>
      </c>
      <c r="L683" s="17">
        <v>64.959999999999994</v>
      </c>
      <c r="M683" s="1">
        <v>2</v>
      </c>
      <c r="N683" s="1">
        <v>0</v>
      </c>
      <c r="O683" s="17">
        <v>2.598399999999998</v>
      </c>
      <c r="P683" s="17">
        <f>('Work File (2)'!$L683*'Work File (2)'!$M683)*(1-'Work File (2)'!$N683)</f>
        <v>129.91999999999999</v>
      </c>
      <c r="Q683" s="1">
        <f>YEAR(Table2[[#This Row],[Order Date]])</f>
        <v>2018</v>
      </c>
      <c r="R683" s="18" t="str">
        <f>TEXT(Table2[[#This Row],[Order Date]],"mmm")</f>
        <v>Nov</v>
      </c>
      <c r="S683" s="18"/>
    </row>
    <row r="684" spans="1:19" x14ac:dyDescent="0.2">
      <c r="A684" s="1">
        <v>683</v>
      </c>
      <c r="B684" s="1" t="s">
        <v>1372</v>
      </c>
      <c r="C684" s="2">
        <v>43423</v>
      </c>
      <c r="D684" s="1" t="s">
        <v>36</v>
      </c>
      <c r="E684" s="1" t="s">
        <v>1373</v>
      </c>
      <c r="F684" s="1" t="s">
        <v>178</v>
      </c>
      <c r="G684" s="1" t="s">
        <v>179</v>
      </c>
      <c r="H684" s="1" t="s">
        <v>103</v>
      </c>
      <c r="I684" s="1" t="s">
        <v>32</v>
      </c>
      <c r="J684" s="1" t="s">
        <v>42</v>
      </c>
      <c r="K684" s="1" t="s">
        <v>1101</v>
      </c>
      <c r="L684" s="17">
        <v>68.599999999999994</v>
      </c>
      <c r="M684" s="1">
        <v>4</v>
      </c>
      <c r="N684" s="1">
        <v>0</v>
      </c>
      <c r="O684" s="17">
        <v>18.521999999999998</v>
      </c>
      <c r="P684" s="17">
        <f>('Work File (2)'!$L684*'Work File (2)'!$M684)*(1-'Work File (2)'!$N684)</f>
        <v>274.39999999999998</v>
      </c>
      <c r="Q684" s="1">
        <f>YEAR(Table2[[#This Row],[Order Date]])</f>
        <v>2018</v>
      </c>
      <c r="R684" s="18" t="str">
        <f>TEXT(Table2[[#This Row],[Order Date]],"mmm")</f>
        <v>Nov</v>
      </c>
      <c r="S684" s="18"/>
    </row>
    <row r="685" spans="1:19" x14ac:dyDescent="0.2">
      <c r="A685" s="1">
        <v>684</v>
      </c>
      <c r="B685" s="1" t="s">
        <v>1376</v>
      </c>
      <c r="C685" s="2">
        <v>43773</v>
      </c>
      <c r="D685" s="1" t="s">
        <v>808</v>
      </c>
      <c r="E685" s="1" t="s">
        <v>1377</v>
      </c>
      <c r="F685" s="1" t="s">
        <v>1378</v>
      </c>
      <c r="G685" s="1" t="s">
        <v>62</v>
      </c>
      <c r="H685" s="1" t="s">
        <v>21</v>
      </c>
      <c r="I685" s="1" t="s">
        <v>50</v>
      </c>
      <c r="J685" s="1" t="s">
        <v>439</v>
      </c>
      <c r="K685" s="1" t="s">
        <v>1379</v>
      </c>
      <c r="L685" s="17">
        <v>7999.98</v>
      </c>
      <c r="M685" s="1">
        <v>4</v>
      </c>
      <c r="N685" s="1">
        <v>0.5</v>
      </c>
      <c r="O685" s="17">
        <v>-3839.9903999999988</v>
      </c>
      <c r="P685" s="17">
        <f>('Work File (2)'!$L685*'Work File (2)'!$M685)*(1-'Work File (2)'!$N685)</f>
        <v>15999.96</v>
      </c>
      <c r="Q685" s="1">
        <f>YEAR(Table2[[#This Row],[Order Date]])</f>
        <v>2019</v>
      </c>
      <c r="R685" s="18" t="str">
        <f>TEXT(Table2[[#This Row],[Order Date]],"mmm")</f>
        <v>Nov</v>
      </c>
      <c r="S685" s="18"/>
    </row>
    <row r="686" spans="1:19" x14ac:dyDescent="0.2">
      <c r="A686" s="1">
        <v>685</v>
      </c>
      <c r="B686" s="1" t="s">
        <v>1376</v>
      </c>
      <c r="C686" s="2">
        <v>43773</v>
      </c>
      <c r="D686" s="1" t="s">
        <v>808</v>
      </c>
      <c r="E686" s="1" t="s">
        <v>1377</v>
      </c>
      <c r="F686" s="1" t="s">
        <v>1378</v>
      </c>
      <c r="G686" s="1" t="s">
        <v>62</v>
      </c>
      <c r="H686" s="1" t="s">
        <v>21</v>
      </c>
      <c r="I686" s="1" t="s">
        <v>32</v>
      </c>
      <c r="J686" s="1" t="s">
        <v>55</v>
      </c>
      <c r="K686" s="1" t="s">
        <v>1323</v>
      </c>
      <c r="L686" s="17">
        <v>167.44000000000003</v>
      </c>
      <c r="M686" s="1">
        <v>2</v>
      </c>
      <c r="N686" s="1">
        <v>0.2</v>
      </c>
      <c r="O686" s="17">
        <v>14.650999999999989</v>
      </c>
      <c r="P686" s="17">
        <f>('Work File (2)'!$L686*'Work File (2)'!$M686)*(1-'Work File (2)'!$N686)</f>
        <v>267.90400000000005</v>
      </c>
      <c r="Q686" s="1">
        <f>YEAR(Table2[[#This Row],[Order Date]])</f>
        <v>2019</v>
      </c>
      <c r="R686" s="18" t="str">
        <f>TEXT(Table2[[#This Row],[Order Date]],"mmm")</f>
        <v>Nov</v>
      </c>
      <c r="S686" s="18"/>
    </row>
    <row r="687" spans="1:19" x14ac:dyDescent="0.2">
      <c r="A687" s="1">
        <v>686</v>
      </c>
      <c r="B687" s="1" t="s">
        <v>1380</v>
      </c>
      <c r="C687" s="2">
        <v>42556</v>
      </c>
      <c r="D687" s="1" t="s">
        <v>128</v>
      </c>
      <c r="E687" s="1" t="s">
        <v>1381</v>
      </c>
      <c r="F687" s="1" t="s">
        <v>217</v>
      </c>
      <c r="G687" s="1" t="s">
        <v>931</v>
      </c>
      <c r="H687" s="1" t="s">
        <v>21</v>
      </c>
      <c r="I687" s="1" t="s">
        <v>50</v>
      </c>
      <c r="J687" s="1" t="s">
        <v>111</v>
      </c>
      <c r="K687" s="1" t="s">
        <v>822</v>
      </c>
      <c r="L687" s="17">
        <v>479.97</v>
      </c>
      <c r="M687" s="1">
        <v>3</v>
      </c>
      <c r="N687" s="1">
        <v>0</v>
      </c>
      <c r="O687" s="17">
        <v>163.18979999999999</v>
      </c>
      <c r="P687" s="17">
        <f>('Work File (2)'!$L687*'Work File (2)'!$M687)*(1-'Work File (2)'!$N687)</f>
        <v>1439.91</v>
      </c>
      <c r="Q687" s="1">
        <f>YEAR(Table2[[#This Row],[Order Date]])</f>
        <v>2016</v>
      </c>
      <c r="R687" s="18" t="str">
        <f>TEXT(Table2[[#This Row],[Order Date]],"mmm")</f>
        <v>Jul</v>
      </c>
      <c r="S687" s="18"/>
    </row>
    <row r="688" spans="1:19" x14ac:dyDescent="0.2">
      <c r="A688" s="1">
        <v>687</v>
      </c>
      <c r="B688" s="1" t="s">
        <v>1380</v>
      </c>
      <c r="C688" s="2">
        <v>42556</v>
      </c>
      <c r="D688" s="1" t="s">
        <v>128</v>
      </c>
      <c r="E688" s="1" t="s">
        <v>1381</v>
      </c>
      <c r="F688" s="1" t="s">
        <v>217</v>
      </c>
      <c r="G688" s="1" t="s">
        <v>931</v>
      </c>
      <c r="H688" s="1" t="s">
        <v>21</v>
      </c>
      <c r="I688" s="1" t="s">
        <v>32</v>
      </c>
      <c r="J688" s="1" t="s">
        <v>33</v>
      </c>
      <c r="K688" s="1" t="s">
        <v>1382</v>
      </c>
      <c r="L688" s="17">
        <v>14.62</v>
      </c>
      <c r="M688" s="1">
        <v>2</v>
      </c>
      <c r="N688" s="1">
        <v>0</v>
      </c>
      <c r="O688" s="17">
        <v>6.8713999999999995</v>
      </c>
      <c r="P688" s="17">
        <f>('Work File (2)'!$L688*'Work File (2)'!$M688)*(1-'Work File (2)'!$N688)</f>
        <v>29.24</v>
      </c>
      <c r="Q688" s="1">
        <f>YEAR(Table2[[#This Row],[Order Date]])</f>
        <v>2016</v>
      </c>
      <c r="R688" s="18" t="str">
        <f>TEXT(Table2[[#This Row],[Order Date]],"mmm")</f>
        <v>Jul</v>
      </c>
      <c r="S688" s="18"/>
    </row>
    <row r="689" spans="1:19" x14ac:dyDescent="0.2">
      <c r="A689" s="1">
        <v>688</v>
      </c>
      <c r="B689" s="1" t="s">
        <v>1380</v>
      </c>
      <c r="C689" s="2">
        <v>42556</v>
      </c>
      <c r="D689" s="1" t="s">
        <v>128</v>
      </c>
      <c r="E689" s="1" t="s">
        <v>1381</v>
      </c>
      <c r="F689" s="1" t="s">
        <v>217</v>
      </c>
      <c r="G689" s="1" t="s">
        <v>931</v>
      </c>
      <c r="H689" s="1" t="s">
        <v>21</v>
      </c>
      <c r="I689" s="1" t="s">
        <v>32</v>
      </c>
      <c r="J689" s="1" t="s">
        <v>63</v>
      </c>
      <c r="K689" s="1" t="s">
        <v>265</v>
      </c>
      <c r="L689" s="17">
        <v>19.440000000000001</v>
      </c>
      <c r="M689" s="1">
        <v>3</v>
      </c>
      <c r="N689" s="1">
        <v>0</v>
      </c>
      <c r="O689" s="17">
        <v>9.3312000000000008</v>
      </c>
      <c r="P689" s="17">
        <f>('Work File (2)'!$L689*'Work File (2)'!$M689)*(1-'Work File (2)'!$N689)</f>
        <v>58.320000000000007</v>
      </c>
      <c r="Q689" s="1">
        <f>YEAR(Table2[[#This Row],[Order Date]])</f>
        <v>2016</v>
      </c>
      <c r="R689" s="18" t="str">
        <f>TEXT(Table2[[#This Row],[Order Date]],"mmm")</f>
        <v>Jul</v>
      </c>
      <c r="S689" s="18"/>
    </row>
    <row r="690" spans="1:19" x14ac:dyDescent="0.2">
      <c r="A690" s="1">
        <v>689</v>
      </c>
      <c r="B690" s="1" t="s">
        <v>1383</v>
      </c>
      <c r="C690" s="2">
        <v>43824</v>
      </c>
      <c r="D690" s="1" t="s">
        <v>36</v>
      </c>
      <c r="E690" s="1" t="s">
        <v>1384</v>
      </c>
      <c r="F690" s="1" t="s">
        <v>178</v>
      </c>
      <c r="G690" s="1" t="s">
        <v>179</v>
      </c>
      <c r="H690" s="1" t="s">
        <v>103</v>
      </c>
      <c r="I690" s="1" t="s">
        <v>22</v>
      </c>
      <c r="J690" s="1" t="s">
        <v>23</v>
      </c>
      <c r="K690" s="1" t="s">
        <v>1385</v>
      </c>
      <c r="L690" s="17">
        <v>191.98400000000001</v>
      </c>
      <c r="M690" s="1">
        <v>2</v>
      </c>
      <c r="N690" s="1">
        <v>0.2</v>
      </c>
      <c r="O690" s="17">
        <v>4.7995999999999768</v>
      </c>
      <c r="P690" s="17">
        <f>('Work File (2)'!$L690*'Work File (2)'!$M690)*(1-'Work File (2)'!$N690)</f>
        <v>307.17440000000005</v>
      </c>
      <c r="Q690" s="1">
        <f>YEAR(Table2[[#This Row],[Order Date]])</f>
        <v>2019</v>
      </c>
      <c r="R690" s="18" t="str">
        <f>TEXT(Table2[[#This Row],[Order Date]],"mmm")</f>
        <v>Dec</v>
      </c>
      <c r="S690" s="18"/>
    </row>
    <row r="691" spans="1:19" x14ac:dyDescent="0.2">
      <c r="A691" s="1">
        <v>690</v>
      </c>
      <c r="B691" s="1" t="s">
        <v>1386</v>
      </c>
      <c r="C691" s="2">
        <v>42542</v>
      </c>
      <c r="D691" s="1" t="s">
        <v>17</v>
      </c>
      <c r="E691" s="1" t="s">
        <v>1387</v>
      </c>
      <c r="F691" s="1" t="s">
        <v>1388</v>
      </c>
      <c r="G691" s="1" t="s">
        <v>211</v>
      </c>
      <c r="H691" s="1" t="s">
        <v>21</v>
      </c>
      <c r="I691" s="1" t="s">
        <v>22</v>
      </c>
      <c r="J691" s="1" t="s">
        <v>46</v>
      </c>
      <c r="K691" s="1" t="s">
        <v>1389</v>
      </c>
      <c r="L691" s="17">
        <v>104.01</v>
      </c>
      <c r="M691" s="1">
        <v>1</v>
      </c>
      <c r="N691" s="1">
        <v>0</v>
      </c>
      <c r="O691" s="17">
        <v>14.561400000000006</v>
      </c>
      <c r="P691" s="17">
        <f>('Work File (2)'!$L691*'Work File (2)'!$M691)*(1-'Work File (2)'!$N691)</f>
        <v>104.01</v>
      </c>
      <c r="Q691" s="1">
        <f>YEAR(Table2[[#This Row],[Order Date]])</f>
        <v>2016</v>
      </c>
      <c r="R691" s="18" t="str">
        <f>TEXT(Table2[[#This Row],[Order Date]],"mmm")</f>
        <v>Jun</v>
      </c>
      <c r="S691" s="18"/>
    </row>
    <row r="692" spans="1:19" x14ac:dyDescent="0.2">
      <c r="A692" s="1">
        <v>691</v>
      </c>
      <c r="B692" s="1" t="s">
        <v>1386</v>
      </c>
      <c r="C692" s="2">
        <v>42542</v>
      </c>
      <c r="D692" s="1" t="s">
        <v>17</v>
      </c>
      <c r="E692" s="1" t="s">
        <v>1387</v>
      </c>
      <c r="F692" s="1" t="s">
        <v>1388</v>
      </c>
      <c r="G692" s="1" t="s">
        <v>211</v>
      </c>
      <c r="H692" s="1" t="s">
        <v>21</v>
      </c>
      <c r="I692" s="1" t="s">
        <v>50</v>
      </c>
      <c r="J692" s="1" t="s">
        <v>51</v>
      </c>
      <c r="K692" s="1" t="s">
        <v>58</v>
      </c>
      <c r="L692" s="17">
        <v>284.82</v>
      </c>
      <c r="M692" s="1">
        <v>1</v>
      </c>
      <c r="N692" s="1">
        <v>0</v>
      </c>
      <c r="O692" s="17">
        <v>74.053200000000004</v>
      </c>
      <c r="P692" s="17">
        <f>('Work File (2)'!$L692*'Work File (2)'!$M692)*(1-'Work File (2)'!$N692)</f>
        <v>284.82</v>
      </c>
      <c r="Q692" s="1">
        <f>YEAR(Table2[[#This Row],[Order Date]])</f>
        <v>2016</v>
      </c>
      <c r="R692" s="18" t="str">
        <f>TEXT(Table2[[#This Row],[Order Date]],"mmm")</f>
        <v>Jun</v>
      </c>
      <c r="S692" s="18"/>
    </row>
    <row r="693" spans="1:19" x14ac:dyDescent="0.2">
      <c r="A693" s="1">
        <v>692</v>
      </c>
      <c r="B693" s="1" t="s">
        <v>1386</v>
      </c>
      <c r="C693" s="2">
        <v>42542</v>
      </c>
      <c r="D693" s="1" t="s">
        <v>17</v>
      </c>
      <c r="E693" s="1" t="s">
        <v>1387</v>
      </c>
      <c r="F693" s="1" t="s">
        <v>1388</v>
      </c>
      <c r="G693" s="1" t="s">
        <v>211</v>
      </c>
      <c r="H693" s="1" t="s">
        <v>21</v>
      </c>
      <c r="I693" s="1" t="s">
        <v>32</v>
      </c>
      <c r="J693" s="1" t="s">
        <v>42</v>
      </c>
      <c r="K693" s="1" t="s">
        <v>1390</v>
      </c>
      <c r="L693" s="17">
        <v>36.839999999999996</v>
      </c>
      <c r="M693" s="1">
        <v>3</v>
      </c>
      <c r="N693" s="1">
        <v>0</v>
      </c>
      <c r="O693" s="17">
        <v>10.315199999999999</v>
      </c>
      <c r="P693" s="17">
        <f>('Work File (2)'!$L693*'Work File (2)'!$M693)*(1-'Work File (2)'!$N693)</f>
        <v>110.51999999999998</v>
      </c>
      <c r="Q693" s="1">
        <f>YEAR(Table2[[#This Row],[Order Date]])</f>
        <v>2016</v>
      </c>
      <c r="R693" s="18" t="str">
        <f>TEXT(Table2[[#This Row],[Order Date]],"mmm")</f>
        <v>Jun</v>
      </c>
      <c r="S693" s="18"/>
    </row>
    <row r="694" spans="1:19" x14ac:dyDescent="0.2">
      <c r="A694" s="1">
        <v>693</v>
      </c>
      <c r="B694" s="1" t="s">
        <v>1391</v>
      </c>
      <c r="C694" s="2">
        <v>42822</v>
      </c>
      <c r="D694" s="1" t="s">
        <v>36</v>
      </c>
      <c r="E694" s="1" t="s">
        <v>1392</v>
      </c>
      <c r="F694" s="1" t="s">
        <v>29</v>
      </c>
      <c r="G694" s="1" t="s">
        <v>30</v>
      </c>
      <c r="H694" s="1" t="s">
        <v>31</v>
      </c>
      <c r="I694" s="1" t="s">
        <v>50</v>
      </c>
      <c r="J694" s="1" t="s">
        <v>111</v>
      </c>
      <c r="K694" s="1" t="s">
        <v>1393</v>
      </c>
      <c r="L694" s="17">
        <v>166.24</v>
      </c>
      <c r="M694" s="1">
        <v>1</v>
      </c>
      <c r="N694" s="1">
        <v>0</v>
      </c>
      <c r="O694" s="17">
        <v>24.936000000000007</v>
      </c>
      <c r="P694" s="17">
        <f>('Work File (2)'!$L694*'Work File (2)'!$M694)*(1-'Work File (2)'!$N694)</f>
        <v>166.24</v>
      </c>
      <c r="Q694" s="1">
        <f>YEAR(Table2[[#This Row],[Order Date]])</f>
        <v>2017</v>
      </c>
      <c r="R694" s="18" t="str">
        <f>TEXT(Table2[[#This Row],[Order Date]],"mmm")</f>
        <v>Mar</v>
      </c>
      <c r="S694" s="18"/>
    </row>
    <row r="695" spans="1:19" x14ac:dyDescent="0.2">
      <c r="A695" s="1">
        <v>694</v>
      </c>
      <c r="B695" s="1" t="s">
        <v>1391</v>
      </c>
      <c r="C695" s="2">
        <v>42822</v>
      </c>
      <c r="D695" s="1" t="s">
        <v>36</v>
      </c>
      <c r="E695" s="1" t="s">
        <v>1392</v>
      </c>
      <c r="F695" s="1" t="s">
        <v>29</v>
      </c>
      <c r="G695" s="1" t="s">
        <v>30</v>
      </c>
      <c r="H695" s="1" t="s">
        <v>31</v>
      </c>
      <c r="I695" s="1" t="s">
        <v>32</v>
      </c>
      <c r="J695" s="1" t="s">
        <v>63</v>
      </c>
      <c r="K695" s="1" t="s">
        <v>1394</v>
      </c>
      <c r="L695" s="17">
        <v>33.4</v>
      </c>
      <c r="M695" s="1">
        <v>5</v>
      </c>
      <c r="N695" s="1">
        <v>0</v>
      </c>
      <c r="O695" s="17">
        <v>16.032</v>
      </c>
      <c r="P695" s="17">
        <f>('Work File (2)'!$L695*'Work File (2)'!$M695)*(1-'Work File (2)'!$N695)</f>
        <v>167</v>
      </c>
      <c r="Q695" s="1">
        <f>YEAR(Table2[[#This Row],[Order Date]])</f>
        <v>2017</v>
      </c>
      <c r="R695" s="18" t="str">
        <f>TEXT(Table2[[#This Row],[Order Date]],"mmm")</f>
        <v>Mar</v>
      </c>
      <c r="S695" s="18"/>
    </row>
    <row r="696" spans="1:19" x14ac:dyDescent="0.2">
      <c r="A696" s="1">
        <v>695</v>
      </c>
      <c r="B696" s="1" t="s">
        <v>1395</v>
      </c>
      <c r="C696" s="2">
        <v>42869</v>
      </c>
      <c r="D696" s="1" t="s">
        <v>128</v>
      </c>
      <c r="E696" s="1" t="s">
        <v>1396</v>
      </c>
      <c r="F696" s="1" t="s">
        <v>1397</v>
      </c>
      <c r="G696" s="1" t="s">
        <v>102</v>
      </c>
      <c r="H696" s="1" t="s">
        <v>103</v>
      </c>
      <c r="I696" s="1" t="s">
        <v>32</v>
      </c>
      <c r="J696" s="1" t="s">
        <v>48</v>
      </c>
      <c r="K696" s="1" t="s">
        <v>728</v>
      </c>
      <c r="L696" s="17">
        <v>198.27200000000002</v>
      </c>
      <c r="M696" s="1">
        <v>8</v>
      </c>
      <c r="N696" s="1">
        <v>0.2</v>
      </c>
      <c r="O696" s="17">
        <v>17.34879999999999</v>
      </c>
      <c r="P696" s="17">
        <f>('Work File (2)'!$L696*'Work File (2)'!$M696)*(1-'Work File (2)'!$N696)</f>
        <v>1268.9408000000003</v>
      </c>
      <c r="Q696" s="1">
        <f>YEAR(Table2[[#This Row],[Order Date]])</f>
        <v>2017</v>
      </c>
      <c r="R696" s="18" t="str">
        <f>TEXT(Table2[[#This Row],[Order Date]],"mmm")</f>
        <v>May</v>
      </c>
      <c r="S696" s="18"/>
    </row>
    <row r="697" spans="1:19" x14ac:dyDescent="0.2">
      <c r="A697" s="1">
        <v>696</v>
      </c>
      <c r="B697" s="1" t="s">
        <v>1395</v>
      </c>
      <c r="C697" s="2">
        <v>42869</v>
      </c>
      <c r="D697" s="1" t="s">
        <v>128</v>
      </c>
      <c r="E697" s="1" t="s">
        <v>1396</v>
      </c>
      <c r="F697" s="1" t="s">
        <v>1397</v>
      </c>
      <c r="G697" s="1" t="s">
        <v>102</v>
      </c>
      <c r="H697" s="1" t="s">
        <v>103</v>
      </c>
      <c r="I697" s="1" t="s">
        <v>32</v>
      </c>
      <c r="J697" s="1" t="s">
        <v>33</v>
      </c>
      <c r="K697" s="1" t="s">
        <v>1398</v>
      </c>
      <c r="L697" s="17">
        <v>47.360000000000007</v>
      </c>
      <c r="M697" s="1">
        <v>4</v>
      </c>
      <c r="N697" s="1">
        <v>0.2</v>
      </c>
      <c r="O697" s="17">
        <v>17.759999999999998</v>
      </c>
      <c r="P697" s="17">
        <f>('Work File (2)'!$L697*'Work File (2)'!$M697)*(1-'Work File (2)'!$N697)</f>
        <v>151.55200000000002</v>
      </c>
      <c r="Q697" s="1">
        <f>YEAR(Table2[[#This Row],[Order Date]])</f>
        <v>2017</v>
      </c>
      <c r="R697" s="18" t="str">
        <f>TEXT(Table2[[#This Row],[Order Date]],"mmm")</f>
        <v>May</v>
      </c>
      <c r="S697" s="18"/>
    </row>
    <row r="698" spans="1:19" x14ac:dyDescent="0.2">
      <c r="A698" s="1">
        <v>697</v>
      </c>
      <c r="B698" s="1" t="s">
        <v>1395</v>
      </c>
      <c r="C698" s="2">
        <v>42869</v>
      </c>
      <c r="D698" s="1" t="s">
        <v>128</v>
      </c>
      <c r="E698" s="1" t="s">
        <v>1396</v>
      </c>
      <c r="F698" s="1" t="s">
        <v>1397</v>
      </c>
      <c r="G698" s="1" t="s">
        <v>102</v>
      </c>
      <c r="H698" s="1" t="s">
        <v>103</v>
      </c>
      <c r="I698" s="1" t="s">
        <v>32</v>
      </c>
      <c r="J698" s="1" t="s">
        <v>118</v>
      </c>
      <c r="K698" s="1" t="s">
        <v>246</v>
      </c>
      <c r="L698" s="17">
        <v>200.98400000000004</v>
      </c>
      <c r="M698" s="1">
        <v>7</v>
      </c>
      <c r="N698" s="1">
        <v>0.2</v>
      </c>
      <c r="O698" s="17">
        <v>62.807499999999976</v>
      </c>
      <c r="P698" s="17">
        <f>('Work File (2)'!$L698*'Work File (2)'!$M698)*(1-'Work File (2)'!$N698)</f>
        <v>1125.5104000000003</v>
      </c>
      <c r="Q698" s="1">
        <f>YEAR(Table2[[#This Row],[Order Date]])</f>
        <v>2017</v>
      </c>
      <c r="R698" s="18" t="str">
        <f>TEXT(Table2[[#This Row],[Order Date]],"mmm")</f>
        <v>May</v>
      </c>
      <c r="S698" s="18"/>
    </row>
    <row r="699" spans="1:19" x14ac:dyDescent="0.2">
      <c r="A699" s="1">
        <v>698</v>
      </c>
      <c r="B699" s="1" t="s">
        <v>1395</v>
      </c>
      <c r="C699" s="2">
        <v>42869</v>
      </c>
      <c r="D699" s="1" t="s">
        <v>128</v>
      </c>
      <c r="E699" s="1" t="s">
        <v>1396</v>
      </c>
      <c r="F699" s="1" t="s">
        <v>1397</v>
      </c>
      <c r="G699" s="1" t="s">
        <v>102</v>
      </c>
      <c r="H699" s="1" t="s">
        <v>103</v>
      </c>
      <c r="I699" s="1" t="s">
        <v>32</v>
      </c>
      <c r="J699" s="1" t="s">
        <v>33</v>
      </c>
      <c r="K699" s="1" t="s">
        <v>1399</v>
      </c>
      <c r="L699" s="17">
        <v>97.696000000000012</v>
      </c>
      <c r="M699" s="1">
        <v>4</v>
      </c>
      <c r="N699" s="1">
        <v>0.2</v>
      </c>
      <c r="O699" s="17">
        <v>31.751200000000001</v>
      </c>
      <c r="P699" s="17">
        <f>('Work File (2)'!$L699*'Work File (2)'!$M699)*(1-'Work File (2)'!$N699)</f>
        <v>312.62720000000007</v>
      </c>
      <c r="Q699" s="1">
        <f>YEAR(Table2[[#This Row],[Order Date]])</f>
        <v>2017</v>
      </c>
      <c r="R699" s="18" t="str">
        <f>TEXT(Table2[[#This Row],[Order Date]],"mmm")</f>
        <v>May</v>
      </c>
      <c r="S699" s="18"/>
    </row>
    <row r="700" spans="1:19" x14ac:dyDescent="0.2">
      <c r="A700" s="1">
        <v>699</v>
      </c>
      <c r="B700" s="1" t="s">
        <v>1395</v>
      </c>
      <c r="C700" s="2">
        <v>42869</v>
      </c>
      <c r="D700" s="1" t="s">
        <v>128</v>
      </c>
      <c r="E700" s="1" t="s">
        <v>1396</v>
      </c>
      <c r="F700" s="1" t="s">
        <v>1397</v>
      </c>
      <c r="G700" s="1" t="s">
        <v>102</v>
      </c>
      <c r="H700" s="1" t="s">
        <v>103</v>
      </c>
      <c r="I700" s="1" t="s">
        <v>32</v>
      </c>
      <c r="J700" s="1" t="s">
        <v>48</v>
      </c>
      <c r="K700" s="1" t="s">
        <v>1400</v>
      </c>
      <c r="L700" s="17">
        <v>2.6960000000000002</v>
      </c>
      <c r="M700" s="1">
        <v>1</v>
      </c>
      <c r="N700" s="1">
        <v>0.2</v>
      </c>
      <c r="O700" s="17">
        <v>0.8088000000000003</v>
      </c>
      <c r="P700" s="17">
        <f>('Work File (2)'!$L700*'Work File (2)'!$M700)*(1-'Work File (2)'!$N700)</f>
        <v>2.1568000000000001</v>
      </c>
      <c r="Q700" s="1">
        <f>YEAR(Table2[[#This Row],[Order Date]])</f>
        <v>2017</v>
      </c>
      <c r="R700" s="18" t="str">
        <f>TEXT(Table2[[#This Row],[Order Date]],"mmm")</f>
        <v>May</v>
      </c>
      <c r="S700" s="18"/>
    </row>
    <row r="701" spans="1:19" x14ac:dyDescent="0.2">
      <c r="A701" s="1">
        <v>700</v>
      </c>
      <c r="B701" s="1" t="s">
        <v>1395</v>
      </c>
      <c r="C701" s="2">
        <v>42869</v>
      </c>
      <c r="D701" s="1" t="s">
        <v>128</v>
      </c>
      <c r="E701" s="1" t="s">
        <v>1396</v>
      </c>
      <c r="F701" s="1" t="s">
        <v>1397</v>
      </c>
      <c r="G701" s="1" t="s">
        <v>102</v>
      </c>
      <c r="H701" s="1" t="s">
        <v>103</v>
      </c>
      <c r="I701" s="1" t="s">
        <v>32</v>
      </c>
      <c r="J701" s="1" t="s">
        <v>53</v>
      </c>
      <c r="K701" s="1" t="s">
        <v>1401</v>
      </c>
      <c r="L701" s="17">
        <v>18.588000000000005</v>
      </c>
      <c r="M701" s="1">
        <v>2</v>
      </c>
      <c r="N701" s="1">
        <v>0.7</v>
      </c>
      <c r="O701" s="17">
        <v>-13.6312</v>
      </c>
      <c r="P701" s="17">
        <f>('Work File (2)'!$L701*'Work File (2)'!$M701)*(1-'Work File (2)'!$N701)</f>
        <v>11.152800000000004</v>
      </c>
      <c r="Q701" s="1">
        <f>YEAR(Table2[[#This Row],[Order Date]])</f>
        <v>2017</v>
      </c>
      <c r="R701" s="18" t="str">
        <f>TEXT(Table2[[#This Row],[Order Date]],"mmm")</f>
        <v>May</v>
      </c>
      <c r="S701" s="18"/>
    </row>
    <row r="702" spans="1:19" x14ac:dyDescent="0.2">
      <c r="A702" s="1">
        <v>701</v>
      </c>
      <c r="B702" s="1" t="s">
        <v>1395</v>
      </c>
      <c r="C702" s="2">
        <v>42869</v>
      </c>
      <c r="D702" s="1" t="s">
        <v>128</v>
      </c>
      <c r="E702" s="1" t="s">
        <v>1396</v>
      </c>
      <c r="F702" s="1" t="s">
        <v>1397</v>
      </c>
      <c r="G702" s="1" t="s">
        <v>102</v>
      </c>
      <c r="H702" s="1" t="s">
        <v>103</v>
      </c>
      <c r="I702" s="1" t="s">
        <v>32</v>
      </c>
      <c r="J702" s="1" t="s">
        <v>53</v>
      </c>
      <c r="K702" s="1" t="s">
        <v>757</v>
      </c>
      <c r="L702" s="17">
        <v>4.8960000000000008</v>
      </c>
      <c r="M702" s="1">
        <v>3</v>
      </c>
      <c r="N702" s="1">
        <v>0.7</v>
      </c>
      <c r="O702" s="17">
        <v>-3.4271999999999991</v>
      </c>
      <c r="P702" s="17">
        <f>('Work File (2)'!$L702*'Work File (2)'!$M702)*(1-'Work File (2)'!$N702)</f>
        <v>4.4064000000000014</v>
      </c>
      <c r="Q702" s="1">
        <f>YEAR(Table2[[#This Row],[Order Date]])</f>
        <v>2017</v>
      </c>
      <c r="R702" s="18" t="str">
        <f>TEXT(Table2[[#This Row],[Order Date]],"mmm")</f>
        <v>May</v>
      </c>
      <c r="S702" s="18"/>
    </row>
    <row r="703" spans="1:19" x14ac:dyDescent="0.2">
      <c r="A703" s="1">
        <v>702</v>
      </c>
      <c r="B703" s="1" t="s">
        <v>1402</v>
      </c>
      <c r="C703" s="2">
        <v>43710</v>
      </c>
      <c r="D703" s="1" t="s">
        <v>36</v>
      </c>
      <c r="E703" s="1" t="s">
        <v>616</v>
      </c>
      <c r="F703" s="1" t="s">
        <v>1353</v>
      </c>
      <c r="G703" s="1" t="s">
        <v>324</v>
      </c>
      <c r="H703" s="1" t="s">
        <v>103</v>
      </c>
      <c r="I703" s="1" t="s">
        <v>22</v>
      </c>
      <c r="J703" s="1" t="s">
        <v>46</v>
      </c>
      <c r="K703" s="1" t="s">
        <v>525</v>
      </c>
      <c r="L703" s="17">
        <v>15.072000000000003</v>
      </c>
      <c r="M703" s="1">
        <v>3</v>
      </c>
      <c r="N703" s="1">
        <v>0.2</v>
      </c>
      <c r="O703" s="17">
        <v>4.1448</v>
      </c>
      <c r="P703" s="17">
        <f>('Work File (2)'!$L703*'Work File (2)'!$M703)*(1-'Work File (2)'!$N703)</f>
        <v>36.172800000000009</v>
      </c>
      <c r="Q703" s="1">
        <f>YEAR(Table2[[#This Row],[Order Date]])</f>
        <v>2019</v>
      </c>
      <c r="R703" s="18" t="str">
        <f>TEXT(Table2[[#This Row],[Order Date]],"mmm")</f>
        <v>Sep</v>
      </c>
      <c r="S703" s="18"/>
    </row>
    <row r="704" spans="1:19" x14ac:dyDescent="0.2">
      <c r="A704" s="1">
        <v>703</v>
      </c>
      <c r="B704" s="1" t="s">
        <v>1403</v>
      </c>
      <c r="C704" s="2">
        <v>43408</v>
      </c>
      <c r="D704" s="1" t="s">
        <v>17</v>
      </c>
      <c r="E704" s="1" t="s">
        <v>838</v>
      </c>
      <c r="F704" s="1" t="s">
        <v>67</v>
      </c>
      <c r="G704" s="1" t="s">
        <v>68</v>
      </c>
      <c r="H704" s="1" t="s">
        <v>31</v>
      </c>
      <c r="I704" s="1" t="s">
        <v>22</v>
      </c>
      <c r="J704" s="1" t="s">
        <v>46</v>
      </c>
      <c r="K704" s="1" t="s">
        <v>1404</v>
      </c>
      <c r="L704" s="17">
        <v>209.88</v>
      </c>
      <c r="M704" s="1">
        <v>3</v>
      </c>
      <c r="N704" s="1">
        <v>0</v>
      </c>
      <c r="O704" s="17">
        <v>35.679599999999979</v>
      </c>
      <c r="P704" s="17">
        <f>('Work File (2)'!$L704*'Work File (2)'!$M704)*(1-'Work File (2)'!$N704)</f>
        <v>629.64</v>
      </c>
      <c r="Q704" s="1">
        <f>YEAR(Table2[[#This Row],[Order Date]])</f>
        <v>2018</v>
      </c>
      <c r="R704" s="18" t="str">
        <f>TEXT(Table2[[#This Row],[Order Date]],"mmm")</f>
        <v>Nov</v>
      </c>
      <c r="S704" s="18"/>
    </row>
    <row r="705" spans="1:19" x14ac:dyDescent="0.2">
      <c r="A705" s="1">
        <v>704</v>
      </c>
      <c r="B705" s="1" t="s">
        <v>1405</v>
      </c>
      <c r="C705" s="2">
        <v>42834</v>
      </c>
      <c r="D705" s="1" t="s">
        <v>36</v>
      </c>
      <c r="E705" s="1" t="s">
        <v>1406</v>
      </c>
      <c r="F705" s="1" t="s">
        <v>736</v>
      </c>
      <c r="G705" s="1" t="s">
        <v>30</v>
      </c>
      <c r="H705" s="1" t="s">
        <v>31</v>
      </c>
      <c r="I705" s="1" t="s">
        <v>22</v>
      </c>
      <c r="J705" s="1" t="s">
        <v>40</v>
      </c>
      <c r="K705" s="1" t="s">
        <v>1407</v>
      </c>
      <c r="L705" s="17">
        <v>369.91200000000003</v>
      </c>
      <c r="M705" s="1">
        <v>3</v>
      </c>
      <c r="N705" s="1">
        <v>0.2</v>
      </c>
      <c r="O705" s="17">
        <v>-13.871700000000047</v>
      </c>
      <c r="P705" s="17">
        <f>('Work File (2)'!$L705*'Work File (2)'!$M705)*(1-'Work File (2)'!$N705)</f>
        <v>887.78880000000015</v>
      </c>
      <c r="Q705" s="1">
        <f>YEAR(Table2[[#This Row],[Order Date]])</f>
        <v>2017</v>
      </c>
      <c r="R705" s="18" t="str">
        <f>TEXT(Table2[[#This Row],[Order Date]],"mmm")</f>
        <v>Apr</v>
      </c>
      <c r="S705" s="18"/>
    </row>
    <row r="706" spans="1:19" x14ac:dyDescent="0.2">
      <c r="A706" s="1">
        <v>705</v>
      </c>
      <c r="B706" s="1" t="s">
        <v>1408</v>
      </c>
      <c r="C706" s="2">
        <v>42625</v>
      </c>
      <c r="D706" s="1" t="s">
        <v>36</v>
      </c>
      <c r="E706" s="1" t="s">
        <v>1409</v>
      </c>
      <c r="F706" s="1" t="s">
        <v>1410</v>
      </c>
      <c r="G706" s="1" t="s">
        <v>62</v>
      </c>
      <c r="H706" s="1" t="s">
        <v>21</v>
      </c>
      <c r="I706" s="1" t="s">
        <v>32</v>
      </c>
      <c r="J706" s="1" t="s">
        <v>63</v>
      </c>
      <c r="K706" s="1" t="s">
        <v>1411</v>
      </c>
      <c r="L706" s="17">
        <v>10.368000000000002</v>
      </c>
      <c r="M706" s="1">
        <v>2</v>
      </c>
      <c r="N706" s="1">
        <v>0.2</v>
      </c>
      <c r="O706" s="17">
        <v>3.6288</v>
      </c>
      <c r="P706" s="17">
        <f>('Work File (2)'!$L706*'Work File (2)'!$M706)*(1-'Work File (2)'!$N706)</f>
        <v>16.588800000000003</v>
      </c>
      <c r="Q706" s="1">
        <f>YEAR(Table2[[#This Row],[Order Date]])</f>
        <v>2016</v>
      </c>
      <c r="R706" s="18" t="str">
        <f>TEXT(Table2[[#This Row],[Order Date]],"mmm")</f>
        <v>Sep</v>
      </c>
      <c r="S706" s="18"/>
    </row>
    <row r="707" spans="1:19" x14ac:dyDescent="0.2">
      <c r="A707" s="1">
        <v>706</v>
      </c>
      <c r="B707" s="1" t="s">
        <v>1408</v>
      </c>
      <c r="C707" s="2">
        <v>42625</v>
      </c>
      <c r="D707" s="1" t="s">
        <v>36</v>
      </c>
      <c r="E707" s="1" t="s">
        <v>1409</v>
      </c>
      <c r="F707" s="1" t="s">
        <v>1410</v>
      </c>
      <c r="G707" s="1" t="s">
        <v>62</v>
      </c>
      <c r="H707" s="1" t="s">
        <v>21</v>
      </c>
      <c r="I707" s="1" t="s">
        <v>32</v>
      </c>
      <c r="J707" s="1" t="s">
        <v>55</v>
      </c>
      <c r="K707" s="1" t="s">
        <v>1412</v>
      </c>
      <c r="L707" s="17">
        <v>166.84</v>
      </c>
      <c r="M707" s="1">
        <v>5</v>
      </c>
      <c r="N707" s="1">
        <v>0.2</v>
      </c>
      <c r="O707" s="17">
        <v>18.769499999999987</v>
      </c>
      <c r="P707" s="17">
        <f>('Work File (2)'!$L707*'Work File (2)'!$M707)*(1-'Work File (2)'!$N707)</f>
        <v>667.36000000000013</v>
      </c>
      <c r="Q707" s="1">
        <f>YEAR(Table2[[#This Row],[Order Date]])</f>
        <v>2016</v>
      </c>
      <c r="R707" s="18" t="str">
        <f>TEXT(Table2[[#This Row],[Order Date]],"mmm")</f>
        <v>Sep</v>
      </c>
      <c r="S707" s="18"/>
    </row>
    <row r="708" spans="1:19" x14ac:dyDescent="0.2">
      <c r="A708" s="1">
        <v>707</v>
      </c>
      <c r="B708" s="1" t="s">
        <v>1408</v>
      </c>
      <c r="C708" s="2">
        <v>42625</v>
      </c>
      <c r="D708" s="1" t="s">
        <v>36</v>
      </c>
      <c r="E708" s="1" t="s">
        <v>1409</v>
      </c>
      <c r="F708" s="1" t="s">
        <v>1410</v>
      </c>
      <c r="G708" s="1" t="s">
        <v>62</v>
      </c>
      <c r="H708" s="1" t="s">
        <v>21</v>
      </c>
      <c r="I708" s="1" t="s">
        <v>50</v>
      </c>
      <c r="J708" s="1" t="s">
        <v>111</v>
      </c>
      <c r="K708" s="1" t="s">
        <v>1091</v>
      </c>
      <c r="L708" s="17">
        <v>15.216000000000001</v>
      </c>
      <c r="M708" s="1">
        <v>1</v>
      </c>
      <c r="N708" s="1">
        <v>0.2</v>
      </c>
      <c r="O708" s="17">
        <v>2.2823999999999991</v>
      </c>
      <c r="P708" s="17">
        <f>('Work File (2)'!$L708*'Work File (2)'!$M708)*(1-'Work File (2)'!$N708)</f>
        <v>12.172800000000002</v>
      </c>
      <c r="Q708" s="1">
        <f>YEAR(Table2[[#This Row],[Order Date]])</f>
        <v>2016</v>
      </c>
      <c r="R708" s="18" t="str">
        <f>TEXT(Table2[[#This Row],[Order Date]],"mmm")</f>
        <v>Sep</v>
      </c>
      <c r="S708" s="18"/>
    </row>
    <row r="709" spans="1:19" x14ac:dyDescent="0.2">
      <c r="A709" s="1">
        <v>708</v>
      </c>
      <c r="B709" s="1" t="s">
        <v>1413</v>
      </c>
      <c r="C709" s="2">
        <v>42706</v>
      </c>
      <c r="D709" s="1" t="s">
        <v>128</v>
      </c>
      <c r="E709" s="1" t="s">
        <v>1414</v>
      </c>
      <c r="F709" s="1" t="s">
        <v>178</v>
      </c>
      <c r="G709" s="1" t="s">
        <v>179</v>
      </c>
      <c r="H709" s="1" t="s">
        <v>103</v>
      </c>
      <c r="I709" s="1" t="s">
        <v>50</v>
      </c>
      <c r="J709" s="1" t="s">
        <v>111</v>
      </c>
      <c r="K709" s="1" t="s">
        <v>644</v>
      </c>
      <c r="L709" s="17">
        <v>119.96</v>
      </c>
      <c r="M709" s="1">
        <v>4</v>
      </c>
      <c r="N709" s="1">
        <v>0</v>
      </c>
      <c r="O709" s="17">
        <v>52.78240000000001</v>
      </c>
      <c r="P709" s="17">
        <f>('Work File (2)'!$L709*'Work File (2)'!$M709)*(1-'Work File (2)'!$N709)</f>
        <v>479.84</v>
      </c>
      <c r="Q709" s="1">
        <f>YEAR(Table2[[#This Row],[Order Date]])</f>
        <v>2016</v>
      </c>
      <c r="R709" s="18" t="str">
        <f>TEXT(Table2[[#This Row],[Order Date]],"mmm")</f>
        <v>Dec</v>
      </c>
      <c r="S709" s="18"/>
    </row>
    <row r="710" spans="1:19" x14ac:dyDescent="0.2">
      <c r="A710" s="1">
        <v>709</v>
      </c>
      <c r="B710" s="1" t="s">
        <v>1413</v>
      </c>
      <c r="C710" s="2">
        <v>42706</v>
      </c>
      <c r="D710" s="1" t="s">
        <v>128</v>
      </c>
      <c r="E710" s="1" t="s">
        <v>1414</v>
      </c>
      <c r="F710" s="1" t="s">
        <v>178</v>
      </c>
      <c r="G710" s="1" t="s">
        <v>179</v>
      </c>
      <c r="H710" s="1" t="s">
        <v>103</v>
      </c>
      <c r="I710" s="1" t="s">
        <v>22</v>
      </c>
      <c r="J710" s="1" t="s">
        <v>23</v>
      </c>
      <c r="K710" s="1" t="s">
        <v>1415</v>
      </c>
      <c r="L710" s="17">
        <v>883.92</v>
      </c>
      <c r="M710" s="1">
        <v>5</v>
      </c>
      <c r="N710" s="1">
        <v>0.2</v>
      </c>
      <c r="O710" s="17">
        <v>-110.49000000000007</v>
      </c>
      <c r="P710" s="17">
        <f>('Work File (2)'!$L710*'Work File (2)'!$M710)*(1-'Work File (2)'!$N710)</f>
        <v>3535.68</v>
      </c>
      <c r="Q710" s="1">
        <f>YEAR(Table2[[#This Row],[Order Date]])</f>
        <v>2016</v>
      </c>
      <c r="R710" s="18" t="str">
        <f>TEXT(Table2[[#This Row],[Order Date]],"mmm")</f>
        <v>Dec</v>
      </c>
      <c r="S710" s="18"/>
    </row>
    <row r="711" spans="1:19" x14ac:dyDescent="0.2">
      <c r="A711" s="1">
        <v>710</v>
      </c>
      <c r="B711" s="1" t="s">
        <v>1413</v>
      </c>
      <c r="C711" s="2">
        <v>42706</v>
      </c>
      <c r="D711" s="1" t="s">
        <v>128</v>
      </c>
      <c r="E711" s="1" t="s">
        <v>1414</v>
      </c>
      <c r="F711" s="1" t="s">
        <v>178</v>
      </c>
      <c r="G711" s="1" t="s">
        <v>179</v>
      </c>
      <c r="H711" s="1" t="s">
        <v>103</v>
      </c>
      <c r="I711" s="1" t="s">
        <v>32</v>
      </c>
      <c r="J711" s="1" t="s">
        <v>53</v>
      </c>
      <c r="K711" s="1" t="s">
        <v>858</v>
      </c>
      <c r="L711" s="17">
        <v>46.72</v>
      </c>
      <c r="M711" s="1">
        <v>8</v>
      </c>
      <c r="N711" s="1">
        <v>0.2</v>
      </c>
      <c r="O711" s="17">
        <v>15.767999999999997</v>
      </c>
      <c r="P711" s="17">
        <f>('Work File (2)'!$L711*'Work File (2)'!$M711)*(1-'Work File (2)'!$N711)</f>
        <v>299.00799999999998</v>
      </c>
      <c r="Q711" s="1">
        <f>YEAR(Table2[[#This Row],[Order Date]])</f>
        <v>2016</v>
      </c>
      <c r="R711" s="18" t="str">
        <f>TEXT(Table2[[#This Row],[Order Date]],"mmm")</f>
        <v>Dec</v>
      </c>
      <c r="S711" s="18"/>
    </row>
    <row r="712" spans="1:19" x14ac:dyDescent="0.2">
      <c r="A712" s="1">
        <v>711</v>
      </c>
      <c r="B712" s="1" t="s">
        <v>1416</v>
      </c>
      <c r="C712" s="2">
        <v>42465</v>
      </c>
      <c r="D712" s="1" t="s">
        <v>128</v>
      </c>
      <c r="E712" s="1" t="s">
        <v>1417</v>
      </c>
      <c r="F712" s="1" t="s">
        <v>178</v>
      </c>
      <c r="G712" s="1" t="s">
        <v>179</v>
      </c>
      <c r="H712" s="1" t="s">
        <v>103</v>
      </c>
      <c r="I712" s="1" t="s">
        <v>32</v>
      </c>
      <c r="J712" s="1" t="s">
        <v>63</v>
      </c>
      <c r="K712" s="1" t="s">
        <v>1015</v>
      </c>
      <c r="L712" s="17">
        <v>55.48</v>
      </c>
      <c r="M712" s="1">
        <v>1</v>
      </c>
      <c r="N712" s="1">
        <v>0</v>
      </c>
      <c r="O712" s="17">
        <v>26.630399999999998</v>
      </c>
      <c r="P712" s="17">
        <f>('Work File (2)'!$L712*'Work File (2)'!$M712)*(1-'Work File (2)'!$N712)</f>
        <v>55.48</v>
      </c>
      <c r="Q712" s="1">
        <f>YEAR(Table2[[#This Row],[Order Date]])</f>
        <v>2016</v>
      </c>
      <c r="R712" s="18" t="str">
        <f>TEXT(Table2[[#This Row],[Order Date]],"mmm")</f>
        <v>Apr</v>
      </c>
      <c r="S712" s="18"/>
    </row>
    <row r="713" spans="1:19" x14ac:dyDescent="0.2">
      <c r="A713" s="1">
        <v>712</v>
      </c>
      <c r="B713" s="1" t="s">
        <v>1418</v>
      </c>
      <c r="C713" s="2">
        <v>43711</v>
      </c>
      <c r="D713" s="1" t="s">
        <v>36</v>
      </c>
      <c r="E713" s="1" t="s">
        <v>1419</v>
      </c>
      <c r="F713" s="1" t="s">
        <v>1420</v>
      </c>
      <c r="G713" s="1" t="s">
        <v>39</v>
      </c>
      <c r="H713" s="1" t="s">
        <v>21</v>
      </c>
      <c r="I713" s="1" t="s">
        <v>32</v>
      </c>
      <c r="J713" s="1" t="s">
        <v>118</v>
      </c>
      <c r="K713" s="1" t="s">
        <v>1421</v>
      </c>
      <c r="L713" s="17">
        <v>24.448</v>
      </c>
      <c r="M713" s="1">
        <v>4</v>
      </c>
      <c r="N713" s="1">
        <v>0.2</v>
      </c>
      <c r="O713" s="17">
        <v>8.8623999999999992</v>
      </c>
      <c r="P713" s="17">
        <f>('Work File (2)'!$L713*'Work File (2)'!$M713)*(1-'Work File (2)'!$N713)</f>
        <v>78.23360000000001</v>
      </c>
      <c r="Q713" s="1">
        <f>YEAR(Table2[[#This Row],[Order Date]])</f>
        <v>2019</v>
      </c>
      <c r="R713" s="18" t="str">
        <f>TEXT(Table2[[#This Row],[Order Date]],"mmm")</f>
        <v>Sep</v>
      </c>
      <c r="S713" s="18"/>
    </row>
    <row r="714" spans="1:19" x14ac:dyDescent="0.2">
      <c r="A714" s="1">
        <v>713</v>
      </c>
      <c r="B714" s="1" t="s">
        <v>1422</v>
      </c>
      <c r="C714" s="2">
        <v>43604</v>
      </c>
      <c r="D714" s="1" t="s">
        <v>36</v>
      </c>
      <c r="E714" s="1" t="s">
        <v>1423</v>
      </c>
      <c r="F714" s="1" t="s">
        <v>1424</v>
      </c>
      <c r="G714" s="1" t="s">
        <v>179</v>
      </c>
      <c r="H714" s="1" t="s">
        <v>103</v>
      </c>
      <c r="I714" s="1" t="s">
        <v>32</v>
      </c>
      <c r="J714" s="1" t="s">
        <v>55</v>
      </c>
      <c r="K714" s="1" t="s">
        <v>1425</v>
      </c>
      <c r="L714" s="17">
        <v>281.34000000000003</v>
      </c>
      <c r="M714" s="1">
        <v>6</v>
      </c>
      <c r="N714" s="1">
        <v>0</v>
      </c>
      <c r="O714" s="17">
        <v>109.72260000000001</v>
      </c>
      <c r="P714" s="17">
        <f>('Work File (2)'!$L714*'Work File (2)'!$M714)*(1-'Work File (2)'!$N714)</f>
        <v>1688.0400000000002</v>
      </c>
      <c r="Q714" s="1">
        <f>YEAR(Table2[[#This Row],[Order Date]])</f>
        <v>2019</v>
      </c>
      <c r="R714" s="18" t="str">
        <f>TEXT(Table2[[#This Row],[Order Date]],"mmm")</f>
        <v>May</v>
      </c>
      <c r="S714" s="18"/>
    </row>
    <row r="715" spans="1:19" x14ac:dyDescent="0.2">
      <c r="A715" s="1">
        <v>714</v>
      </c>
      <c r="B715" s="1" t="s">
        <v>1422</v>
      </c>
      <c r="C715" s="2">
        <v>43604</v>
      </c>
      <c r="D715" s="1" t="s">
        <v>36</v>
      </c>
      <c r="E715" s="1" t="s">
        <v>1423</v>
      </c>
      <c r="F715" s="1" t="s">
        <v>1424</v>
      </c>
      <c r="G715" s="1" t="s">
        <v>179</v>
      </c>
      <c r="H715" s="1" t="s">
        <v>103</v>
      </c>
      <c r="I715" s="1" t="s">
        <v>50</v>
      </c>
      <c r="J715" s="1" t="s">
        <v>51</v>
      </c>
      <c r="K715" s="1" t="s">
        <v>862</v>
      </c>
      <c r="L715" s="17">
        <v>307.98</v>
      </c>
      <c r="M715" s="1">
        <v>2</v>
      </c>
      <c r="N715" s="1">
        <v>0</v>
      </c>
      <c r="O715" s="17">
        <v>89.314199999999971</v>
      </c>
      <c r="P715" s="17">
        <f>('Work File (2)'!$L715*'Work File (2)'!$M715)*(1-'Work File (2)'!$N715)</f>
        <v>615.96</v>
      </c>
      <c r="Q715" s="1">
        <f>YEAR(Table2[[#This Row],[Order Date]])</f>
        <v>2019</v>
      </c>
      <c r="R715" s="18" t="str">
        <f>TEXT(Table2[[#This Row],[Order Date]],"mmm")</f>
        <v>May</v>
      </c>
      <c r="S715" s="18"/>
    </row>
    <row r="716" spans="1:19" x14ac:dyDescent="0.2">
      <c r="A716" s="1">
        <v>715</v>
      </c>
      <c r="B716" s="1" t="s">
        <v>1422</v>
      </c>
      <c r="C716" s="2">
        <v>43604</v>
      </c>
      <c r="D716" s="1" t="s">
        <v>36</v>
      </c>
      <c r="E716" s="1" t="s">
        <v>1423</v>
      </c>
      <c r="F716" s="1" t="s">
        <v>1424</v>
      </c>
      <c r="G716" s="1" t="s">
        <v>179</v>
      </c>
      <c r="H716" s="1" t="s">
        <v>103</v>
      </c>
      <c r="I716" s="1" t="s">
        <v>50</v>
      </c>
      <c r="J716" s="1" t="s">
        <v>111</v>
      </c>
      <c r="K716" s="1" t="s">
        <v>1426</v>
      </c>
      <c r="L716" s="17">
        <v>299.96999999999997</v>
      </c>
      <c r="M716" s="1">
        <v>3</v>
      </c>
      <c r="N716" s="1">
        <v>0</v>
      </c>
      <c r="O716" s="17">
        <v>113.98860000000001</v>
      </c>
      <c r="P716" s="17">
        <f>('Work File (2)'!$L716*'Work File (2)'!$M716)*(1-'Work File (2)'!$N716)</f>
        <v>899.90999999999985</v>
      </c>
      <c r="Q716" s="1">
        <f>YEAR(Table2[[#This Row],[Order Date]])</f>
        <v>2019</v>
      </c>
      <c r="R716" s="18" t="str">
        <f>TEXT(Table2[[#This Row],[Order Date]],"mmm")</f>
        <v>May</v>
      </c>
      <c r="S716" s="18"/>
    </row>
    <row r="717" spans="1:19" x14ac:dyDescent="0.2">
      <c r="A717" s="1">
        <v>716</v>
      </c>
      <c r="B717" s="1" t="s">
        <v>1427</v>
      </c>
      <c r="C717" s="2">
        <v>42552</v>
      </c>
      <c r="D717" s="1" t="s">
        <v>17</v>
      </c>
      <c r="E717" s="1" t="s">
        <v>616</v>
      </c>
      <c r="F717" s="1" t="s">
        <v>67</v>
      </c>
      <c r="G717" s="1" t="s">
        <v>68</v>
      </c>
      <c r="H717" s="1" t="s">
        <v>31</v>
      </c>
      <c r="I717" s="1" t="s">
        <v>32</v>
      </c>
      <c r="J717" s="1" t="s">
        <v>53</v>
      </c>
      <c r="K717" s="1" t="s">
        <v>1428</v>
      </c>
      <c r="L717" s="17">
        <v>19.920000000000002</v>
      </c>
      <c r="M717" s="1">
        <v>5</v>
      </c>
      <c r="N717" s="1">
        <v>0.2</v>
      </c>
      <c r="O717" s="17">
        <v>6.9719999999999995</v>
      </c>
      <c r="P717" s="17">
        <f>('Work File (2)'!$L717*'Work File (2)'!$M717)*(1-'Work File (2)'!$N717)</f>
        <v>79.680000000000007</v>
      </c>
      <c r="Q717" s="1">
        <f>YEAR(Table2[[#This Row],[Order Date]])</f>
        <v>2016</v>
      </c>
      <c r="R717" s="18" t="str">
        <f>TEXT(Table2[[#This Row],[Order Date]],"mmm")</f>
        <v>Jul</v>
      </c>
      <c r="S717" s="18"/>
    </row>
    <row r="718" spans="1:19" x14ac:dyDescent="0.2">
      <c r="A718" s="1">
        <v>717</v>
      </c>
      <c r="B718" s="1" t="s">
        <v>1429</v>
      </c>
      <c r="C718" s="2">
        <v>42380</v>
      </c>
      <c r="D718" s="1" t="s">
        <v>128</v>
      </c>
      <c r="E718" s="1" t="s">
        <v>1430</v>
      </c>
      <c r="F718" s="1" t="s">
        <v>164</v>
      </c>
      <c r="G718" s="1" t="s">
        <v>165</v>
      </c>
      <c r="H718" s="1" t="s">
        <v>103</v>
      </c>
      <c r="I718" s="1" t="s">
        <v>22</v>
      </c>
      <c r="J718" s="1" t="s">
        <v>46</v>
      </c>
      <c r="K718" s="1" t="s">
        <v>1269</v>
      </c>
      <c r="L718" s="17">
        <v>9.94</v>
      </c>
      <c r="M718" s="1">
        <v>2</v>
      </c>
      <c r="N718" s="1">
        <v>0</v>
      </c>
      <c r="O718" s="17">
        <v>3.0813999999999995</v>
      </c>
      <c r="P718" s="17">
        <f>('Work File (2)'!$L718*'Work File (2)'!$M718)*(1-'Work File (2)'!$N718)</f>
        <v>19.88</v>
      </c>
      <c r="Q718" s="1">
        <f>YEAR(Table2[[#This Row],[Order Date]])</f>
        <v>2016</v>
      </c>
      <c r="R718" s="18" t="str">
        <f>TEXT(Table2[[#This Row],[Order Date]],"mmm")</f>
        <v>Jan</v>
      </c>
      <c r="S718" s="18"/>
    </row>
    <row r="719" spans="1:19" x14ac:dyDescent="0.2">
      <c r="A719" s="1">
        <v>718</v>
      </c>
      <c r="B719" s="1" t="s">
        <v>1431</v>
      </c>
      <c r="C719" s="2">
        <v>43732</v>
      </c>
      <c r="D719" s="1" t="s">
        <v>36</v>
      </c>
      <c r="E719" s="1" t="s">
        <v>599</v>
      </c>
      <c r="F719" s="1" t="s">
        <v>391</v>
      </c>
      <c r="G719" s="1" t="s">
        <v>324</v>
      </c>
      <c r="H719" s="1" t="s">
        <v>103</v>
      </c>
      <c r="I719" s="1" t="s">
        <v>22</v>
      </c>
      <c r="J719" s="1" t="s">
        <v>46</v>
      </c>
      <c r="K719" s="1" t="s">
        <v>1432</v>
      </c>
      <c r="L719" s="17">
        <v>103.05599999999998</v>
      </c>
      <c r="M719" s="1">
        <v>3</v>
      </c>
      <c r="N719" s="1">
        <v>0.2</v>
      </c>
      <c r="O719" s="17">
        <v>24.475800000000007</v>
      </c>
      <c r="P719" s="17">
        <f>('Work File (2)'!$L719*'Work File (2)'!$M719)*(1-'Work File (2)'!$N719)</f>
        <v>247.33439999999996</v>
      </c>
      <c r="Q719" s="1">
        <f>YEAR(Table2[[#This Row],[Order Date]])</f>
        <v>2019</v>
      </c>
      <c r="R719" s="18" t="str">
        <f>TEXT(Table2[[#This Row],[Order Date]],"mmm")</f>
        <v>Sep</v>
      </c>
      <c r="S719" s="18"/>
    </row>
    <row r="720" spans="1:19" x14ac:dyDescent="0.2">
      <c r="A720" s="1">
        <v>719</v>
      </c>
      <c r="B720" s="1" t="s">
        <v>1433</v>
      </c>
      <c r="C720" s="2">
        <v>42523</v>
      </c>
      <c r="D720" s="1" t="s">
        <v>36</v>
      </c>
      <c r="E720" s="1" t="s">
        <v>1434</v>
      </c>
      <c r="F720" s="1" t="s">
        <v>107</v>
      </c>
      <c r="G720" s="1" t="s">
        <v>85</v>
      </c>
      <c r="H720" s="1" t="s">
        <v>31</v>
      </c>
      <c r="I720" s="1" t="s">
        <v>32</v>
      </c>
      <c r="J720" s="1" t="s">
        <v>53</v>
      </c>
      <c r="K720" s="1" t="s">
        <v>1075</v>
      </c>
      <c r="L720" s="17">
        <v>59.808000000000007</v>
      </c>
      <c r="M720" s="1">
        <v>3</v>
      </c>
      <c r="N720" s="1">
        <v>0.2</v>
      </c>
      <c r="O720" s="17">
        <v>19.4376</v>
      </c>
      <c r="P720" s="17">
        <f>('Work File (2)'!$L720*'Work File (2)'!$M720)*(1-'Work File (2)'!$N720)</f>
        <v>143.53920000000002</v>
      </c>
      <c r="Q720" s="1">
        <f>YEAR(Table2[[#This Row],[Order Date]])</f>
        <v>2016</v>
      </c>
      <c r="R720" s="18" t="str">
        <f>TEXT(Table2[[#This Row],[Order Date]],"mmm")</f>
        <v>Jun</v>
      </c>
      <c r="S720" s="18"/>
    </row>
    <row r="721" spans="1:19" x14ac:dyDescent="0.2">
      <c r="A721" s="1">
        <v>720</v>
      </c>
      <c r="B721" s="1" t="s">
        <v>1433</v>
      </c>
      <c r="C721" s="2">
        <v>42523</v>
      </c>
      <c r="D721" s="1" t="s">
        <v>36</v>
      </c>
      <c r="E721" s="1" t="s">
        <v>1434</v>
      </c>
      <c r="F721" s="1" t="s">
        <v>107</v>
      </c>
      <c r="G721" s="1" t="s">
        <v>85</v>
      </c>
      <c r="H721" s="1" t="s">
        <v>31</v>
      </c>
      <c r="I721" s="1" t="s">
        <v>22</v>
      </c>
      <c r="J721" s="1" t="s">
        <v>46</v>
      </c>
      <c r="K721" s="1" t="s">
        <v>965</v>
      </c>
      <c r="L721" s="17">
        <v>73.320000000000007</v>
      </c>
      <c r="M721" s="1">
        <v>6</v>
      </c>
      <c r="N721" s="1">
        <v>0</v>
      </c>
      <c r="O721" s="17">
        <v>21.995999999999992</v>
      </c>
      <c r="P721" s="17">
        <f>('Work File (2)'!$L721*'Work File (2)'!$M721)*(1-'Work File (2)'!$N721)</f>
        <v>439.92000000000007</v>
      </c>
      <c r="Q721" s="1">
        <f>YEAR(Table2[[#This Row],[Order Date]])</f>
        <v>2016</v>
      </c>
      <c r="R721" s="18" t="str">
        <f>TEXT(Table2[[#This Row],[Order Date]],"mmm")</f>
        <v>Jun</v>
      </c>
      <c r="S721" s="18"/>
    </row>
    <row r="722" spans="1:19" x14ac:dyDescent="0.2">
      <c r="A722" s="1">
        <v>721</v>
      </c>
      <c r="B722" s="1" t="s">
        <v>1435</v>
      </c>
      <c r="C722" s="2">
        <v>43144</v>
      </c>
      <c r="D722" s="1" t="s">
        <v>36</v>
      </c>
      <c r="E722" s="1" t="s">
        <v>1436</v>
      </c>
      <c r="F722" s="1" t="s">
        <v>29</v>
      </c>
      <c r="G722" s="1" t="s">
        <v>30</v>
      </c>
      <c r="H722" s="1" t="s">
        <v>31</v>
      </c>
      <c r="I722" s="1" t="s">
        <v>32</v>
      </c>
      <c r="J722" s="1" t="s">
        <v>63</v>
      </c>
      <c r="K722" s="1" t="s">
        <v>1437</v>
      </c>
      <c r="L722" s="17">
        <v>146.82</v>
      </c>
      <c r="M722" s="1">
        <v>3</v>
      </c>
      <c r="N722" s="1">
        <v>0</v>
      </c>
      <c r="O722" s="17">
        <v>73.41</v>
      </c>
      <c r="P722" s="17">
        <f>('Work File (2)'!$L722*'Work File (2)'!$M722)*(1-'Work File (2)'!$N722)</f>
        <v>440.46</v>
      </c>
      <c r="Q722" s="1">
        <f>YEAR(Table2[[#This Row],[Order Date]])</f>
        <v>2018</v>
      </c>
      <c r="R722" s="18" t="str">
        <f>TEXT(Table2[[#This Row],[Order Date]],"mmm")</f>
        <v>Feb</v>
      </c>
      <c r="S722" s="18"/>
    </row>
    <row r="723" spans="1:19" x14ac:dyDescent="0.2">
      <c r="A723" s="1">
        <v>722</v>
      </c>
      <c r="B723" s="1" t="s">
        <v>1438</v>
      </c>
      <c r="C723" s="2">
        <v>43449</v>
      </c>
      <c r="D723" s="1" t="s">
        <v>36</v>
      </c>
      <c r="E723" s="1" t="s">
        <v>925</v>
      </c>
      <c r="F723" s="1" t="s">
        <v>560</v>
      </c>
      <c r="G723" s="1" t="s">
        <v>160</v>
      </c>
      <c r="H723" s="1" t="s">
        <v>74</v>
      </c>
      <c r="I723" s="1" t="s">
        <v>22</v>
      </c>
      <c r="J723" s="1" t="s">
        <v>40</v>
      </c>
      <c r="K723" s="1" t="s">
        <v>1439</v>
      </c>
      <c r="L723" s="17">
        <v>1652.94</v>
      </c>
      <c r="M723" s="1">
        <v>3</v>
      </c>
      <c r="N723" s="1">
        <v>0</v>
      </c>
      <c r="O723" s="17">
        <v>231.41160000000002</v>
      </c>
      <c r="P723" s="17">
        <f>('Work File (2)'!$L723*'Work File (2)'!$M723)*(1-'Work File (2)'!$N723)</f>
        <v>4958.82</v>
      </c>
      <c r="Q723" s="1">
        <f>YEAR(Table2[[#This Row],[Order Date]])</f>
        <v>2018</v>
      </c>
      <c r="R723" s="18" t="str">
        <f>TEXT(Table2[[#This Row],[Order Date]],"mmm")</f>
        <v>Dec</v>
      </c>
      <c r="S723" s="18"/>
    </row>
    <row r="724" spans="1:19" x14ac:dyDescent="0.2">
      <c r="A724" s="1">
        <v>723</v>
      </c>
      <c r="B724" s="1" t="s">
        <v>1438</v>
      </c>
      <c r="C724" s="2">
        <v>43449</v>
      </c>
      <c r="D724" s="1" t="s">
        <v>36</v>
      </c>
      <c r="E724" s="1" t="s">
        <v>925</v>
      </c>
      <c r="F724" s="1" t="s">
        <v>560</v>
      </c>
      <c r="G724" s="1" t="s">
        <v>160</v>
      </c>
      <c r="H724" s="1" t="s">
        <v>74</v>
      </c>
      <c r="I724" s="1" t="s">
        <v>32</v>
      </c>
      <c r="J724" s="1" t="s">
        <v>42</v>
      </c>
      <c r="K724" s="1" t="s">
        <v>1440</v>
      </c>
      <c r="L724" s="17">
        <v>296.37</v>
      </c>
      <c r="M724" s="1">
        <v>3</v>
      </c>
      <c r="N724" s="1">
        <v>0</v>
      </c>
      <c r="O724" s="17">
        <v>80.019899999999993</v>
      </c>
      <c r="P724" s="17">
        <f>('Work File (2)'!$L724*'Work File (2)'!$M724)*(1-'Work File (2)'!$N724)</f>
        <v>889.11</v>
      </c>
      <c r="Q724" s="1">
        <f>YEAR(Table2[[#This Row],[Order Date]])</f>
        <v>2018</v>
      </c>
      <c r="R724" s="18" t="str">
        <f>TEXT(Table2[[#This Row],[Order Date]],"mmm")</f>
        <v>Dec</v>
      </c>
      <c r="S724" s="18"/>
    </row>
    <row r="725" spans="1:19" x14ac:dyDescent="0.2">
      <c r="A725" s="1">
        <v>724</v>
      </c>
      <c r="B725" s="1" t="s">
        <v>1441</v>
      </c>
      <c r="C725" s="2">
        <v>42650</v>
      </c>
      <c r="D725" s="1" t="s">
        <v>36</v>
      </c>
      <c r="E725" s="1" t="s">
        <v>1442</v>
      </c>
      <c r="F725" s="1" t="s">
        <v>101</v>
      </c>
      <c r="G725" s="1" t="s">
        <v>102</v>
      </c>
      <c r="H725" s="1" t="s">
        <v>103</v>
      </c>
      <c r="I725" s="1" t="s">
        <v>22</v>
      </c>
      <c r="J725" s="1" t="s">
        <v>46</v>
      </c>
      <c r="K725" s="1" t="s">
        <v>1443</v>
      </c>
      <c r="L725" s="17">
        <v>129.91999999999999</v>
      </c>
      <c r="M725" s="1">
        <v>5</v>
      </c>
      <c r="N725" s="1">
        <v>0.2</v>
      </c>
      <c r="O725" s="17">
        <v>21.112000000000002</v>
      </c>
      <c r="P725" s="17">
        <f>('Work File (2)'!$L725*'Work File (2)'!$M725)*(1-'Work File (2)'!$N725)</f>
        <v>519.67999999999995</v>
      </c>
      <c r="Q725" s="1">
        <f>YEAR(Table2[[#This Row],[Order Date]])</f>
        <v>2016</v>
      </c>
      <c r="R725" s="18" t="str">
        <f>TEXT(Table2[[#This Row],[Order Date]],"mmm")</f>
        <v>Oct</v>
      </c>
      <c r="S725" s="18"/>
    </row>
    <row r="726" spans="1:19" x14ac:dyDescent="0.2">
      <c r="A726" s="1">
        <v>725</v>
      </c>
      <c r="B726" s="1" t="s">
        <v>1444</v>
      </c>
      <c r="C726" s="2">
        <v>43288</v>
      </c>
      <c r="D726" s="1" t="s">
        <v>36</v>
      </c>
      <c r="E726" s="1" t="s">
        <v>1445</v>
      </c>
      <c r="F726" s="1" t="s">
        <v>1446</v>
      </c>
      <c r="G726" s="1" t="s">
        <v>39</v>
      </c>
      <c r="H726" s="1" t="s">
        <v>21</v>
      </c>
      <c r="I726" s="1" t="s">
        <v>32</v>
      </c>
      <c r="J726" s="1" t="s">
        <v>372</v>
      </c>
      <c r="K726" s="1" t="s">
        <v>1447</v>
      </c>
      <c r="L726" s="17">
        <v>45.584000000000003</v>
      </c>
      <c r="M726" s="1">
        <v>7</v>
      </c>
      <c r="N726" s="1">
        <v>0.2</v>
      </c>
      <c r="O726" s="17">
        <v>5.1281999999999996</v>
      </c>
      <c r="P726" s="17">
        <f>('Work File (2)'!$L726*'Work File (2)'!$M726)*(1-'Work File (2)'!$N726)</f>
        <v>255.27040000000002</v>
      </c>
      <c r="Q726" s="1">
        <f>YEAR(Table2[[#This Row],[Order Date]])</f>
        <v>2018</v>
      </c>
      <c r="R726" s="18" t="str">
        <f>TEXT(Table2[[#This Row],[Order Date]],"mmm")</f>
        <v>Jul</v>
      </c>
      <c r="S726" s="18"/>
    </row>
    <row r="727" spans="1:19" x14ac:dyDescent="0.2">
      <c r="A727" s="1">
        <v>726</v>
      </c>
      <c r="B727" s="1" t="s">
        <v>1448</v>
      </c>
      <c r="C727" s="2">
        <v>43724</v>
      </c>
      <c r="D727" s="1" t="s">
        <v>36</v>
      </c>
      <c r="E727" s="1" t="s">
        <v>1449</v>
      </c>
      <c r="F727" s="1" t="s">
        <v>775</v>
      </c>
      <c r="G727" s="1" t="s">
        <v>73</v>
      </c>
      <c r="H727" s="1" t="s">
        <v>74</v>
      </c>
      <c r="I727" s="1" t="s">
        <v>32</v>
      </c>
      <c r="J727" s="1" t="s">
        <v>118</v>
      </c>
      <c r="K727" s="1" t="s">
        <v>1450</v>
      </c>
      <c r="L727" s="17">
        <v>17.568000000000001</v>
      </c>
      <c r="M727" s="1">
        <v>2</v>
      </c>
      <c r="N727" s="1">
        <v>0.2</v>
      </c>
      <c r="O727" s="17">
        <v>6.3684000000000003</v>
      </c>
      <c r="P727" s="17">
        <f>('Work File (2)'!$L727*'Work File (2)'!$M727)*(1-'Work File (2)'!$N727)</f>
        <v>28.108800000000002</v>
      </c>
      <c r="Q727" s="1">
        <f>YEAR(Table2[[#This Row],[Order Date]])</f>
        <v>2019</v>
      </c>
      <c r="R727" s="18" t="str">
        <f>TEXT(Table2[[#This Row],[Order Date]],"mmm")</f>
        <v>Sep</v>
      </c>
      <c r="S727" s="18"/>
    </row>
    <row r="728" spans="1:19" x14ac:dyDescent="0.2">
      <c r="A728" s="1">
        <v>727</v>
      </c>
      <c r="B728" s="1" t="s">
        <v>1448</v>
      </c>
      <c r="C728" s="2">
        <v>43724</v>
      </c>
      <c r="D728" s="1" t="s">
        <v>36</v>
      </c>
      <c r="E728" s="1" t="s">
        <v>1449</v>
      </c>
      <c r="F728" s="1" t="s">
        <v>775</v>
      </c>
      <c r="G728" s="1" t="s">
        <v>73</v>
      </c>
      <c r="H728" s="1" t="s">
        <v>74</v>
      </c>
      <c r="I728" s="1" t="s">
        <v>50</v>
      </c>
      <c r="J728" s="1" t="s">
        <v>51</v>
      </c>
      <c r="K728" s="1" t="s">
        <v>1451</v>
      </c>
      <c r="L728" s="17">
        <v>55.991999999999997</v>
      </c>
      <c r="M728" s="1">
        <v>1</v>
      </c>
      <c r="N728" s="1">
        <v>0.2</v>
      </c>
      <c r="O728" s="17">
        <v>5.5992000000000015</v>
      </c>
      <c r="P728" s="17">
        <f>('Work File (2)'!$L728*'Work File (2)'!$M728)*(1-'Work File (2)'!$N728)</f>
        <v>44.793599999999998</v>
      </c>
      <c r="Q728" s="1">
        <f>YEAR(Table2[[#This Row],[Order Date]])</f>
        <v>2019</v>
      </c>
      <c r="R728" s="18" t="str">
        <f>TEXT(Table2[[#This Row],[Order Date]],"mmm")</f>
        <v>Sep</v>
      </c>
      <c r="S728" s="18"/>
    </row>
    <row r="729" spans="1:19" x14ac:dyDescent="0.2">
      <c r="A729" s="1">
        <v>728</v>
      </c>
      <c r="B729" s="1" t="s">
        <v>1452</v>
      </c>
      <c r="C729" s="2">
        <v>43437</v>
      </c>
      <c r="D729" s="1" t="s">
        <v>128</v>
      </c>
      <c r="E729" s="1" t="s">
        <v>1453</v>
      </c>
      <c r="F729" s="1" t="s">
        <v>1454</v>
      </c>
      <c r="G729" s="1" t="s">
        <v>179</v>
      </c>
      <c r="H729" s="1" t="s">
        <v>103</v>
      </c>
      <c r="I729" s="1" t="s">
        <v>32</v>
      </c>
      <c r="J729" s="1" t="s">
        <v>63</v>
      </c>
      <c r="K729" s="1" t="s">
        <v>1455</v>
      </c>
      <c r="L729" s="17">
        <v>182.72</v>
      </c>
      <c r="M729" s="1">
        <v>8</v>
      </c>
      <c r="N729" s="1">
        <v>0</v>
      </c>
      <c r="O729" s="17">
        <v>84.051199999999994</v>
      </c>
      <c r="P729" s="17">
        <f>('Work File (2)'!$L729*'Work File (2)'!$M729)*(1-'Work File (2)'!$N729)</f>
        <v>1461.76</v>
      </c>
      <c r="Q729" s="1">
        <f>YEAR(Table2[[#This Row],[Order Date]])</f>
        <v>2018</v>
      </c>
      <c r="R729" s="18" t="str">
        <f>TEXT(Table2[[#This Row],[Order Date]],"mmm")</f>
        <v>Dec</v>
      </c>
      <c r="S729" s="18"/>
    </row>
    <row r="730" spans="1:19" x14ac:dyDescent="0.2">
      <c r="A730" s="1">
        <v>729</v>
      </c>
      <c r="B730" s="1" t="s">
        <v>1452</v>
      </c>
      <c r="C730" s="2">
        <v>43437</v>
      </c>
      <c r="D730" s="1" t="s">
        <v>128</v>
      </c>
      <c r="E730" s="1" t="s">
        <v>1453</v>
      </c>
      <c r="F730" s="1" t="s">
        <v>1454</v>
      </c>
      <c r="G730" s="1" t="s">
        <v>179</v>
      </c>
      <c r="H730" s="1" t="s">
        <v>103</v>
      </c>
      <c r="I730" s="1" t="s">
        <v>22</v>
      </c>
      <c r="J730" s="1" t="s">
        <v>40</v>
      </c>
      <c r="K730" s="1" t="s">
        <v>1456</v>
      </c>
      <c r="L730" s="17">
        <v>400.03199999999998</v>
      </c>
      <c r="M730" s="1">
        <v>2</v>
      </c>
      <c r="N730" s="1">
        <v>0.4</v>
      </c>
      <c r="O730" s="17">
        <v>-153.34560000000005</v>
      </c>
      <c r="P730" s="17">
        <f>('Work File (2)'!$L730*'Work File (2)'!$M730)*(1-'Work File (2)'!$N730)</f>
        <v>480.03839999999997</v>
      </c>
      <c r="Q730" s="1">
        <f>YEAR(Table2[[#This Row],[Order Date]])</f>
        <v>2018</v>
      </c>
      <c r="R730" s="18" t="str">
        <f>TEXT(Table2[[#This Row],[Order Date]],"mmm")</f>
        <v>Dec</v>
      </c>
      <c r="S730" s="18"/>
    </row>
    <row r="731" spans="1:19" x14ac:dyDescent="0.2">
      <c r="A731" s="1">
        <v>730</v>
      </c>
      <c r="B731" s="1" t="s">
        <v>1452</v>
      </c>
      <c r="C731" s="2">
        <v>43437</v>
      </c>
      <c r="D731" s="1" t="s">
        <v>128</v>
      </c>
      <c r="E731" s="1" t="s">
        <v>1453</v>
      </c>
      <c r="F731" s="1" t="s">
        <v>1454</v>
      </c>
      <c r="G731" s="1" t="s">
        <v>179</v>
      </c>
      <c r="H731" s="1" t="s">
        <v>103</v>
      </c>
      <c r="I731" s="1" t="s">
        <v>32</v>
      </c>
      <c r="J731" s="1" t="s">
        <v>42</v>
      </c>
      <c r="K731" s="1" t="s">
        <v>1457</v>
      </c>
      <c r="L731" s="17">
        <v>33.630000000000003</v>
      </c>
      <c r="M731" s="1">
        <v>3</v>
      </c>
      <c r="N731" s="1">
        <v>0</v>
      </c>
      <c r="O731" s="17">
        <v>10.088999999999999</v>
      </c>
      <c r="P731" s="17">
        <f>('Work File (2)'!$L731*'Work File (2)'!$M731)*(1-'Work File (2)'!$N731)</f>
        <v>100.89000000000001</v>
      </c>
      <c r="Q731" s="1">
        <f>YEAR(Table2[[#This Row],[Order Date]])</f>
        <v>2018</v>
      </c>
      <c r="R731" s="18" t="str">
        <f>TEXT(Table2[[#This Row],[Order Date]],"mmm")</f>
        <v>Dec</v>
      </c>
      <c r="S731" s="18"/>
    </row>
    <row r="732" spans="1:19" x14ac:dyDescent="0.2">
      <c r="A732" s="1">
        <v>731</v>
      </c>
      <c r="B732" s="1" t="s">
        <v>1452</v>
      </c>
      <c r="C732" s="2">
        <v>43437</v>
      </c>
      <c r="D732" s="1" t="s">
        <v>128</v>
      </c>
      <c r="E732" s="1" t="s">
        <v>1453</v>
      </c>
      <c r="F732" s="1" t="s">
        <v>1454</v>
      </c>
      <c r="G732" s="1" t="s">
        <v>179</v>
      </c>
      <c r="H732" s="1" t="s">
        <v>103</v>
      </c>
      <c r="I732" s="1" t="s">
        <v>22</v>
      </c>
      <c r="J732" s="1" t="s">
        <v>25</v>
      </c>
      <c r="K732" s="1" t="s">
        <v>597</v>
      </c>
      <c r="L732" s="17">
        <v>542.64599999999996</v>
      </c>
      <c r="M732" s="1">
        <v>3</v>
      </c>
      <c r="N732" s="1">
        <v>0.1</v>
      </c>
      <c r="O732" s="17">
        <v>102.49980000000001</v>
      </c>
      <c r="P732" s="17">
        <f>('Work File (2)'!$L732*'Work File (2)'!$M732)*(1-'Work File (2)'!$N732)</f>
        <v>1465.1442</v>
      </c>
      <c r="Q732" s="1">
        <f>YEAR(Table2[[#This Row],[Order Date]])</f>
        <v>2018</v>
      </c>
      <c r="R732" s="18" t="str">
        <f>TEXT(Table2[[#This Row],[Order Date]],"mmm")</f>
        <v>Dec</v>
      </c>
      <c r="S732" s="18"/>
    </row>
    <row r="733" spans="1:19" x14ac:dyDescent="0.2">
      <c r="A733" s="1">
        <v>732</v>
      </c>
      <c r="B733" s="1" t="s">
        <v>1452</v>
      </c>
      <c r="C733" s="2">
        <v>43437</v>
      </c>
      <c r="D733" s="1" t="s">
        <v>128</v>
      </c>
      <c r="E733" s="1" t="s">
        <v>1453</v>
      </c>
      <c r="F733" s="1" t="s">
        <v>1454</v>
      </c>
      <c r="G733" s="1" t="s">
        <v>179</v>
      </c>
      <c r="H733" s="1" t="s">
        <v>103</v>
      </c>
      <c r="I733" s="1" t="s">
        <v>32</v>
      </c>
      <c r="J733" s="1" t="s">
        <v>33</v>
      </c>
      <c r="K733" s="1" t="s">
        <v>970</v>
      </c>
      <c r="L733" s="17">
        <v>6.3</v>
      </c>
      <c r="M733" s="1">
        <v>2</v>
      </c>
      <c r="N733" s="1">
        <v>0</v>
      </c>
      <c r="O733" s="17">
        <v>3.024</v>
      </c>
      <c r="P733" s="17">
        <f>('Work File (2)'!$L733*'Work File (2)'!$M733)*(1-'Work File (2)'!$N733)</f>
        <v>12.6</v>
      </c>
      <c r="Q733" s="1">
        <f>YEAR(Table2[[#This Row],[Order Date]])</f>
        <v>2018</v>
      </c>
      <c r="R733" s="18" t="str">
        <f>TEXT(Table2[[#This Row],[Order Date]],"mmm")</f>
        <v>Dec</v>
      </c>
      <c r="S733" s="18"/>
    </row>
    <row r="734" spans="1:19" x14ac:dyDescent="0.2">
      <c r="A734" s="1">
        <v>733</v>
      </c>
      <c r="B734" s="1" t="s">
        <v>1458</v>
      </c>
      <c r="C734" s="2">
        <v>43486</v>
      </c>
      <c r="D734" s="1" t="s">
        <v>36</v>
      </c>
      <c r="E734" s="1" t="s">
        <v>1459</v>
      </c>
      <c r="F734" s="1" t="s">
        <v>67</v>
      </c>
      <c r="G734" s="1" t="s">
        <v>68</v>
      </c>
      <c r="H734" s="1" t="s">
        <v>31</v>
      </c>
      <c r="I734" s="1" t="s">
        <v>32</v>
      </c>
      <c r="J734" s="1" t="s">
        <v>42</v>
      </c>
      <c r="K734" s="1" t="s">
        <v>1106</v>
      </c>
      <c r="L734" s="17">
        <v>242.94</v>
      </c>
      <c r="M734" s="1">
        <v>3</v>
      </c>
      <c r="N734" s="1">
        <v>0</v>
      </c>
      <c r="O734" s="17">
        <v>9.7175999999999902</v>
      </c>
      <c r="P734" s="17">
        <f>('Work File (2)'!$L734*'Work File (2)'!$M734)*(1-'Work File (2)'!$N734)</f>
        <v>728.81999999999994</v>
      </c>
      <c r="Q734" s="1">
        <f>YEAR(Table2[[#This Row],[Order Date]])</f>
        <v>2019</v>
      </c>
      <c r="R734" s="18" t="str">
        <f>TEXT(Table2[[#This Row],[Order Date]],"mmm")</f>
        <v>Jan</v>
      </c>
      <c r="S734" s="18"/>
    </row>
    <row r="735" spans="1:19" x14ac:dyDescent="0.2">
      <c r="A735" s="1">
        <v>734</v>
      </c>
      <c r="B735" s="1" t="s">
        <v>1458</v>
      </c>
      <c r="C735" s="2">
        <v>43486</v>
      </c>
      <c r="D735" s="1" t="s">
        <v>36</v>
      </c>
      <c r="E735" s="1" t="s">
        <v>1459</v>
      </c>
      <c r="F735" s="1" t="s">
        <v>67</v>
      </c>
      <c r="G735" s="1" t="s">
        <v>68</v>
      </c>
      <c r="H735" s="1" t="s">
        <v>31</v>
      </c>
      <c r="I735" s="1" t="s">
        <v>50</v>
      </c>
      <c r="J735" s="1" t="s">
        <v>111</v>
      </c>
      <c r="K735" s="1" t="s">
        <v>1460</v>
      </c>
      <c r="L735" s="17">
        <v>179.97</v>
      </c>
      <c r="M735" s="1">
        <v>3</v>
      </c>
      <c r="N735" s="1">
        <v>0</v>
      </c>
      <c r="O735" s="17">
        <v>86.385600000000011</v>
      </c>
      <c r="P735" s="17">
        <f>('Work File (2)'!$L735*'Work File (2)'!$M735)*(1-'Work File (2)'!$N735)</f>
        <v>539.91</v>
      </c>
      <c r="Q735" s="1">
        <f>YEAR(Table2[[#This Row],[Order Date]])</f>
        <v>2019</v>
      </c>
      <c r="R735" s="18" t="str">
        <f>TEXT(Table2[[#This Row],[Order Date]],"mmm")</f>
        <v>Jan</v>
      </c>
      <c r="S735" s="18"/>
    </row>
    <row r="736" spans="1:19" x14ac:dyDescent="0.2">
      <c r="A736" s="1">
        <v>735</v>
      </c>
      <c r="B736" s="1" t="s">
        <v>1458</v>
      </c>
      <c r="C736" s="2">
        <v>43486</v>
      </c>
      <c r="D736" s="1" t="s">
        <v>36</v>
      </c>
      <c r="E736" s="1" t="s">
        <v>1459</v>
      </c>
      <c r="F736" s="1" t="s">
        <v>67</v>
      </c>
      <c r="G736" s="1" t="s">
        <v>68</v>
      </c>
      <c r="H736" s="1" t="s">
        <v>31</v>
      </c>
      <c r="I736" s="1" t="s">
        <v>32</v>
      </c>
      <c r="J736" s="1" t="s">
        <v>53</v>
      </c>
      <c r="K736" s="1" t="s">
        <v>867</v>
      </c>
      <c r="L736" s="17">
        <v>99.695999999999998</v>
      </c>
      <c r="M736" s="1">
        <v>6</v>
      </c>
      <c r="N736" s="1">
        <v>0.2</v>
      </c>
      <c r="O736" s="17">
        <v>33.647399999999998</v>
      </c>
      <c r="P736" s="17">
        <f>('Work File (2)'!$L736*'Work File (2)'!$M736)*(1-'Work File (2)'!$N736)</f>
        <v>478.54079999999999</v>
      </c>
      <c r="Q736" s="1">
        <f>YEAR(Table2[[#This Row],[Order Date]])</f>
        <v>2019</v>
      </c>
      <c r="R736" s="18" t="str">
        <f>TEXT(Table2[[#This Row],[Order Date]],"mmm")</f>
        <v>Jan</v>
      </c>
      <c r="S736" s="18"/>
    </row>
    <row r="737" spans="1:19" x14ac:dyDescent="0.2">
      <c r="A737" s="1">
        <v>736</v>
      </c>
      <c r="B737" s="1" t="s">
        <v>1458</v>
      </c>
      <c r="C737" s="2">
        <v>43486</v>
      </c>
      <c r="D737" s="1" t="s">
        <v>36</v>
      </c>
      <c r="E737" s="1" t="s">
        <v>1459</v>
      </c>
      <c r="F737" s="1" t="s">
        <v>67</v>
      </c>
      <c r="G737" s="1" t="s">
        <v>68</v>
      </c>
      <c r="H737" s="1" t="s">
        <v>31</v>
      </c>
      <c r="I737" s="1" t="s">
        <v>32</v>
      </c>
      <c r="J737" s="1" t="s">
        <v>53</v>
      </c>
      <c r="K737" s="1" t="s">
        <v>156</v>
      </c>
      <c r="L737" s="17">
        <v>27.936000000000003</v>
      </c>
      <c r="M737" s="1">
        <v>4</v>
      </c>
      <c r="N737" s="1">
        <v>0.2</v>
      </c>
      <c r="O737" s="17">
        <v>9.4283999999999963</v>
      </c>
      <c r="P737" s="17">
        <f>('Work File (2)'!$L737*'Work File (2)'!$M737)*(1-'Work File (2)'!$N737)</f>
        <v>89.395200000000017</v>
      </c>
      <c r="Q737" s="1">
        <f>YEAR(Table2[[#This Row],[Order Date]])</f>
        <v>2019</v>
      </c>
      <c r="R737" s="18" t="str">
        <f>TEXT(Table2[[#This Row],[Order Date]],"mmm")</f>
        <v>Jan</v>
      </c>
      <c r="S737" s="18"/>
    </row>
    <row r="738" spans="1:19" x14ac:dyDescent="0.2">
      <c r="A738" s="1">
        <v>737</v>
      </c>
      <c r="B738" s="1" t="s">
        <v>1458</v>
      </c>
      <c r="C738" s="2">
        <v>43486</v>
      </c>
      <c r="D738" s="1" t="s">
        <v>36</v>
      </c>
      <c r="E738" s="1" t="s">
        <v>1459</v>
      </c>
      <c r="F738" s="1" t="s">
        <v>67</v>
      </c>
      <c r="G738" s="1" t="s">
        <v>68</v>
      </c>
      <c r="H738" s="1" t="s">
        <v>31</v>
      </c>
      <c r="I738" s="1" t="s">
        <v>22</v>
      </c>
      <c r="J738" s="1" t="s">
        <v>23</v>
      </c>
      <c r="K738" s="1" t="s">
        <v>1461</v>
      </c>
      <c r="L738" s="17">
        <v>84.98</v>
      </c>
      <c r="M738" s="1">
        <v>1</v>
      </c>
      <c r="N738" s="1">
        <v>0</v>
      </c>
      <c r="O738" s="17">
        <v>18.695599999999999</v>
      </c>
      <c r="P738" s="17">
        <f>('Work File (2)'!$L738*'Work File (2)'!$M738)*(1-'Work File (2)'!$N738)</f>
        <v>84.98</v>
      </c>
      <c r="Q738" s="1">
        <f>YEAR(Table2[[#This Row],[Order Date]])</f>
        <v>2019</v>
      </c>
      <c r="R738" s="18" t="str">
        <f>TEXT(Table2[[#This Row],[Order Date]],"mmm")</f>
        <v>Jan</v>
      </c>
      <c r="S738" s="18"/>
    </row>
    <row r="739" spans="1:19" x14ac:dyDescent="0.2">
      <c r="A739" s="1">
        <v>738</v>
      </c>
      <c r="B739" s="1" t="s">
        <v>1458</v>
      </c>
      <c r="C739" s="2">
        <v>43486</v>
      </c>
      <c r="D739" s="1" t="s">
        <v>36</v>
      </c>
      <c r="E739" s="1" t="s">
        <v>1459</v>
      </c>
      <c r="F739" s="1" t="s">
        <v>67</v>
      </c>
      <c r="G739" s="1" t="s">
        <v>68</v>
      </c>
      <c r="H739" s="1" t="s">
        <v>31</v>
      </c>
      <c r="I739" s="1" t="s">
        <v>32</v>
      </c>
      <c r="J739" s="1" t="s">
        <v>53</v>
      </c>
      <c r="K739" s="1" t="s">
        <v>1462</v>
      </c>
      <c r="L739" s="17">
        <v>18.72</v>
      </c>
      <c r="M739" s="1">
        <v>5</v>
      </c>
      <c r="N739" s="1">
        <v>0.2</v>
      </c>
      <c r="O739" s="17">
        <v>6.5519999999999996</v>
      </c>
      <c r="P739" s="17">
        <f>('Work File (2)'!$L739*'Work File (2)'!$M739)*(1-'Work File (2)'!$N739)</f>
        <v>74.88</v>
      </c>
      <c r="Q739" s="1">
        <f>YEAR(Table2[[#This Row],[Order Date]])</f>
        <v>2019</v>
      </c>
      <c r="R739" s="18" t="str">
        <f>TEXT(Table2[[#This Row],[Order Date]],"mmm")</f>
        <v>Jan</v>
      </c>
      <c r="S739" s="18"/>
    </row>
    <row r="740" spans="1:19" x14ac:dyDescent="0.2">
      <c r="A740" s="1">
        <v>739</v>
      </c>
      <c r="B740" s="1" t="s">
        <v>1463</v>
      </c>
      <c r="C740" s="2">
        <v>42621</v>
      </c>
      <c r="D740" s="1" t="s">
        <v>36</v>
      </c>
      <c r="E740" s="1" t="s">
        <v>293</v>
      </c>
      <c r="F740" s="1" t="s">
        <v>89</v>
      </c>
      <c r="G740" s="1" t="s">
        <v>30</v>
      </c>
      <c r="H740" s="1" t="s">
        <v>31</v>
      </c>
      <c r="I740" s="1" t="s">
        <v>50</v>
      </c>
      <c r="J740" s="1" t="s">
        <v>111</v>
      </c>
      <c r="K740" s="1" t="s">
        <v>1464</v>
      </c>
      <c r="L740" s="17">
        <v>49.98</v>
      </c>
      <c r="M740" s="1">
        <v>2</v>
      </c>
      <c r="N740" s="1">
        <v>0</v>
      </c>
      <c r="O740" s="17">
        <v>8.4965999999999937</v>
      </c>
      <c r="P740" s="17">
        <f>('Work File (2)'!$L740*'Work File (2)'!$M740)*(1-'Work File (2)'!$N740)</f>
        <v>99.96</v>
      </c>
      <c r="Q740" s="1">
        <f>YEAR(Table2[[#This Row],[Order Date]])</f>
        <v>2016</v>
      </c>
      <c r="R740" s="18" t="str">
        <f>TEXT(Table2[[#This Row],[Order Date]],"mmm")</f>
        <v>Sep</v>
      </c>
      <c r="S740" s="18"/>
    </row>
    <row r="741" spans="1:19" x14ac:dyDescent="0.2">
      <c r="A741" s="1">
        <v>740</v>
      </c>
      <c r="B741" s="1" t="s">
        <v>1465</v>
      </c>
      <c r="C741" s="2">
        <v>42373</v>
      </c>
      <c r="D741" s="1" t="s">
        <v>36</v>
      </c>
      <c r="E741" s="1" t="s">
        <v>1466</v>
      </c>
      <c r="F741" s="1" t="s">
        <v>141</v>
      </c>
      <c r="G741" s="1" t="s">
        <v>142</v>
      </c>
      <c r="H741" s="1" t="s">
        <v>74</v>
      </c>
      <c r="I741" s="1" t="s">
        <v>32</v>
      </c>
      <c r="J741" s="1" t="s">
        <v>33</v>
      </c>
      <c r="K741" s="1" t="s">
        <v>1467</v>
      </c>
      <c r="L741" s="17">
        <v>11.784000000000001</v>
      </c>
      <c r="M741" s="1">
        <v>3</v>
      </c>
      <c r="N741" s="1">
        <v>0.2</v>
      </c>
      <c r="O741" s="17">
        <v>4.2716999999999992</v>
      </c>
      <c r="P741" s="17">
        <f>('Work File (2)'!$L741*'Work File (2)'!$M741)*(1-'Work File (2)'!$N741)</f>
        <v>28.281600000000005</v>
      </c>
      <c r="Q741" s="1">
        <f>YEAR(Table2[[#This Row],[Order Date]])</f>
        <v>2016</v>
      </c>
      <c r="R741" s="18" t="str">
        <f>TEXT(Table2[[#This Row],[Order Date]],"mmm")</f>
        <v>Jan</v>
      </c>
      <c r="S741" s="18"/>
    </row>
    <row r="742" spans="1:19" x14ac:dyDescent="0.2">
      <c r="A742" s="1">
        <v>741</v>
      </c>
      <c r="B742" s="1" t="s">
        <v>1465</v>
      </c>
      <c r="C742" s="2">
        <v>42373</v>
      </c>
      <c r="D742" s="1" t="s">
        <v>36</v>
      </c>
      <c r="E742" s="1" t="s">
        <v>1466</v>
      </c>
      <c r="F742" s="1" t="s">
        <v>141</v>
      </c>
      <c r="G742" s="1" t="s">
        <v>142</v>
      </c>
      <c r="H742" s="1" t="s">
        <v>74</v>
      </c>
      <c r="I742" s="1" t="s">
        <v>32</v>
      </c>
      <c r="J742" s="1" t="s">
        <v>42</v>
      </c>
      <c r="K742" s="1" t="s">
        <v>1018</v>
      </c>
      <c r="L742" s="17">
        <v>272.73599999999999</v>
      </c>
      <c r="M742" s="1">
        <v>3</v>
      </c>
      <c r="N742" s="1">
        <v>0.2</v>
      </c>
      <c r="O742" s="17">
        <v>-64.774800000000013</v>
      </c>
      <c r="P742" s="17">
        <f>('Work File (2)'!$L742*'Work File (2)'!$M742)*(1-'Work File (2)'!$N742)</f>
        <v>654.56640000000004</v>
      </c>
      <c r="Q742" s="1">
        <f>YEAR(Table2[[#This Row],[Order Date]])</f>
        <v>2016</v>
      </c>
      <c r="R742" s="18" t="str">
        <f>TEXT(Table2[[#This Row],[Order Date]],"mmm")</f>
        <v>Jan</v>
      </c>
      <c r="S742" s="18"/>
    </row>
    <row r="743" spans="1:19" x14ac:dyDescent="0.2">
      <c r="A743" s="1">
        <v>742</v>
      </c>
      <c r="B743" s="1" t="s">
        <v>1465</v>
      </c>
      <c r="C743" s="2">
        <v>42373</v>
      </c>
      <c r="D743" s="1" t="s">
        <v>36</v>
      </c>
      <c r="E743" s="1" t="s">
        <v>1466</v>
      </c>
      <c r="F743" s="1" t="s">
        <v>141</v>
      </c>
      <c r="G743" s="1" t="s">
        <v>142</v>
      </c>
      <c r="H743" s="1" t="s">
        <v>74</v>
      </c>
      <c r="I743" s="1" t="s">
        <v>32</v>
      </c>
      <c r="J743" s="1" t="s">
        <v>53</v>
      </c>
      <c r="K743" s="1" t="s">
        <v>1468</v>
      </c>
      <c r="L743" s="17">
        <v>3.5399999999999991</v>
      </c>
      <c r="M743" s="1">
        <v>2</v>
      </c>
      <c r="N743" s="1">
        <v>0.8</v>
      </c>
      <c r="O743" s="17">
        <v>-5.4870000000000001</v>
      </c>
      <c r="P743" s="17">
        <f>('Work File (2)'!$L743*'Work File (2)'!$M743)*(1-'Work File (2)'!$N743)</f>
        <v>1.4159999999999993</v>
      </c>
      <c r="Q743" s="1">
        <f>YEAR(Table2[[#This Row],[Order Date]])</f>
        <v>2016</v>
      </c>
      <c r="R743" s="18" t="str">
        <f>TEXT(Table2[[#This Row],[Order Date]],"mmm")</f>
        <v>Jan</v>
      </c>
      <c r="S743" s="18"/>
    </row>
    <row r="744" spans="1:19" x14ac:dyDescent="0.2">
      <c r="A744" s="1">
        <v>743</v>
      </c>
      <c r="B744" s="1" t="s">
        <v>1469</v>
      </c>
      <c r="C744" s="2">
        <v>43339</v>
      </c>
      <c r="D744" s="1" t="s">
        <v>36</v>
      </c>
      <c r="E744" s="1" t="s">
        <v>1470</v>
      </c>
      <c r="F744" s="1" t="s">
        <v>521</v>
      </c>
      <c r="G744" s="1" t="s">
        <v>73</v>
      </c>
      <c r="H744" s="1" t="s">
        <v>74</v>
      </c>
      <c r="I744" s="1" t="s">
        <v>32</v>
      </c>
      <c r="J744" s="1" t="s">
        <v>372</v>
      </c>
      <c r="K744" s="1" t="s">
        <v>1218</v>
      </c>
      <c r="L744" s="17">
        <v>51.52000000000001</v>
      </c>
      <c r="M744" s="1">
        <v>5</v>
      </c>
      <c r="N744" s="1">
        <v>0.2</v>
      </c>
      <c r="O744" s="17">
        <v>-10.948000000000002</v>
      </c>
      <c r="P744" s="17">
        <f>('Work File (2)'!$L744*'Work File (2)'!$M744)*(1-'Work File (2)'!$N744)</f>
        <v>206.08000000000004</v>
      </c>
      <c r="Q744" s="1">
        <f>YEAR(Table2[[#This Row],[Order Date]])</f>
        <v>2018</v>
      </c>
      <c r="R744" s="18" t="str">
        <f>TEXT(Table2[[#This Row],[Order Date]],"mmm")</f>
        <v>Aug</v>
      </c>
      <c r="S744" s="18"/>
    </row>
    <row r="745" spans="1:19" x14ac:dyDescent="0.2">
      <c r="A745" s="1">
        <v>744</v>
      </c>
      <c r="B745" s="1" t="s">
        <v>1469</v>
      </c>
      <c r="C745" s="2">
        <v>43339</v>
      </c>
      <c r="D745" s="1" t="s">
        <v>36</v>
      </c>
      <c r="E745" s="1" t="s">
        <v>1470</v>
      </c>
      <c r="F745" s="1" t="s">
        <v>521</v>
      </c>
      <c r="G745" s="1" t="s">
        <v>73</v>
      </c>
      <c r="H745" s="1" t="s">
        <v>74</v>
      </c>
      <c r="I745" s="1" t="s">
        <v>32</v>
      </c>
      <c r="J745" s="1" t="s">
        <v>63</v>
      </c>
      <c r="K745" s="1" t="s">
        <v>650</v>
      </c>
      <c r="L745" s="17">
        <v>3.5280000000000005</v>
      </c>
      <c r="M745" s="1">
        <v>1</v>
      </c>
      <c r="N745" s="1">
        <v>0.2</v>
      </c>
      <c r="O745" s="17">
        <v>1.1465999999999998</v>
      </c>
      <c r="P745" s="17">
        <f>('Work File (2)'!$L745*'Work File (2)'!$M745)*(1-'Work File (2)'!$N745)</f>
        <v>2.8224000000000005</v>
      </c>
      <c r="Q745" s="1">
        <f>YEAR(Table2[[#This Row],[Order Date]])</f>
        <v>2018</v>
      </c>
      <c r="R745" s="18" t="str">
        <f>TEXT(Table2[[#This Row],[Order Date]],"mmm")</f>
        <v>Aug</v>
      </c>
      <c r="S745" s="18"/>
    </row>
    <row r="746" spans="1:19" x14ac:dyDescent="0.2">
      <c r="A746" s="1">
        <v>745</v>
      </c>
      <c r="B746" s="1" t="s">
        <v>1469</v>
      </c>
      <c r="C746" s="2">
        <v>43339</v>
      </c>
      <c r="D746" s="1" t="s">
        <v>36</v>
      </c>
      <c r="E746" s="1" t="s">
        <v>1470</v>
      </c>
      <c r="F746" s="1" t="s">
        <v>521</v>
      </c>
      <c r="G746" s="1" t="s">
        <v>73</v>
      </c>
      <c r="H746" s="1" t="s">
        <v>74</v>
      </c>
      <c r="I746" s="1" t="s">
        <v>32</v>
      </c>
      <c r="J746" s="1" t="s">
        <v>63</v>
      </c>
      <c r="K746" s="1" t="s">
        <v>1471</v>
      </c>
      <c r="L746" s="17">
        <v>4.6240000000000006</v>
      </c>
      <c r="M746" s="1">
        <v>1</v>
      </c>
      <c r="N746" s="1">
        <v>0.2</v>
      </c>
      <c r="O746" s="17">
        <v>1.6762000000000001</v>
      </c>
      <c r="P746" s="17">
        <f>('Work File (2)'!$L746*'Work File (2)'!$M746)*(1-'Work File (2)'!$N746)</f>
        <v>3.6992000000000007</v>
      </c>
      <c r="Q746" s="1">
        <f>YEAR(Table2[[#This Row],[Order Date]])</f>
        <v>2018</v>
      </c>
      <c r="R746" s="18" t="str">
        <f>TEXT(Table2[[#This Row],[Order Date]],"mmm")</f>
        <v>Aug</v>
      </c>
      <c r="S746" s="18"/>
    </row>
    <row r="747" spans="1:19" x14ac:dyDescent="0.2">
      <c r="A747" s="1">
        <v>746</v>
      </c>
      <c r="B747" s="1" t="s">
        <v>1469</v>
      </c>
      <c r="C747" s="2">
        <v>43339</v>
      </c>
      <c r="D747" s="1" t="s">
        <v>36</v>
      </c>
      <c r="E747" s="1" t="s">
        <v>1470</v>
      </c>
      <c r="F747" s="1" t="s">
        <v>521</v>
      </c>
      <c r="G747" s="1" t="s">
        <v>73</v>
      </c>
      <c r="H747" s="1" t="s">
        <v>74</v>
      </c>
      <c r="I747" s="1" t="s">
        <v>32</v>
      </c>
      <c r="J747" s="1" t="s">
        <v>372</v>
      </c>
      <c r="K747" s="1" t="s">
        <v>1472</v>
      </c>
      <c r="L747" s="17">
        <v>55.167999999999999</v>
      </c>
      <c r="M747" s="1">
        <v>4</v>
      </c>
      <c r="N747" s="1">
        <v>0.2</v>
      </c>
      <c r="O747" s="17">
        <v>6.2063999999999897</v>
      </c>
      <c r="P747" s="17">
        <f>('Work File (2)'!$L747*'Work File (2)'!$M747)*(1-'Work File (2)'!$N747)</f>
        <v>176.5376</v>
      </c>
      <c r="Q747" s="1">
        <f>YEAR(Table2[[#This Row],[Order Date]])</f>
        <v>2018</v>
      </c>
      <c r="R747" s="18" t="str">
        <f>TEXT(Table2[[#This Row],[Order Date]],"mmm")</f>
        <v>Aug</v>
      </c>
      <c r="S747" s="18"/>
    </row>
    <row r="748" spans="1:19" x14ac:dyDescent="0.2">
      <c r="A748" s="1">
        <v>747</v>
      </c>
      <c r="B748" s="1" t="s">
        <v>1473</v>
      </c>
      <c r="C748" s="2">
        <v>42517</v>
      </c>
      <c r="D748" s="1" t="s">
        <v>808</v>
      </c>
      <c r="E748" s="1" t="s">
        <v>1013</v>
      </c>
      <c r="F748" s="1" t="s">
        <v>600</v>
      </c>
      <c r="G748" s="1" t="s">
        <v>30</v>
      </c>
      <c r="H748" s="1" t="s">
        <v>31</v>
      </c>
      <c r="I748" s="1" t="s">
        <v>22</v>
      </c>
      <c r="J748" s="1" t="s">
        <v>40</v>
      </c>
      <c r="K748" s="1" t="s">
        <v>587</v>
      </c>
      <c r="L748" s="17">
        <v>567.12</v>
      </c>
      <c r="M748" s="1">
        <v>10</v>
      </c>
      <c r="N748" s="1">
        <v>0.2</v>
      </c>
      <c r="O748" s="17">
        <v>-28.355999999999952</v>
      </c>
      <c r="P748" s="17">
        <f>('Work File (2)'!$L748*'Work File (2)'!$M748)*(1-'Work File (2)'!$N748)</f>
        <v>4536.96</v>
      </c>
      <c r="Q748" s="1">
        <f>YEAR(Table2[[#This Row],[Order Date]])</f>
        <v>2016</v>
      </c>
      <c r="R748" s="18" t="str">
        <f>TEXT(Table2[[#This Row],[Order Date]],"mmm")</f>
        <v>May</v>
      </c>
      <c r="S748" s="18"/>
    </row>
    <row r="749" spans="1:19" x14ac:dyDescent="0.2">
      <c r="A749" s="1">
        <v>748</v>
      </c>
      <c r="B749" s="1" t="s">
        <v>1473</v>
      </c>
      <c r="C749" s="2">
        <v>42517</v>
      </c>
      <c r="D749" s="1" t="s">
        <v>808</v>
      </c>
      <c r="E749" s="1" t="s">
        <v>1013</v>
      </c>
      <c r="F749" s="1" t="s">
        <v>600</v>
      </c>
      <c r="G749" s="1" t="s">
        <v>30</v>
      </c>
      <c r="H749" s="1" t="s">
        <v>31</v>
      </c>
      <c r="I749" s="1" t="s">
        <v>32</v>
      </c>
      <c r="J749" s="1" t="s">
        <v>42</v>
      </c>
      <c r="K749" s="1" t="s">
        <v>1053</v>
      </c>
      <c r="L749" s="17">
        <v>359.32</v>
      </c>
      <c r="M749" s="1">
        <v>4</v>
      </c>
      <c r="N749" s="1">
        <v>0</v>
      </c>
      <c r="O749" s="17">
        <v>7.1863999999999919</v>
      </c>
      <c r="P749" s="17">
        <f>('Work File (2)'!$L749*'Work File (2)'!$M749)*(1-'Work File (2)'!$N749)</f>
        <v>1437.28</v>
      </c>
      <c r="Q749" s="1">
        <f>YEAR(Table2[[#This Row],[Order Date]])</f>
        <v>2016</v>
      </c>
      <c r="R749" s="18" t="str">
        <f>TEXT(Table2[[#This Row],[Order Date]],"mmm")</f>
        <v>May</v>
      </c>
      <c r="S749" s="18"/>
    </row>
    <row r="750" spans="1:19" x14ac:dyDescent="0.2">
      <c r="A750" s="1">
        <v>749</v>
      </c>
      <c r="B750" s="1" t="s">
        <v>1474</v>
      </c>
      <c r="C750" s="2">
        <v>43179</v>
      </c>
      <c r="D750" s="1" t="s">
        <v>17</v>
      </c>
      <c r="E750" s="1" t="s">
        <v>1475</v>
      </c>
      <c r="F750" s="1" t="s">
        <v>1476</v>
      </c>
      <c r="G750" s="1" t="s">
        <v>142</v>
      </c>
      <c r="H750" s="1" t="s">
        <v>74</v>
      </c>
      <c r="I750" s="1" t="s">
        <v>50</v>
      </c>
      <c r="J750" s="1" t="s">
        <v>51</v>
      </c>
      <c r="K750" s="1" t="s">
        <v>1477</v>
      </c>
      <c r="L750" s="17">
        <v>11.992000000000001</v>
      </c>
      <c r="M750" s="1">
        <v>1</v>
      </c>
      <c r="N750" s="1">
        <v>0.2</v>
      </c>
      <c r="O750" s="17">
        <v>0.89939999999999909</v>
      </c>
      <c r="P750" s="17">
        <f>('Work File (2)'!$L750*'Work File (2)'!$M750)*(1-'Work File (2)'!$N750)</f>
        <v>9.5936000000000021</v>
      </c>
      <c r="Q750" s="1">
        <f>YEAR(Table2[[#This Row],[Order Date]])</f>
        <v>2018</v>
      </c>
      <c r="R750" s="18" t="str">
        <f>TEXT(Table2[[#This Row],[Order Date]],"mmm")</f>
        <v>Mar</v>
      </c>
      <c r="S750" s="18"/>
    </row>
    <row r="751" spans="1:19" x14ac:dyDescent="0.2">
      <c r="A751" s="1">
        <v>750</v>
      </c>
      <c r="B751" s="1" t="s">
        <v>1478</v>
      </c>
      <c r="C751" s="2">
        <v>43740</v>
      </c>
      <c r="D751" s="1" t="s">
        <v>36</v>
      </c>
      <c r="E751" s="1" t="s">
        <v>1479</v>
      </c>
      <c r="F751" s="1" t="s">
        <v>1480</v>
      </c>
      <c r="G751" s="1" t="s">
        <v>160</v>
      </c>
      <c r="H751" s="1" t="s">
        <v>74</v>
      </c>
      <c r="I751" s="1" t="s">
        <v>32</v>
      </c>
      <c r="J751" s="1" t="s">
        <v>53</v>
      </c>
      <c r="K751" s="1" t="s">
        <v>1481</v>
      </c>
      <c r="L751" s="17">
        <v>58.050000000000004</v>
      </c>
      <c r="M751" s="1">
        <v>3</v>
      </c>
      <c r="N751" s="1">
        <v>0</v>
      </c>
      <c r="O751" s="17">
        <v>26.702999999999999</v>
      </c>
      <c r="P751" s="17">
        <f>('Work File (2)'!$L751*'Work File (2)'!$M751)*(1-'Work File (2)'!$N751)</f>
        <v>174.15</v>
      </c>
      <c r="Q751" s="1">
        <f>YEAR(Table2[[#This Row],[Order Date]])</f>
        <v>2019</v>
      </c>
      <c r="R751" s="18" t="str">
        <f>TEXT(Table2[[#This Row],[Order Date]],"mmm")</f>
        <v>Oct</v>
      </c>
      <c r="S751" s="18"/>
    </row>
    <row r="752" spans="1:19" x14ac:dyDescent="0.2">
      <c r="A752" s="1">
        <v>751</v>
      </c>
      <c r="B752" s="1" t="s">
        <v>1478</v>
      </c>
      <c r="C752" s="2">
        <v>43740</v>
      </c>
      <c r="D752" s="1" t="s">
        <v>36</v>
      </c>
      <c r="E752" s="1" t="s">
        <v>1479</v>
      </c>
      <c r="F752" s="1" t="s">
        <v>1480</v>
      </c>
      <c r="G752" s="1" t="s">
        <v>160</v>
      </c>
      <c r="H752" s="1" t="s">
        <v>74</v>
      </c>
      <c r="I752" s="1" t="s">
        <v>22</v>
      </c>
      <c r="J752" s="1" t="s">
        <v>46</v>
      </c>
      <c r="K752" s="1" t="s">
        <v>1482</v>
      </c>
      <c r="L752" s="17">
        <v>157.74</v>
      </c>
      <c r="M752" s="1">
        <v>11</v>
      </c>
      <c r="N752" s="1">
        <v>0</v>
      </c>
      <c r="O752" s="17">
        <v>56.7864</v>
      </c>
      <c r="P752" s="17">
        <f>('Work File (2)'!$L752*'Work File (2)'!$M752)*(1-'Work File (2)'!$N752)</f>
        <v>1735.14</v>
      </c>
      <c r="Q752" s="1">
        <f>YEAR(Table2[[#This Row],[Order Date]])</f>
        <v>2019</v>
      </c>
      <c r="R752" s="18" t="str">
        <f>TEXT(Table2[[#This Row],[Order Date]],"mmm")</f>
        <v>Oct</v>
      </c>
      <c r="S752" s="18"/>
    </row>
    <row r="753" spans="1:19" x14ac:dyDescent="0.2">
      <c r="A753" s="1">
        <v>752</v>
      </c>
      <c r="B753" s="1" t="s">
        <v>1478</v>
      </c>
      <c r="C753" s="2">
        <v>43740</v>
      </c>
      <c r="D753" s="1" t="s">
        <v>36</v>
      </c>
      <c r="E753" s="1" t="s">
        <v>1479</v>
      </c>
      <c r="F753" s="1" t="s">
        <v>1480</v>
      </c>
      <c r="G753" s="1" t="s">
        <v>160</v>
      </c>
      <c r="H753" s="1" t="s">
        <v>74</v>
      </c>
      <c r="I753" s="1" t="s">
        <v>32</v>
      </c>
      <c r="J753" s="1" t="s">
        <v>48</v>
      </c>
      <c r="K753" s="1" t="s">
        <v>891</v>
      </c>
      <c r="L753" s="17">
        <v>56.980000000000004</v>
      </c>
      <c r="M753" s="1">
        <v>7</v>
      </c>
      <c r="N753" s="1">
        <v>0</v>
      </c>
      <c r="O753" s="17">
        <v>22.792000000000002</v>
      </c>
      <c r="P753" s="17">
        <f>('Work File (2)'!$L753*'Work File (2)'!$M753)*(1-'Work File (2)'!$N753)</f>
        <v>398.86</v>
      </c>
      <c r="Q753" s="1">
        <f>YEAR(Table2[[#This Row],[Order Date]])</f>
        <v>2019</v>
      </c>
      <c r="R753" s="18" t="str">
        <f>TEXT(Table2[[#This Row],[Order Date]],"mmm")</f>
        <v>Oct</v>
      </c>
      <c r="S753" s="18"/>
    </row>
    <row r="754" spans="1:19" x14ac:dyDescent="0.2">
      <c r="A754" s="1">
        <v>753</v>
      </c>
      <c r="B754" s="1" t="s">
        <v>1478</v>
      </c>
      <c r="C754" s="2">
        <v>43740</v>
      </c>
      <c r="D754" s="1" t="s">
        <v>36</v>
      </c>
      <c r="E754" s="1" t="s">
        <v>1479</v>
      </c>
      <c r="F754" s="1" t="s">
        <v>1480</v>
      </c>
      <c r="G754" s="1" t="s">
        <v>160</v>
      </c>
      <c r="H754" s="1" t="s">
        <v>74</v>
      </c>
      <c r="I754" s="1" t="s">
        <v>32</v>
      </c>
      <c r="J754" s="1" t="s">
        <v>53</v>
      </c>
      <c r="K754" s="1" t="s">
        <v>1483</v>
      </c>
      <c r="L754" s="17">
        <v>2.88</v>
      </c>
      <c r="M754" s="1">
        <v>1</v>
      </c>
      <c r="N754" s="1">
        <v>0</v>
      </c>
      <c r="O754" s="17">
        <v>1.4112</v>
      </c>
      <c r="P754" s="17">
        <f>('Work File (2)'!$L754*'Work File (2)'!$M754)*(1-'Work File (2)'!$N754)</f>
        <v>2.88</v>
      </c>
      <c r="Q754" s="1">
        <f>YEAR(Table2[[#This Row],[Order Date]])</f>
        <v>2019</v>
      </c>
      <c r="R754" s="18" t="str">
        <f>TEXT(Table2[[#This Row],[Order Date]],"mmm")</f>
        <v>Oct</v>
      </c>
      <c r="S754" s="18"/>
    </row>
    <row r="755" spans="1:19" x14ac:dyDescent="0.2">
      <c r="A755" s="1">
        <v>754</v>
      </c>
      <c r="B755" s="1" t="s">
        <v>1484</v>
      </c>
      <c r="C755" s="2">
        <v>43197</v>
      </c>
      <c r="D755" s="1" t="s">
        <v>128</v>
      </c>
      <c r="E755" s="1" t="s">
        <v>1485</v>
      </c>
      <c r="F755" s="1" t="s">
        <v>89</v>
      </c>
      <c r="G755" s="1" t="s">
        <v>30</v>
      </c>
      <c r="H755" s="1" t="s">
        <v>31</v>
      </c>
      <c r="I755" s="1" t="s">
        <v>50</v>
      </c>
      <c r="J755" s="1" t="s">
        <v>761</v>
      </c>
      <c r="K755" s="1" t="s">
        <v>1486</v>
      </c>
      <c r="L755" s="17">
        <v>1199.9760000000001</v>
      </c>
      <c r="M755" s="1">
        <v>3</v>
      </c>
      <c r="N755" s="1">
        <v>0.2</v>
      </c>
      <c r="O755" s="17">
        <v>374.99249999999995</v>
      </c>
      <c r="P755" s="17">
        <f>('Work File (2)'!$L755*'Work File (2)'!$M755)*(1-'Work File (2)'!$N755)</f>
        <v>2879.9424000000004</v>
      </c>
      <c r="Q755" s="1">
        <f>YEAR(Table2[[#This Row],[Order Date]])</f>
        <v>2018</v>
      </c>
      <c r="R755" s="18" t="str">
        <f>TEXT(Table2[[#This Row],[Order Date]],"mmm")</f>
        <v>Apr</v>
      </c>
      <c r="S755" s="18"/>
    </row>
    <row r="756" spans="1:19" x14ac:dyDescent="0.2">
      <c r="A756" s="1">
        <v>755</v>
      </c>
      <c r="B756" s="1" t="s">
        <v>1487</v>
      </c>
      <c r="C756" s="2">
        <v>43076</v>
      </c>
      <c r="D756" s="1" t="s">
        <v>36</v>
      </c>
      <c r="E756" s="1" t="s">
        <v>1233</v>
      </c>
      <c r="F756" s="1" t="s">
        <v>29</v>
      </c>
      <c r="G756" s="1" t="s">
        <v>30</v>
      </c>
      <c r="H756" s="1" t="s">
        <v>31</v>
      </c>
      <c r="I756" s="1" t="s">
        <v>22</v>
      </c>
      <c r="J756" s="1" t="s">
        <v>46</v>
      </c>
      <c r="K756" s="1" t="s">
        <v>1356</v>
      </c>
      <c r="L756" s="17">
        <v>79.92</v>
      </c>
      <c r="M756" s="1">
        <v>4</v>
      </c>
      <c r="N756" s="1">
        <v>0</v>
      </c>
      <c r="O756" s="17">
        <v>28.7712</v>
      </c>
      <c r="P756" s="17">
        <f>('Work File (2)'!$L756*'Work File (2)'!$M756)*(1-'Work File (2)'!$N756)</f>
        <v>319.68</v>
      </c>
      <c r="Q756" s="1">
        <f>YEAR(Table2[[#This Row],[Order Date]])</f>
        <v>2017</v>
      </c>
      <c r="R756" s="18" t="str">
        <f>TEXT(Table2[[#This Row],[Order Date]],"mmm")</f>
        <v>Dec</v>
      </c>
      <c r="S756" s="18"/>
    </row>
    <row r="757" spans="1:19" x14ac:dyDescent="0.2">
      <c r="A757" s="1">
        <v>756</v>
      </c>
      <c r="B757" s="1" t="s">
        <v>1488</v>
      </c>
      <c r="C757" s="2">
        <v>43361</v>
      </c>
      <c r="D757" s="1" t="s">
        <v>36</v>
      </c>
      <c r="E757" s="1" t="s">
        <v>1256</v>
      </c>
      <c r="F757" s="1" t="s">
        <v>953</v>
      </c>
      <c r="G757" s="1" t="s">
        <v>39</v>
      </c>
      <c r="H757" s="1" t="s">
        <v>21</v>
      </c>
      <c r="I757" s="1" t="s">
        <v>22</v>
      </c>
      <c r="J757" s="1" t="s">
        <v>40</v>
      </c>
      <c r="K757" s="1" t="s">
        <v>1489</v>
      </c>
      <c r="L757" s="17">
        <v>383.43799999999999</v>
      </c>
      <c r="M757" s="1">
        <v>4</v>
      </c>
      <c r="N757" s="1">
        <v>0.45</v>
      </c>
      <c r="O757" s="17">
        <v>-167.3184</v>
      </c>
      <c r="P757" s="17">
        <f>('Work File (2)'!$L757*'Work File (2)'!$M757)*(1-'Work File (2)'!$N757)</f>
        <v>843.56360000000006</v>
      </c>
      <c r="Q757" s="1">
        <f>YEAR(Table2[[#This Row],[Order Date]])</f>
        <v>2018</v>
      </c>
      <c r="R757" s="18" t="str">
        <f>TEXT(Table2[[#This Row],[Order Date]],"mmm")</f>
        <v>Sep</v>
      </c>
      <c r="S757" s="18"/>
    </row>
    <row r="758" spans="1:19" x14ac:dyDescent="0.2">
      <c r="A758" s="1">
        <v>757</v>
      </c>
      <c r="B758" s="1" t="s">
        <v>1490</v>
      </c>
      <c r="C758" s="2">
        <v>42733</v>
      </c>
      <c r="D758" s="1" t="s">
        <v>36</v>
      </c>
      <c r="E758" s="1" t="s">
        <v>1491</v>
      </c>
      <c r="F758" s="1" t="s">
        <v>1492</v>
      </c>
      <c r="G758" s="1" t="s">
        <v>154</v>
      </c>
      <c r="H758" s="1" t="s">
        <v>74</v>
      </c>
      <c r="I758" s="1" t="s">
        <v>32</v>
      </c>
      <c r="J758" s="1" t="s">
        <v>42</v>
      </c>
      <c r="K758" s="1" t="s">
        <v>1390</v>
      </c>
      <c r="L758" s="17">
        <v>24.56</v>
      </c>
      <c r="M758" s="1">
        <v>2</v>
      </c>
      <c r="N758" s="1">
        <v>0</v>
      </c>
      <c r="O758" s="17">
        <v>6.8767999999999994</v>
      </c>
      <c r="P758" s="17">
        <f>('Work File (2)'!$L758*'Work File (2)'!$M758)*(1-'Work File (2)'!$N758)</f>
        <v>49.12</v>
      </c>
      <c r="Q758" s="1">
        <f>YEAR(Table2[[#This Row],[Order Date]])</f>
        <v>2016</v>
      </c>
      <c r="R758" s="18" t="str">
        <f>TEXT(Table2[[#This Row],[Order Date]],"mmm")</f>
        <v>Dec</v>
      </c>
      <c r="S758" s="18"/>
    </row>
    <row r="759" spans="1:19" x14ac:dyDescent="0.2">
      <c r="A759" s="1">
        <v>758</v>
      </c>
      <c r="B759" s="1" t="s">
        <v>1490</v>
      </c>
      <c r="C759" s="2">
        <v>42733</v>
      </c>
      <c r="D759" s="1" t="s">
        <v>36</v>
      </c>
      <c r="E759" s="1" t="s">
        <v>1491</v>
      </c>
      <c r="F759" s="1" t="s">
        <v>1492</v>
      </c>
      <c r="G759" s="1" t="s">
        <v>154</v>
      </c>
      <c r="H759" s="1" t="s">
        <v>74</v>
      </c>
      <c r="I759" s="1" t="s">
        <v>50</v>
      </c>
      <c r="J759" s="1" t="s">
        <v>111</v>
      </c>
      <c r="K759" s="1" t="s">
        <v>1292</v>
      </c>
      <c r="L759" s="17">
        <v>119.8</v>
      </c>
      <c r="M759" s="1">
        <v>4</v>
      </c>
      <c r="N759" s="1">
        <v>0</v>
      </c>
      <c r="O759" s="17">
        <v>47.92</v>
      </c>
      <c r="P759" s="17">
        <f>('Work File (2)'!$L759*'Work File (2)'!$M759)*(1-'Work File (2)'!$N759)</f>
        <v>479.2</v>
      </c>
      <c r="Q759" s="1">
        <f>YEAR(Table2[[#This Row],[Order Date]])</f>
        <v>2016</v>
      </c>
      <c r="R759" s="18" t="str">
        <f>TEXT(Table2[[#This Row],[Order Date]],"mmm")</f>
        <v>Dec</v>
      </c>
      <c r="S759" s="18"/>
    </row>
    <row r="760" spans="1:19" x14ac:dyDescent="0.2">
      <c r="A760" s="1">
        <v>759</v>
      </c>
      <c r="B760" s="1" t="s">
        <v>1493</v>
      </c>
      <c r="C760" s="2">
        <v>43669</v>
      </c>
      <c r="D760" s="1" t="s">
        <v>36</v>
      </c>
      <c r="E760" s="1" t="s">
        <v>1494</v>
      </c>
      <c r="F760" s="1" t="s">
        <v>178</v>
      </c>
      <c r="G760" s="1" t="s">
        <v>179</v>
      </c>
      <c r="H760" s="1" t="s">
        <v>103</v>
      </c>
      <c r="I760" s="1" t="s">
        <v>32</v>
      </c>
      <c r="J760" s="1" t="s">
        <v>53</v>
      </c>
      <c r="K760" s="1" t="s">
        <v>1253</v>
      </c>
      <c r="L760" s="17">
        <v>13.128</v>
      </c>
      <c r="M760" s="1">
        <v>3</v>
      </c>
      <c r="N760" s="1">
        <v>0.2</v>
      </c>
      <c r="O760" s="17">
        <v>4.2665999999999986</v>
      </c>
      <c r="P760" s="17">
        <f>('Work File (2)'!$L760*'Work File (2)'!$M760)*(1-'Work File (2)'!$N760)</f>
        <v>31.507200000000001</v>
      </c>
      <c r="Q760" s="1">
        <f>YEAR(Table2[[#This Row],[Order Date]])</f>
        <v>2019</v>
      </c>
      <c r="R760" s="18" t="str">
        <f>TEXT(Table2[[#This Row],[Order Date]],"mmm")</f>
        <v>Jul</v>
      </c>
      <c r="S760" s="18"/>
    </row>
    <row r="761" spans="1:19" x14ac:dyDescent="0.2">
      <c r="A761" s="1">
        <v>760</v>
      </c>
      <c r="B761" s="1" t="s">
        <v>1495</v>
      </c>
      <c r="C761" s="2">
        <v>43726</v>
      </c>
      <c r="D761" s="1" t="s">
        <v>36</v>
      </c>
      <c r="E761" s="1" t="s">
        <v>1496</v>
      </c>
      <c r="F761" s="1" t="s">
        <v>1149</v>
      </c>
      <c r="G761" s="1" t="s">
        <v>80</v>
      </c>
      <c r="H761" s="1" t="s">
        <v>74</v>
      </c>
      <c r="I761" s="1" t="s">
        <v>32</v>
      </c>
      <c r="J761" s="1" t="s">
        <v>63</v>
      </c>
      <c r="K761" s="1" t="s">
        <v>1358</v>
      </c>
      <c r="L761" s="17">
        <v>22.72</v>
      </c>
      <c r="M761" s="1">
        <v>4</v>
      </c>
      <c r="N761" s="1">
        <v>0</v>
      </c>
      <c r="O761" s="17">
        <v>10.223999999999998</v>
      </c>
      <c r="P761" s="17">
        <f>('Work File (2)'!$L761*'Work File (2)'!$M761)*(1-'Work File (2)'!$N761)</f>
        <v>90.88</v>
      </c>
      <c r="Q761" s="1">
        <f>YEAR(Table2[[#This Row],[Order Date]])</f>
        <v>2019</v>
      </c>
      <c r="R761" s="18" t="str">
        <f>TEXT(Table2[[#This Row],[Order Date]],"mmm")</f>
        <v>Sep</v>
      </c>
      <c r="S761" s="18"/>
    </row>
    <row r="762" spans="1:19" x14ac:dyDescent="0.2">
      <c r="A762" s="1">
        <v>761</v>
      </c>
      <c r="B762" s="1" t="s">
        <v>1497</v>
      </c>
      <c r="C762" s="2">
        <v>42978</v>
      </c>
      <c r="D762" s="1" t="s">
        <v>36</v>
      </c>
      <c r="E762" s="1" t="s">
        <v>1252</v>
      </c>
      <c r="F762" s="1" t="s">
        <v>29</v>
      </c>
      <c r="G762" s="1" t="s">
        <v>30</v>
      </c>
      <c r="H762" s="1" t="s">
        <v>31</v>
      </c>
      <c r="I762" s="1" t="s">
        <v>32</v>
      </c>
      <c r="J762" s="1" t="s">
        <v>63</v>
      </c>
      <c r="K762" s="1" t="s">
        <v>1182</v>
      </c>
      <c r="L762" s="17">
        <v>58.320000000000007</v>
      </c>
      <c r="M762" s="1">
        <v>9</v>
      </c>
      <c r="N762" s="1">
        <v>0</v>
      </c>
      <c r="O762" s="17">
        <v>27.993600000000001</v>
      </c>
      <c r="P762" s="17">
        <f>('Work File (2)'!$L762*'Work File (2)'!$M762)*(1-'Work File (2)'!$N762)</f>
        <v>524.88000000000011</v>
      </c>
      <c r="Q762" s="1">
        <f>YEAR(Table2[[#This Row],[Order Date]])</f>
        <v>2017</v>
      </c>
      <c r="R762" s="18" t="str">
        <f>TEXT(Table2[[#This Row],[Order Date]],"mmm")</f>
        <v>Aug</v>
      </c>
      <c r="S762" s="18"/>
    </row>
    <row r="763" spans="1:19" x14ac:dyDescent="0.2">
      <c r="A763" s="1">
        <v>762</v>
      </c>
      <c r="B763" s="1" t="s">
        <v>1498</v>
      </c>
      <c r="C763" s="2">
        <v>43772</v>
      </c>
      <c r="D763" s="1" t="s">
        <v>36</v>
      </c>
      <c r="E763" s="1" t="s">
        <v>244</v>
      </c>
      <c r="F763" s="1" t="s">
        <v>1082</v>
      </c>
      <c r="G763" s="1" t="s">
        <v>797</v>
      </c>
      <c r="H763" s="1" t="s">
        <v>21</v>
      </c>
      <c r="I763" s="1" t="s">
        <v>32</v>
      </c>
      <c r="J763" s="1" t="s">
        <v>33</v>
      </c>
      <c r="K763" s="1" t="s">
        <v>1499</v>
      </c>
      <c r="L763" s="17">
        <v>12.39</v>
      </c>
      <c r="M763" s="1">
        <v>3</v>
      </c>
      <c r="N763" s="1">
        <v>0</v>
      </c>
      <c r="O763" s="17">
        <v>5.6993999999999998</v>
      </c>
      <c r="P763" s="17">
        <f>('Work File (2)'!$L763*'Work File (2)'!$M763)*(1-'Work File (2)'!$N763)</f>
        <v>37.17</v>
      </c>
      <c r="Q763" s="1">
        <f>YEAR(Table2[[#This Row],[Order Date]])</f>
        <v>2019</v>
      </c>
      <c r="R763" s="18" t="str">
        <f>TEXT(Table2[[#This Row],[Order Date]],"mmm")</f>
        <v>Nov</v>
      </c>
      <c r="S763" s="18"/>
    </row>
    <row r="764" spans="1:19" x14ac:dyDescent="0.2">
      <c r="A764" s="1">
        <v>763</v>
      </c>
      <c r="B764" s="1" t="s">
        <v>1500</v>
      </c>
      <c r="C764" s="2">
        <v>42774</v>
      </c>
      <c r="D764" s="1" t="s">
        <v>36</v>
      </c>
      <c r="E764" s="1" t="s">
        <v>1501</v>
      </c>
      <c r="F764" s="1" t="s">
        <v>323</v>
      </c>
      <c r="G764" s="1" t="s">
        <v>324</v>
      </c>
      <c r="H764" s="1" t="s">
        <v>103</v>
      </c>
      <c r="I764" s="1" t="s">
        <v>50</v>
      </c>
      <c r="J764" s="1" t="s">
        <v>51</v>
      </c>
      <c r="K764" s="1" t="s">
        <v>445</v>
      </c>
      <c r="L764" s="17">
        <v>107.982</v>
      </c>
      <c r="M764" s="1">
        <v>3</v>
      </c>
      <c r="N764" s="1">
        <v>0.4</v>
      </c>
      <c r="O764" s="17">
        <v>-26.995499999999993</v>
      </c>
      <c r="P764" s="17">
        <f>('Work File (2)'!$L764*'Work File (2)'!$M764)*(1-'Work File (2)'!$N764)</f>
        <v>194.36760000000001</v>
      </c>
      <c r="Q764" s="1">
        <f>YEAR(Table2[[#This Row],[Order Date]])</f>
        <v>2017</v>
      </c>
      <c r="R764" s="18" t="str">
        <f>TEXT(Table2[[#This Row],[Order Date]],"mmm")</f>
        <v>Feb</v>
      </c>
      <c r="S764" s="18"/>
    </row>
    <row r="765" spans="1:19" x14ac:dyDescent="0.2">
      <c r="A765" s="1">
        <v>764</v>
      </c>
      <c r="B765" s="1" t="s">
        <v>1502</v>
      </c>
      <c r="C765" s="2">
        <v>42382</v>
      </c>
      <c r="D765" s="1" t="s">
        <v>17</v>
      </c>
      <c r="E765" s="1" t="s">
        <v>1503</v>
      </c>
      <c r="F765" s="1" t="s">
        <v>1504</v>
      </c>
      <c r="G765" s="1" t="s">
        <v>471</v>
      </c>
      <c r="H765" s="1" t="s">
        <v>21</v>
      </c>
      <c r="I765" s="1" t="s">
        <v>32</v>
      </c>
      <c r="J765" s="1" t="s">
        <v>118</v>
      </c>
      <c r="K765" s="1" t="s">
        <v>431</v>
      </c>
      <c r="L765" s="17">
        <v>11.36</v>
      </c>
      <c r="M765" s="1">
        <v>2</v>
      </c>
      <c r="N765" s="1">
        <v>0</v>
      </c>
      <c r="O765" s="17">
        <v>5.3391999999999991</v>
      </c>
      <c r="P765" s="17">
        <f>('Work File (2)'!$L765*'Work File (2)'!$M765)*(1-'Work File (2)'!$N765)</f>
        <v>22.72</v>
      </c>
      <c r="Q765" s="1">
        <f>YEAR(Table2[[#This Row],[Order Date]])</f>
        <v>2016</v>
      </c>
      <c r="R765" s="18" t="str">
        <f>TEXT(Table2[[#This Row],[Order Date]],"mmm")</f>
        <v>Jan</v>
      </c>
      <c r="S765" s="18"/>
    </row>
    <row r="766" spans="1:19" x14ac:dyDescent="0.2">
      <c r="A766" s="1">
        <v>765</v>
      </c>
      <c r="B766" s="1" t="s">
        <v>1502</v>
      </c>
      <c r="C766" s="2">
        <v>42382</v>
      </c>
      <c r="D766" s="1" t="s">
        <v>17</v>
      </c>
      <c r="E766" s="1" t="s">
        <v>1503</v>
      </c>
      <c r="F766" s="1" t="s">
        <v>1504</v>
      </c>
      <c r="G766" s="1" t="s">
        <v>471</v>
      </c>
      <c r="H766" s="1" t="s">
        <v>21</v>
      </c>
      <c r="I766" s="1" t="s">
        <v>32</v>
      </c>
      <c r="J766" s="1" t="s">
        <v>118</v>
      </c>
      <c r="K766" s="1" t="s">
        <v>1505</v>
      </c>
      <c r="L766" s="17">
        <v>50.94</v>
      </c>
      <c r="M766" s="1">
        <v>3</v>
      </c>
      <c r="N766" s="1">
        <v>0</v>
      </c>
      <c r="O766" s="17">
        <v>25.47</v>
      </c>
      <c r="P766" s="17">
        <f>('Work File (2)'!$L766*'Work File (2)'!$M766)*(1-'Work File (2)'!$N766)</f>
        <v>152.82</v>
      </c>
      <c r="Q766" s="1">
        <f>YEAR(Table2[[#This Row],[Order Date]])</f>
        <v>2016</v>
      </c>
      <c r="R766" s="18" t="str">
        <f>TEXT(Table2[[#This Row],[Order Date]],"mmm")</f>
        <v>Jan</v>
      </c>
      <c r="S766" s="18"/>
    </row>
    <row r="767" spans="1:19" x14ac:dyDescent="0.2">
      <c r="A767" s="1">
        <v>766</v>
      </c>
      <c r="B767" s="1" t="s">
        <v>1502</v>
      </c>
      <c r="C767" s="2">
        <v>42382</v>
      </c>
      <c r="D767" s="1" t="s">
        <v>17</v>
      </c>
      <c r="E767" s="1" t="s">
        <v>1503</v>
      </c>
      <c r="F767" s="1" t="s">
        <v>1504</v>
      </c>
      <c r="G767" s="1" t="s">
        <v>471</v>
      </c>
      <c r="H767" s="1" t="s">
        <v>21</v>
      </c>
      <c r="I767" s="1" t="s">
        <v>50</v>
      </c>
      <c r="J767" s="1" t="s">
        <v>111</v>
      </c>
      <c r="K767" s="1" t="s">
        <v>1506</v>
      </c>
      <c r="L767" s="17">
        <v>646.74</v>
      </c>
      <c r="M767" s="1">
        <v>6</v>
      </c>
      <c r="N767" s="1">
        <v>0</v>
      </c>
      <c r="O767" s="17">
        <v>258.69600000000003</v>
      </c>
      <c r="P767" s="17">
        <f>('Work File (2)'!$L767*'Work File (2)'!$M767)*(1-'Work File (2)'!$N767)</f>
        <v>3880.44</v>
      </c>
      <c r="Q767" s="1">
        <f>YEAR(Table2[[#This Row],[Order Date]])</f>
        <v>2016</v>
      </c>
      <c r="R767" s="18" t="str">
        <f>TEXT(Table2[[#This Row],[Order Date]],"mmm")</f>
        <v>Jan</v>
      </c>
      <c r="S767" s="18"/>
    </row>
    <row r="768" spans="1:19" x14ac:dyDescent="0.2">
      <c r="A768" s="1">
        <v>767</v>
      </c>
      <c r="B768" s="1" t="s">
        <v>1502</v>
      </c>
      <c r="C768" s="2">
        <v>42382</v>
      </c>
      <c r="D768" s="1" t="s">
        <v>17</v>
      </c>
      <c r="E768" s="1" t="s">
        <v>1503</v>
      </c>
      <c r="F768" s="1" t="s">
        <v>1504</v>
      </c>
      <c r="G768" s="1" t="s">
        <v>471</v>
      </c>
      <c r="H768" s="1" t="s">
        <v>21</v>
      </c>
      <c r="I768" s="1" t="s">
        <v>32</v>
      </c>
      <c r="J768" s="1" t="s">
        <v>53</v>
      </c>
      <c r="K768" s="1" t="s">
        <v>1507</v>
      </c>
      <c r="L768" s="17">
        <v>5.64</v>
      </c>
      <c r="M768" s="1">
        <v>3</v>
      </c>
      <c r="N768" s="1">
        <v>0</v>
      </c>
      <c r="O768" s="17">
        <v>2.7071999999999994</v>
      </c>
      <c r="P768" s="17">
        <f>('Work File (2)'!$L768*'Work File (2)'!$M768)*(1-'Work File (2)'!$N768)</f>
        <v>16.919999999999998</v>
      </c>
      <c r="Q768" s="1">
        <f>YEAR(Table2[[#This Row],[Order Date]])</f>
        <v>2016</v>
      </c>
      <c r="R768" s="18" t="str">
        <f>TEXT(Table2[[#This Row],[Order Date]],"mmm")</f>
        <v>Jan</v>
      </c>
      <c r="S768" s="18"/>
    </row>
    <row r="769" spans="1:19" x14ac:dyDescent="0.2">
      <c r="A769" s="1">
        <v>768</v>
      </c>
      <c r="B769" s="1" t="s">
        <v>1502</v>
      </c>
      <c r="C769" s="2">
        <v>42382</v>
      </c>
      <c r="D769" s="1" t="s">
        <v>17</v>
      </c>
      <c r="E769" s="1" t="s">
        <v>1503</v>
      </c>
      <c r="F769" s="1" t="s">
        <v>1504</v>
      </c>
      <c r="G769" s="1" t="s">
        <v>471</v>
      </c>
      <c r="H769" s="1" t="s">
        <v>21</v>
      </c>
      <c r="I769" s="1" t="s">
        <v>32</v>
      </c>
      <c r="J769" s="1" t="s">
        <v>42</v>
      </c>
      <c r="K769" s="1" t="s">
        <v>1508</v>
      </c>
      <c r="L769" s="17">
        <v>572.58000000000004</v>
      </c>
      <c r="M769" s="1">
        <v>6</v>
      </c>
      <c r="N769" s="1">
        <v>0</v>
      </c>
      <c r="O769" s="17">
        <v>34.354799999999955</v>
      </c>
      <c r="P769" s="17">
        <f>('Work File (2)'!$L769*'Work File (2)'!$M769)*(1-'Work File (2)'!$N769)</f>
        <v>3435.4800000000005</v>
      </c>
      <c r="Q769" s="1">
        <f>YEAR(Table2[[#This Row],[Order Date]])</f>
        <v>2016</v>
      </c>
      <c r="R769" s="18" t="str">
        <f>TEXT(Table2[[#This Row],[Order Date]],"mmm")</f>
        <v>Jan</v>
      </c>
      <c r="S769" s="18"/>
    </row>
    <row r="770" spans="1:19" x14ac:dyDescent="0.2">
      <c r="A770" s="1">
        <v>769</v>
      </c>
      <c r="B770" s="1" t="s">
        <v>1509</v>
      </c>
      <c r="C770" s="2">
        <v>42504</v>
      </c>
      <c r="D770" s="1" t="s">
        <v>36</v>
      </c>
      <c r="E770" s="1" t="s">
        <v>1510</v>
      </c>
      <c r="F770" s="1" t="s">
        <v>723</v>
      </c>
      <c r="G770" s="1" t="s">
        <v>39</v>
      </c>
      <c r="H770" s="1" t="s">
        <v>21</v>
      </c>
      <c r="I770" s="1" t="s">
        <v>22</v>
      </c>
      <c r="J770" s="1" t="s">
        <v>46</v>
      </c>
      <c r="K770" s="1" t="s">
        <v>1511</v>
      </c>
      <c r="L770" s="17">
        <v>310.88000000000005</v>
      </c>
      <c r="M770" s="1">
        <v>2</v>
      </c>
      <c r="N770" s="1">
        <v>0.2</v>
      </c>
      <c r="O770" s="17">
        <v>23.315999999999988</v>
      </c>
      <c r="P770" s="17">
        <f>('Work File (2)'!$L770*'Work File (2)'!$M770)*(1-'Work File (2)'!$N770)</f>
        <v>497.40800000000013</v>
      </c>
      <c r="Q770" s="1">
        <f>YEAR(Table2[[#This Row],[Order Date]])</f>
        <v>2016</v>
      </c>
      <c r="R770" s="18" t="str">
        <f>TEXT(Table2[[#This Row],[Order Date]],"mmm")</f>
        <v>May</v>
      </c>
      <c r="S770" s="18"/>
    </row>
    <row r="771" spans="1:19" x14ac:dyDescent="0.2">
      <c r="A771" s="1">
        <v>770</v>
      </c>
      <c r="B771" s="1" t="s">
        <v>1512</v>
      </c>
      <c r="C771" s="2">
        <v>43239</v>
      </c>
      <c r="D771" s="1" t="s">
        <v>36</v>
      </c>
      <c r="E771" s="1" t="s">
        <v>527</v>
      </c>
      <c r="F771" s="1" t="s">
        <v>708</v>
      </c>
      <c r="G771" s="1" t="s">
        <v>211</v>
      </c>
      <c r="H771" s="1" t="s">
        <v>21</v>
      </c>
      <c r="I771" s="1" t="s">
        <v>22</v>
      </c>
      <c r="J771" s="1" t="s">
        <v>25</v>
      </c>
      <c r="K771" s="1" t="s">
        <v>1513</v>
      </c>
      <c r="L771" s="17">
        <v>641.96</v>
      </c>
      <c r="M771" s="1">
        <v>2</v>
      </c>
      <c r="N771" s="1">
        <v>0</v>
      </c>
      <c r="O771" s="17">
        <v>179.74880000000002</v>
      </c>
      <c r="P771" s="17">
        <f>('Work File (2)'!$L771*'Work File (2)'!$M771)*(1-'Work File (2)'!$N771)</f>
        <v>1283.92</v>
      </c>
      <c r="Q771" s="1">
        <f>YEAR(Table2[[#This Row],[Order Date]])</f>
        <v>2018</v>
      </c>
      <c r="R771" s="18" t="str">
        <f>TEXT(Table2[[#This Row],[Order Date]],"mmm")</f>
        <v>May</v>
      </c>
      <c r="S771" s="18"/>
    </row>
    <row r="772" spans="1:19" x14ac:dyDescent="0.2">
      <c r="A772" s="1">
        <v>771</v>
      </c>
      <c r="B772" s="1" t="s">
        <v>1514</v>
      </c>
      <c r="C772" s="2">
        <v>43495</v>
      </c>
      <c r="D772" s="1" t="s">
        <v>36</v>
      </c>
      <c r="E772" s="1" t="s">
        <v>1515</v>
      </c>
      <c r="F772" s="1" t="s">
        <v>861</v>
      </c>
      <c r="G772" s="1" t="s">
        <v>318</v>
      </c>
      <c r="H772" s="1" t="s">
        <v>74</v>
      </c>
      <c r="I772" s="1" t="s">
        <v>32</v>
      </c>
      <c r="J772" s="1" t="s">
        <v>53</v>
      </c>
      <c r="K772" s="1" t="s">
        <v>1516</v>
      </c>
      <c r="L772" s="17">
        <v>18.28</v>
      </c>
      <c r="M772" s="1">
        <v>2</v>
      </c>
      <c r="N772" s="1">
        <v>0</v>
      </c>
      <c r="O772" s="17">
        <v>9.14</v>
      </c>
      <c r="P772" s="17">
        <f>('Work File (2)'!$L772*'Work File (2)'!$M772)*(1-'Work File (2)'!$N772)</f>
        <v>36.56</v>
      </c>
      <c r="Q772" s="1">
        <f>YEAR(Table2[[#This Row],[Order Date]])</f>
        <v>2019</v>
      </c>
      <c r="R772" s="18" t="str">
        <f>TEXT(Table2[[#This Row],[Order Date]],"mmm")</f>
        <v>Jan</v>
      </c>
      <c r="S772" s="18"/>
    </row>
    <row r="773" spans="1:19" x14ac:dyDescent="0.2">
      <c r="A773" s="1">
        <v>772</v>
      </c>
      <c r="B773" s="1" t="s">
        <v>1514</v>
      </c>
      <c r="C773" s="2">
        <v>43495</v>
      </c>
      <c r="D773" s="1" t="s">
        <v>36</v>
      </c>
      <c r="E773" s="1" t="s">
        <v>1515</v>
      </c>
      <c r="F773" s="1" t="s">
        <v>861</v>
      </c>
      <c r="G773" s="1" t="s">
        <v>318</v>
      </c>
      <c r="H773" s="1" t="s">
        <v>74</v>
      </c>
      <c r="I773" s="1" t="s">
        <v>50</v>
      </c>
      <c r="J773" s="1" t="s">
        <v>51</v>
      </c>
      <c r="K773" s="1" t="s">
        <v>755</v>
      </c>
      <c r="L773" s="17">
        <v>207</v>
      </c>
      <c r="M773" s="1">
        <v>3</v>
      </c>
      <c r="N773" s="1">
        <v>0</v>
      </c>
      <c r="O773" s="17">
        <v>51.75</v>
      </c>
      <c r="P773" s="17">
        <f>('Work File (2)'!$L773*'Work File (2)'!$M773)*(1-'Work File (2)'!$N773)</f>
        <v>621</v>
      </c>
      <c r="Q773" s="1">
        <f>YEAR(Table2[[#This Row],[Order Date]])</f>
        <v>2019</v>
      </c>
      <c r="R773" s="18" t="str">
        <f>TEXT(Table2[[#This Row],[Order Date]],"mmm")</f>
        <v>Jan</v>
      </c>
      <c r="S773" s="18"/>
    </row>
    <row r="774" spans="1:19" x14ac:dyDescent="0.2">
      <c r="A774" s="1">
        <v>773</v>
      </c>
      <c r="B774" s="1" t="s">
        <v>1514</v>
      </c>
      <c r="C774" s="2">
        <v>43495</v>
      </c>
      <c r="D774" s="1" t="s">
        <v>36</v>
      </c>
      <c r="E774" s="1" t="s">
        <v>1515</v>
      </c>
      <c r="F774" s="1" t="s">
        <v>861</v>
      </c>
      <c r="G774" s="1" t="s">
        <v>318</v>
      </c>
      <c r="H774" s="1" t="s">
        <v>74</v>
      </c>
      <c r="I774" s="1" t="s">
        <v>32</v>
      </c>
      <c r="J774" s="1" t="s">
        <v>53</v>
      </c>
      <c r="K774" s="1" t="s">
        <v>1517</v>
      </c>
      <c r="L774" s="17">
        <v>32.35</v>
      </c>
      <c r="M774" s="1">
        <v>5</v>
      </c>
      <c r="N774" s="1">
        <v>0</v>
      </c>
      <c r="O774" s="17">
        <v>16.175000000000001</v>
      </c>
      <c r="P774" s="17">
        <f>('Work File (2)'!$L774*'Work File (2)'!$M774)*(1-'Work File (2)'!$N774)</f>
        <v>161.75</v>
      </c>
      <c r="Q774" s="1">
        <f>YEAR(Table2[[#This Row],[Order Date]])</f>
        <v>2019</v>
      </c>
      <c r="R774" s="18" t="str">
        <f>TEXT(Table2[[#This Row],[Order Date]],"mmm")</f>
        <v>Jan</v>
      </c>
      <c r="S774" s="18"/>
    </row>
    <row r="775" spans="1:19" x14ac:dyDescent="0.2">
      <c r="A775" s="1">
        <v>774</v>
      </c>
      <c r="B775" s="1" t="s">
        <v>1514</v>
      </c>
      <c r="C775" s="2">
        <v>43495</v>
      </c>
      <c r="D775" s="1" t="s">
        <v>36</v>
      </c>
      <c r="E775" s="1" t="s">
        <v>1515</v>
      </c>
      <c r="F775" s="1" t="s">
        <v>861</v>
      </c>
      <c r="G775" s="1" t="s">
        <v>318</v>
      </c>
      <c r="H775" s="1" t="s">
        <v>74</v>
      </c>
      <c r="I775" s="1" t="s">
        <v>32</v>
      </c>
      <c r="J775" s="1" t="s">
        <v>53</v>
      </c>
      <c r="K775" s="1" t="s">
        <v>54</v>
      </c>
      <c r="L775" s="17">
        <v>7.71</v>
      </c>
      <c r="M775" s="1">
        <v>1</v>
      </c>
      <c r="N775" s="1">
        <v>0</v>
      </c>
      <c r="O775" s="17">
        <v>3.4695</v>
      </c>
      <c r="P775" s="17">
        <f>('Work File (2)'!$L775*'Work File (2)'!$M775)*(1-'Work File (2)'!$N775)</f>
        <v>7.71</v>
      </c>
      <c r="Q775" s="1">
        <f>YEAR(Table2[[#This Row],[Order Date]])</f>
        <v>2019</v>
      </c>
      <c r="R775" s="18" t="str">
        <f>TEXT(Table2[[#This Row],[Order Date]],"mmm")</f>
        <v>Jan</v>
      </c>
      <c r="S775" s="18"/>
    </row>
    <row r="776" spans="1:19" x14ac:dyDescent="0.2">
      <c r="A776" s="1">
        <v>775</v>
      </c>
      <c r="B776" s="1" t="s">
        <v>1514</v>
      </c>
      <c r="C776" s="2">
        <v>43495</v>
      </c>
      <c r="D776" s="1" t="s">
        <v>36</v>
      </c>
      <c r="E776" s="1" t="s">
        <v>1515</v>
      </c>
      <c r="F776" s="1" t="s">
        <v>861</v>
      </c>
      <c r="G776" s="1" t="s">
        <v>318</v>
      </c>
      <c r="H776" s="1" t="s">
        <v>74</v>
      </c>
      <c r="I776" s="1" t="s">
        <v>32</v>
      </c>
      <c r="J776" s="1" t="s">
        <v>48</v>
      </c>
      <c r="K776" s="1" t="s">
        <v>1518</v>
      </c>
      <c r="L776" s="17">
        <v>40.299999999999997</v>
      </c>
      <c r="M776" s="1">
        <v>2</v>
      </c>
      <c r="N776" s="1">
        <v>0</v>
      </c>
      <c r="O776" s="17">
        <v>10.881</v>
      </c>
      <c r="P776" s="17">
        <f>('Work File (2)'!$L776*'Work File (2)'!$M776)*(1-'Work File (2)'!$N776)</f>
        <v>80.599999999999994</v>
      </c>
      <c r="Q776" s="1">
        <f>YEAR(Table2[[#This Row],[Order Date]])</f>
        <v>2019</v>
      </c>
      <c r="R776" s="18" t="str">
        <f>TEXT(Table2[[#This Row],[Order Date]],"mmm")</f>
        <v>Jan</v>
      </c>
      <c r="S776" s="18"/>
    </row>
    <row r="777" spans="1:19" x14ac:dyDescent="0.2">
      <c r="A777" s="1">
        <v>776</v>
      </c>
      <c r="B777" s="1" t="s">
        <v>1514</v>
      </c>
      <c r="C777" s="2">
        <v>43495</v>
      </c>
      <c r="D777" s="1" t="s">
        <v>36</v>
      </c>
      <c r="E777" s="1" t="s">
        <v>1515</v>
      </c>
      <c r="F777" s="1" t="s">
        <v>861</v>
      </c>
      <c r="G777" s="1" t="s">
        <v>318</v>
      </c>
      <c r="H777" s="1" t="s">
        <v>74</v>
      </c>
      <c r="I777" s="1" t="s">
        <v>22</v>
      </c>
      <c r="J777" s="1" t="s">
        <v>46</v>
      </c>
      <c r="K777" s="1" t="s">
        <v>1519</v>
      </c>
      <c r="L777" s="17">
        <v>34.580000000000005</v>
      </c>
      <c r="M777" s="1">
        <v>7</v>
      </c>
      <c r="N777" s="1">
        <v>0</v>
      </c>
      <c r="O777" s="17">
        <v>14.523600000000002</v>
      </c>
      <c r="P777" s="17">
        <f>('Work File (2)'!$L777*'Work File (2)'!$M777)*(1-'Work File (2)'!$N777)</f>
        <v>242.06000000000003</v>
      </c>
      <c r="Q777" s="1">
        <f>YEAR(Table2[[#This Row],[Order Date]])</f>
        <v>2019</v>
      </c>
      <c r="R777" s="18" t="str">
        <f>TEXT(Table2[[#This Row],[Order Date]],"mmm")</f>
        <v>Jan</v>
      </c>
      <c r="S777" s="18"/>
    </row>
    <row r="778" spans="1:19" x14ac:dyDescent="0.2">
      <c r="A778" s="1">
        <v>777</v>
      </c>
      <c r="B778" s="1" t="s">
        <v>1520</v>
      </c>
      <c r="C778" s="2">
        <v>42550</v>
      </c>
      <c r="D778" s="1" t="s">
        <v>36</v>
      </c>
      <c r="E778" s="1" t="s">
        <v>1521</v>
      </c>
      <c r="F778" s="1" t="s">
        <v>637</v>
      </c>
      <c r="G778" s="1" t="s">
        <v>324</v>
      </c>
      <c r="H778" s="1" t="s">
        <v>103</v>
      </c>
      <c r="I778" s="1" t="s">
        <v>32</v>
      </c>
      <c r="J778" s="1" t="s">
        <v>48</v>
      </c>
      <c r="K778" s="1" t="s">
        <v>1522</v>
      </c>
      <c r="L778" s="17">
        <v>32.76</v>
      </c>
      <c r="M778" s="1">
        <v>7</v>
      </c>
      <c r="N778" s="1">
        <v>0.2</v>
      </c>
      <c r="O778" s="17">
        <v>3.6854999999999958</v>
      </c>
      <c r="P778" s="17">
        <f>('Work File (2)'!$L778*'Work File (2)'!$M778)*(1-'Work File (2)'!$N778)</f>
        <v>183.45600000000002</v>
      </c>
      <c r="Q778" s="1">
        <f>YEAR(Table2[[#This Row],[Order Date]])</f>
        <v>2016</v>
      </c>
      <c r="R778" s="18" t="str">
        <f>TEXT(Table2[[#This Row],[Order Date]],"mmm")</f>
        <v>Jun</v>
      </c>
      <c r="S778" s="18"/>
    </row>
    <row r="779" spans="1:19" x14ac:dyDescent="0.2">
      <c r="A779" s="1">
        <v>778</v>
      </c>
      <c r="B779" s="1" t="s">
        <v>1523</v>
      </c>
      <c r="C779" s="2">
        <v>42968</v>
      </c>
      <c r="D779" s="1" t="s">
        <v>128</v>
      </c>
      <c r="E779" s="1" t="s">
        <v>673</v>
      </c>
      <c r="F779" s="1" t="s">
        <v>89</v>
      </c>
      <c r="G779" s="1" t="s">
        <v>30</v>
      </c>
      <c r="H779" s="1" t="s">
        <v>31</v>
      </c>
      <c r="I779" s="1" t="s">
        <v>22</v>
      </c>
      <c r="J779" s="1" t="s">
        <v>25</v>
      </c>
      <c r="K779" s="1" t="s">
        <v>1524</v>
      </c>
      <c r="L779" s="17">
        <v>544.00800000000004</v>
      </c>
      <c r="M779" s="1">
        <v>3</v>
      </c>
      <c r="N779" s="1">
        <v>0.2</v>
      </c>
      <c r="O779" s="17">
        <v>40.800600000000003</v>
      </c>
      <c r="P779" s="17">
        <f>('Work File (2)'!$L779*'Work File (2)'!$M779)*(1-'Work File (2)'!$N779)</f>
        <v>1305.6192000000001</v>
      </c>
      <c r="Q779" s="1">
        <f>YEAR(Table2[[#This Row],[Order Date]])</f>
        <v>2017</v>
      </c>
      <c r="R779" s="18" t="str">
        <f>TEXT(Table2[[#This Row],[Order Date]],"mmm")</f>
        <v>Aug</v>
      </c>
      <c r="S779" s="18"/>
    </row>
    <row r="780" spans="1:19" x14ac:dyDescent="0.2">
      <c r="A780" s="1">
        <v>779</v>
      </c>
      <c r="B780" s="1" t="s">
        <v>1523</v>
      </c>
      <c r="C780" s="2">
        <v>42968</v>
      </c>
      <c r="D780" s="1" t="s">
        <v>128</v>
      </c>
      <c r="E780" s="1" t="s">
        <v>673</v>
      </c>
      <c r="F780" s="1" t="s">
        <v>89</v>
      </c>
      <c r="G780" s="1" t="s">
        <v>30</v>
      </c>
      <c r="H780" s="1" t="s">
        <v>31</v>
      </c>
      <c r="I780" s="1" t="s">
        <v>32</v>
      </c>
      <c r="J780" s="1" t="s">
        <v>63</v>
      </c>
      <c r="K780" s="1" t="s">
        <v>907</v>
      </c>
      <c r="L780" s="17">
        <v>59.94</v>
      </c>
      <c r="M780" s="1">
        <v>3</v>
      </c>
      <c r="N780" s="1">
        <v>0</v>
      </c>
      <c r="O780" s="17">
        <v>28.171799999999998</v>
      </c>
      <c r="P780" s="17">
        <f>('Work File (2)'!$L780*'Work File (2)'!$M780)*(1-'Work File (2)'!$N780)</f>
        <v>179.82</v>
      </c>
      <c r="Q780" s="1">
        <f>YEAR(Table2[[#This Row],[Order Date]])</f>
        <v>2017</v>
      </c>
      <c r="R780" s="18" t="str">
        <f>TEXT(Table2[[#This Row],[Order Date]],"mmm")</f>
        <v>Aug</v>
      </c>
      <c r="S780" s="18"/>
    </row>
    <row r="781" spans="1:19" x14ac:dyDescent="0.2">
      <c r="A781" s="1">
        <v>780</v>
      </c>
      <c r="B781" s="1" t="s">
        <v>1523</v>
      </c>
      <c r="C781" s="2">
        <v>42968</v>
      </c>
      <c r="D781" s="1" t="s">
        <v>128</v>
      </c>
      <c r="E781" s="1" t="s">
        <v>673</v>
      </c>
      <c r="F781" s="1" t="s">
        <v>89</v>
      </c>
      <c r="G781" s="1" t="s">
        <v>30</v>
      </c>
      <c r="H781" s="1" t="s">
        <v>31</v>
      </c>
      <c r="I781" s="1" t="s">
        <v>32</v>
      </c>
      <c r="J781" s="1" t="s">
        <v>63</v>
      </c>
      <c r="K781" s="1" t="s">
        <v>889</v>
      </c>
      <c r="L781" s="17">
        <v>23.92</v>
      </c>
      <c r="M781" s="1">
        <v>4</v>
      </c>
      <c r="N781" s="1">
        <v>0</v>
      </c>
      <c r="O781" s="17">
        <v>11.720800000000001</v>
      </c>
      <c r="P781" s="17">
        <f>('Work File (2)'!$L781*'Work File (2)'!$M781)*(1-'Work File (2)'!$N781)</f>
        <v>95.68</v>
      </c>
      <c r="Q781" s="1">
        <f>YEAR(Table2[[#This Row],[Order Date]])</f>
        <v>2017</v>
      </c>
      <c r="R781" s="18" t="str">
        <f>TEXT(Table2[[#This Row],[Order Date]],"mmm")</f>
        <v>Aug</v>
      </c>
      <c r="S781" s="18"/>
    </row>
    <row r="782" spans="1:19" x14ac:dyDescent="0.2">
      <c r="A782" s="1">
        <v>781</v>
      </c>
      <c r="B782" s="1" t="s">
        <v>1523</v>
      </c>
      <c r="C782" s="2">
        <v>42968</v>
      </c>
      <c r="D782" s="1" t="s">
        <v>128</v>
      </c>
      <c r="E782" s="1" t="s">
        <v>673</v>
      </c>
      <c r="F782" s="1" t="s">
        <v>89</v>
      </c>
      <c r="G782" s="1" t="s">
        <v>30</v>
      </c>
      <c r="H782" s="1" t="s">
        <v>31</v>
      </c>
      <c r="I782" s="1" t="s">
        <v>32</v>
      </c>
      <c r="J782" s="1" t="s">
        <v>63</v>
      </c>
      <c r="K782" s="1" t="s">
        <v>1525</v>
      </c>
      <c r="L782" s="17">
        <v>4.28</v>
      </c>
      <c r="M782" s="1">
        <v>1</v>
      </c>
      <c r="N782" s="1">
        <v>0</v>
      </c>
      <c r="O782" s="17">
        <v>1.9259999999999997</v>
      </c>
      <c r="P782" s="17">
        <f>('Work File (2)'!$L782*'Work File (2)'!$M782)*(1-'Work File (2)'!$N782)</f>
        <v>4.28</v>
      </c>
      <c r="Q782" s="1">
        <f>YEAR(Table2[[#This Row],[Order Date]])</f>
        <v>2017</v>
      </c>
      <c r="R782" s="18" t="str">
        <f>TEXT(Table2[[#This Row],[Order Date]],"mmm")</f>
        <v>Aug</v>
      </c>
      <c r="S782" s="18"/>
    </row>
    <row r="783" spans="1:19" x14ac:dyDescent="0.2">
      <c r="A783" s="1">
        <v>782</v>
      </c>
      <c r="B783" s="1" t="s">
        <v>1526</v>
      </c>
      <c r="C783" s="2">
        <v>43011</v>
      </c>
      <c r="D783" s="1" t="s">
        <v>17</v>
      </c>
      <c r="E783" s="1" t="s">
        <v>1527</v>
      </c>
      <c r="F783" s="1" t="s">
        <v>323</v>
      </c>
      <c r="G783" s="1" t="s">
        <v>324</v>
      </c>
      <c r="H783" s="1" t="s">
        <v>103</v>
      </c>
      <c r="I783" s="1" t="s">
        <v>32</v>
      </c>
      <c r="J783" s="1" t="s">
        <v>53</v>
      </c>
      <c r="K783" s="1" t="s">
        <v>997</v>
      </c>
      <c r="L783" s="17">
        <v>32.07</v>
      </c>
      <c r="M783" s="1">
        <v>5</v>
      </c>
      <c r="N783" s="1">
        <v>0.7</v>
      </c>
      <c r="O783" s="17">
        <v>-22.448999999999991</v>
      </c>
      <c r="P783" s="17">
        <f>('Work File (2)'!$L783*'Work File (2)'!$M783)*(1-'Work File (2)'!$N783)</f>
        <v>48.105000000000004</v>
      </c>
      <c r="Q783" s="1">
        <f>YEAR(Table2[[#This Row],[Order Date]])</f>
        <v>2017</v>
      </c>
      <c r="R783" s="18" t="str">
        <f>TEXT(Table2[[#This Row],[Order Date]],"mmm")</f>
        <v>Oct</v>
      </c>
      <c r="S783" s="18"/>
    </row>
    <row r="784" spans="1:19" x14ac:dyDescent="0.2">
      <c r="A784" s="1">
        <v>783</v>
      </c>
      <c r="B784" s="1" t="s">
        <v>1526</v>
      </c>
      <c r="C784" s="2">
        <v>43011</v>
      </c>
      <c r="D784" s="1" t="s">
        <v>17</v>
      </c>
      <c r="E784" s="1" t="s">
        <v>1527</v>
      </c>
      <c r="F784" s="1" t="s">
        <v>323</v>
      </c>
      <c r="G784" s="1" t="s">
        <v>324</v>
      </c>
      <c r="H784" s="1" t="s">
        <v>103</v>
      </c>
      <c r="I784" s="1" t="s">
        <v>50</v>
      </c>
      <c r="J784" s="1" t="s">
        <v>111</v>
      </c>
      <c r="K784" s="1" t="s">
        <v>166</v>
      </c>
      <c r="L784" s="17">
        <v>24</v>
      </c>
      <c r="M784" s="1">
        <v>2</v>
      </c>
      <c r="N784" s="1">
        <v>0.2</v>
      </c>
      <c r="O784" s="17">
        <v>-2.6999999999999993</v>
      </c>
      <c r="P784" s="17">
        <f>('Work File (2)'!$L784*'Work File (2)'!$M784)*(1-'Work File (2)'!$N784)</f>
        <v>38.400000000000006</v>
      </c>
      <c r="Q784" s="1">
        <f>YEAR(Table2[[#This Row],[Order Date]])</f>
        <v>2017</v>
      </c>
      <c r="R784" s="18" t="str">
        <f>TEXT(Table2[[#This Row],[Order Date]],"mmm")</f>
        <v>Oct</v>
      </c>
      <c r="S784" s="18"/>
    </row>
    <row r="785" spans="1:19" x14ac:dyDescent="0.2">
      <c r="A785" s="1">
        <v>784</v>
      </c>
      <c r="B785" s="1" t="s">
        <v>1526</v>
      </c>
      <c r="C785" s="2">
        <v>43011</v>
      </c>
      <c r="D785" s="1" t="s">
        <v>17</v>
      </c>
      <c r="E785" s="1" t="s">
        <v>1527</v>
      </c>
      <c r="F785" s="1" t="s">
        <v>323</v>
      </c>
      <c r="G785" s="1" t="s">
        <v>324</v>
      </c>
      <c r="H785" s="1" t="s">
        <v>103</v>
      </c>
      <c r="I785" s="1" t="s">
        <v>22</v>
      </c>
      <c r="J785" s="1" t="s">
        <v>23</v>
      </c>
      <c r="K785" s="1" t="s">
        <v>1528</v>
      </c>
      <c r="L785" s="17">
        <v>35.49</v>
      </c>
      <c r="M785" s="1">
        <v>1</v>
      </c>
      <c r="N785" s="1">
        <v>0.5</v>
      </c>
      <c r="O785" s="17">
        <v>-15.615600000000001</v>
      </c>
      <c r="P785" s="17">
        <f>('Work File (2)'!$L785*'Work File (2)'!$M785)*(1-'Work File (2)'!$N785)</f>
        <v>17.745000000000001</v>
      </c>
      <c r="Q785" s="1">
        <f>YEAR(Table2[[#This Row],[Order Date]])</f>
        <v>2017</v>
      </c>
      <c r="R785" s="18" t="str">
        <f>TEXT(Table2[[#This Row],[Order Date]],"mmm")</f>
        <v>Oct</v>
      </c>
      <c r="S785" s="18"/>
    </row>
    <row r="786" spans="1:19" x14ac:dyDescent="0.2">
      <c r="A786" s="1">
        <v>785</v>
      </c>
      <c r="B786" s="1" t="s">
        <v>1526</v>
      </c>
      <c r="C786" s="2">
        <v>43011</v>
      </c>
      <c r="D786" s="1" t="s">
        <v>17</v>
      </c>
      <c r="E786" s="1" t="s">
        <v>1527</v>
      </c>
      <c r="F786" s="1" t="s">
        <v>323</v>
      </c>
      <c r="G786" s="1" t="s">
        <v>324</v>
      </c>
      <c r="H786" s="1" t="s">
        <v>103</v>
      </c>
      <c r="I786" s="1" t="s">
        <v>50</v>
      </c>
      <c r="J786" s="1" t="s">
        <v>111</v>
      </c>
      <c r="K786" s="1" t="s">
        <v>1529</v>
      </c>
      <c r="L786" s="17">
        <v>47.984000000000002</v>
      </c>
      <c r="M786" s="1">
        <v>2</v>
      </c>
      <c r="N786" s="1">
        <v>0.2</v>
      </c>
      <c r="O786" s="17">
        <v>0.59979999999999656</v>
      </c>
      <c r="P786" s="17">
        <f>('Work File (2)'!$L786*'Work File (2)'!$M786)*(1-'Work File (2)'!$N786)</f>
        <v>76.774400000000014</v>
      </c>
      <c r="Q786" s="1">
        <f>YEAR(Table2[[#This Row],[Order Date]])</f>
        <v>2017</v>
      </c>
      <c r="R786" s="18" t="str">
        <f>TEXT(Table2[[#This Row],[Order Date]],"mmm")</f>
        <v>Oct</v>
      </c>
      <c r="S786" s="18"/>
    </row>
    <row r="787" spans="1:19" x14ac:dyDescent="0.2">
      <c r="A787" s="1">
        <v>786</v>
      </c>
      <c r="B787" s="1" t="s">
        <v>1530</v>
      </c>
      <c r="C787" s="2">
        <v>42878</v>
      </c>
      <c r="D787" s="1" t="s">
        <v>36</v>
      </c>
      <c r="E787" s="1" t="s">
        <v>569</v>
      </c>
      <c r="F787" s="1" t="s">
        <v>251</v>
      </c>
      <c r="G787" s="1" t="s">
        <v>252</v>
      </c>
      <c r="H787" s="1" t="s">
        <v>21</v>
      </c>
      <c r="I787" s="1" t="s">
        <v>32</v>
      </c>
      <c r="J787" s="1" t="s">
        <v>118</v>
      </c>
      <c r="K787" s="1" t="s">
        <v>1531</v>
      </c>
      <c r="L787" s="17">
        <v>186.69</v>
      </c>
      <c r="M787" s="1">
        <v>3</v>
      </c>
      <c r="N787" s="1">
        <v>0</v>
      </c>
      <c r="O787" s="17">
        <v>87.744299999999981</v>
      </c>
      <c r="P787" s="17">
        <f>('Work File (2)'!$L787*'Work File (2)'!$M787)*(1-'Work File (2)'!$N787)</f>
        <v>560.06999999999994</v>
      </c>
      <c r="Q787" s="1">
        <f>YEAR(Table2[[#This Row],[Order Date]])</f>
        <v>2017</v>
      </c>
      <c r="R787" s="18" t="str">
        <f>TEXT(Table2[[#This Row],[Order Date]],"mmm")</f>
        <v>May</v>
      </c>
      <c r="S787" s="18"/>
    </row>
    <row r="788" spans="1:19" x14ac:dyDescent="0.2">
      <c r="A788" s="1">
        <v>787</v>
      </c>
      <c r="B788" s="1" t="s">
        <v>1532</v>
      </c>
      <c r="C788" s="2">
        <v>43541</v>
      </c>
      <c r="D788" s="1" t="s">
        <v>17</v>
      </c>
      <c r="E788" s="1" t="s">
        <v>316</v>
      </c>
      <c r="F788" s="1" t="s">
        <v>1533</v>
      </c>
      <c r="G788" s="1" t="s">
        <v>30</v>
      </c>
      <c r="H788" s="1" t="s">
        <v>31</v>
      </c>
      <c r="I788" s="1" t="s">
        <v>32</v>
      </c>
      <c r="J788" s="1" t="s">
        <v>53</v>
      </c>
      <c r="K788" s="1" t="s">
        <v>1534</v>
      </c>
      <c r="L788" s="17">
        <v>17.456</v>
      </c>
      <c r="M788" s="1">
        <v>2</v>
      </c>
      <c r="N788" s="1">
        <v>0.2</v>
      </c>
      <c r="O788" s="17">
        <v>5.8914</v>
      </c>
      <c r="P788" s="17">
        <f>('Work File (2)'!$L788*'Work File (2)'!$M788)*(1-'Work File (2)'!$N788)</f>
        <v>27.929600000000001</v>
      </c>
      <c r="Q788" s="1">
        <f>YEAR(Table2[[#This Row],[Order Date]])</f>
        <v>2019</v>
      </c>
      <c r="R788" s="18" t="str">
        <f>TEXT(Table2[[#This Row],[Order Date]],"mmm")</f>
        <v>Mar</v>
      </c>
      <c r="S788" s="18"/>
    </row>
    <row r="789" spans="1:19" x14ac:dyDescent="0.2">
      <c r="A789" s="1">
        <v>788</v>
      </c>
      <c r="B789" s="1" t="s">
        <v>1535</v>
      </c>
      <c r="C789" s="2">
        <v>43081</v>
      </c>
      <c r="D789" s="1" t="s">
        <v>36</v>
      </c>
      <c r="E789" s="1" t="s">
        <v>1536</v>
      </c>
      <c r="F789" s="1" t="s">
        <v>1533</v>
      </c>
      <c r="G789" s="1" t="s">
        <v>30</v>
      </c>
      <c r="H789" s="1" t="s">
        <v>31</v>
      </c>
      <c r="I789" s="1" t="s">
        <v>22</v>
      </c>
      <c r="J789" s="1" t="s">
        <v>25</v>
      </c>
      <c r="K789" s="1" t="s">
        <v>1537</v>
      </c>
      <c r="L789" s="17">
        <v>348.92800000000005</v>
      </c>
      <c r="M789" s="1">
        <v>2</v>
      </c>
      <c r="N789" s="1">
        <v>0.2</v>
      </c>
      <c r="O789" s="17">
        <v>34.89279999999998</v>
      </c>
      <c r="P789" s="17">
        <f>('Work File (2)'!$L789*'Work File (2)'!$M789)*(1-'Work File (2)'!$N789)</f>
        <v>558.28480000000013</v>
      </c>
      <c r="Q789" s="1">
        <f>YEAR(Table2[[#This Row],[Order Date]])</f>
        <v>2017</v>
      </c>
      <c r="R789" s="18" t="str">
        <f>TEXT(Table2[[#This Row],[Order Date]],"mmm")</f>
        <v>Dec</v>
      </c>
      <c r="S789" s="18"/>
    </row>
    <row r="790" spans="1:19" x14ac:dyDescent="0.2">
      <c r="A790" s="1">
        <v>789</v>
      </c>
      <c r="B790" s="1" t="s">
        <v>1538</v>
      </c>
      <c r="C790" s="2">
        <v>42912</v>
      </c>
      <c r="D790" s="1" t="s">
        <v>36</v>
      </c>
      <c r="E790" s="1" t="s">
        <v>1044</v>
      </c>
      <c r="F790" s="1" t="s">
        <v>916</v>
      </c>
      <c r="G790" s="1" t="s">
        <v>211</v>
      </c>
      <c r="H790" s="1" t="s">
        <v>21</v>
      </c>
      <c r="I790" s="1" t="s">
        <v>32</v>
      </c>
      <c r="J790" s="1" t="s">
        <v>53</v>
      </c>
      <c r="K790" s="1" t="s">
        <v>936</v>
      </c>
      <c r="L790" s="17">
        <v>143.96</v>
      </c>
      <c r="M790" s="1">
        <v>4</v>
      </c>
      <c r="N790" s="1">
        <v>0</v>
      </c>
      <c r="O790" s="17">
        <v>69.100800000000007</v>
      </c>
      <c r="P790" s="17">
        <f>('Work File (2)'!$L790*'Work File (2)'!$M790)*(1-'Work File (2)'!$N790)</f>
        <v>575.84</v>
      </c>
      <c r="Q790" s="1">
        <f>YEAR(Table2[[#This Row],[Order Date]])</f>
        <v>2017</v>
      </c>
      <c r="R790" s="18" t="str">
        <f>TEXT(Table2[[#This Row],[Order Date]],"mmm")</f>
        <v>Jun</v>
      </c>
      <c r="S790" s="18"/>
    </row>
    <row r="791" spans="1:19" x14ac:dyDescent="0.2">
      <c r="A791" s="1">
        <v>790</v>
      </c>
      <c r="B791" s="1" t="s">
        <v>1538</v>
      </c>
      <c r="C791" s="2">
        <v>42912</v>
      </c>
      <c r="D791" s="1" t="s">
        <v>36</v>
      </c>
      <c r="E791" s="1" t="s">
        <v>1044</v>
      </c>
      <c r="F791" s="1" t="s">
        <v>916</v>
      </c>
      <c r="G791" s="1" t="s">
        <v>211</v>
      </c>
      <c r="H791" s="1" t="s">
        <v>21</v>
      </c>
      <c r="I791" s="1" t="s">
        <v>32</v>
      </c>
      <c r="J791" s="1" t="s">
        <v>42</v>
      </c>
      <c r="K791" s="1" t="s">
        <v>1021</v>
      </c>
      <c r="L791" s="17">
        <v>15.42</v>
      </c>
      <c r="M791" s="1">
        <v>1</v>
      </c>
      <c r="N791" s="1">
        <v>0</v>
      </c>
      <c r="O791" s="17">
        <v>4.1634000000000011</v>
      </c>
      <c r="P791" s="17">
        <f>('Work File (2)'!$L791*'Work File (2)'!$M791)*(1-'Work File (2)'!$N791)</f>
        <v>15.42</v>
      </c>
      <c r="Q791" s="1">
        <f>YEAR(Table2[[#This Row],[Order Date]])</f>
        <v>2017</v>
      </c>
      <c r="R791" s="18" t="str">
        <f>TEXT(Table2[[#This Row],[Order Date]],"mmm")</f>
        <v>Jun</v>
      </c>
      <c r="S791" s="18"/>
    </row>
    <row r="792" spans="1:19" x14ac:dyDescent="0.2">
      <c r="A792" s="1">
        <v>791</v>
      </c>
      <c r="B792" s="1" t="s">
        <v>1538</v>
      </c>
      <c r="C792" s="2">
        <v>42912</v>
      </c>
      <c r="D792" s="1" t="s">
        <v>36</v>
      </c>
      <c r="E792" s="1" t="s">
        <v>1044</v>
      </c>
      <c r="F792" s="1" t="s">
        <v>916</v>
      </c>
      <c r="G792" s="1" t="s">
        <v>211</v>
      </c>
      <c r="H792" s="1" t="s">
        <v>21</v>
      </c>
      <c r="I792" s="1" t="s">
        <v>32</v>
      </c>
      <c r="J792" s="1" t="s">
        <v>53</v>
      </c>
      <c r="K792" s="1" t="s">
        <v>1539</v>
      </c>
      <c r="L792" s="17">
        <v>43.04</v>
      </c>
      <c r="M792" s="1">
        <v>8</v>
      </c>
      <c r="N792" s="1">
        <v>0</v>
      </c>
      <c r="O792" s="17">
        <v>21.089600000000001</v>
      </c>
      <c r="P792" s="17">
        <f>('Work File (2)'!$L792*'Work File (2)'!$M792)*(1-'Work File (2)'!$N792)</f>
        <v>344.32</v>
      </c>
      <c r="Q792" s="1">
        <f>YEAR(Table2[[#This Row],[Order Date]])</f>
        <v>2017</v>
      </c>
      <c r="R792" s="18" t="str">
        <f>TEXT(Table2[[#This Row],[Order Date]],"mmm")</f>
        <v>Jun</v>
      </c>
      <c r="S792" s="18"/>
    </row>
    <row r="793" spans="1:19" x14ac:dyDescent="0.2">
      <c r="A793" s="1">
        <v>792</v>
      </c>
      <c r="B793" s="1" t="s">
        <v>1538</v>
      </c>
      <c r="C793" s="2">
        <v>42912</v>
      </c>
      <c r="D793" s="1" t="s">
        <v>36</v>
      </c>
      <c r="E793" s="1" t="s">
        <v>1044</v>
      </c>
      <c r="F793" s="1" t="s">
        <v>916</v>
      </c>
      <c r="G793" s="1" t="s">
        <v>211</v>
      </c>
      <c r="H793" s="1" t="s">
        <v>21</v>
      </c>
      <c r="I793" s="1" t="s">
        <v>22</v>
      </c>
      <c r="J793" s="1" t="s">
        <v>25</v>
      </c>
      <c r="K793" s="1" t="s">
        <v>1540</v>
      </c>
      <c r="L793" s="17">
        <v>332.94</v>
      </c>
      <c r="M793" s="1">
        <v>3</v>
      </c>
      <c r="N793" s="1">
        <v>0</v>
      </c>
      <c r="O793" s="17">
        <v>79.905599999999993</v>
      </c>
      <c r="P793" s="17">
        <f>('Work File (2)'!$L793*'Work File (2)'!$M793)*(1-'Work File (2)'!$N793)</f>
        <v>998.81999999999994</v>
      </c>
      <c r="Q793" s="1">
        <f>YEAR(Table2[[#This Row],[Order Date]])</f>
        <v>2017</v>
      </c>
      <c r="R793" s="18" t="str">
        <f>TEXT(Table2[[#This Row],[Order Date]],"mmm")</f>
        <v>Jun</v>
      </c>
      <c r="S793" s="18"/>
    </row>
    <row r="794" spans="1:19" x14ac:dyDescent="0.2">
      <c r="A794" s="1">
        <v>793</v>
      </c>
      <c r="B794" s="1" t="s">
        <v>1541</v>
      </c>
      <c r="C794" s="2">
        <v>43240</v>
      </c>
      <c r="D794" s="1" t="s">
        <v>808</v>
      </c>
      <c r="E794" s="1" t="s">
        <v>1542</v>
      </c>
      <c r="F794" s="1" t="s">
        <v>1543</v>
      </c>
      <c r="G794" s="1" t="s">
        <v>62</v>
      </c>
      <c r="H794" s="1" t="s">
        <v>21</v>
      </c>
      <c r="I794" s="1" t="s">
        <v>50</v>
      </c>
      <c r="J794" s="1" t="s">
        <v>51</v>
      </c>
      <c r="K794" s="1" t="s">
        <v>1544</v>
      </c>
      <c r="L794" s="17">
        <v>1363.96</v>
      </c>
      <c r="M794" s="1">
        <v>5</v>
      </c>
      <c r="N794" s="1">
        <v>0.2</v>
      </c>
      <c r="O794" s="17">
        <v>85.247500000000002</v>
      </c>
      <c r="P794" s="17">
        <f>('Work File (2)'!$L794*'Work File (2)'!$M794)*(1-'Work File (2)'!$N794)</f>
        <v>5455.84</v>
      </c>
      <c r="Q794" s="1">
        <f>YEAR(Table2[[#This Row],[Order Date]])</f>
        <v>2018</v>
      </c>
      <c r="R794" s="18" t="str">
        <f>TEXT(Table2[[#This Row],[Order Date]],"mmm")</f>
        <v>May</v>
      </c>
      <c r="S794" s="18"/>
    </row>
    <row r="795" spans="1:19" x14ac:dyDescent="0.2">
      <c r="A795" s="1">
        <v>794</v>
      </c>
      <c r="B795" s="1" t="s">
        <v>1545</v>
      </c>
      <c r="C795" s="2">
        <v>42633</v>
      </c>
      <c r="D795" s="1" t="s">
        <v>36</v>
      </c>
      <c r="E795" s="1" t="s">
        <v>1546</v>
      </c>
      <c r="F795" s="1" t="s">
        <v>89</v>
      </c>
      <c r="G795" s="1" t="s">
        <v>30</v>
      </c>
      <c r="H795" s="1" t="s">
        <v>31</v>
      </c>
      <c r="I795" s="1" t="s">
        <v>32</v>
      </c>
      <c r="J795" s="1" t="s">
        <v>33</v>
      </c>
      <c r="K795" s="1" t="s">
        <v>1547</v>
      </c>
      <c r="L795" s="17">
        <v>9.9600000000000009</v>
      </c>
      <c r="M795" s="1">
        <v>2</v>
      </c>
      <c r="N795" s="1">
        <v>0</v>
      </c>
      <c r="O795" s="17">
        <v>4.5815999999999999</v>
      </c>
      <c r="P795" s="17">
        <f>('Work File (2)'!$L795*'Work File (2)'!$M795)*(1-'Work File (2)'!$N795)</f>
        <v>19.920000000000002</v>
      </c>
      <c r="Q795" s="1">
        <f>YEAR(Table2[[#This Row],[Order Date]])</f>
        <v>2016</v>
      </c>
      <c r="R795" s="18" t="str">
        <f>TEXT(Table2[[#This Row],[Order Date]],"mmm")</f>
        <v>Sep</v>
      </c>
      <c r="S795" s="18"/>
    </row>
    <row r="796" spans="1:19" x14ac:dyDescent="0.2">
      <c r="A796" s="1">
        <v>795</v>
      </c>
      <c r="B796" s="1" t="s">
        <v>1545</v>
      </c>
      <c r="C796" s="2">
        <v>42633</v>
      </c>
      <c r="D796" s="1" t="s">
        <v>36</v>
      </c>
      <c r="E796" s="1" t="s">
        <v>1546</v>
      </c>
      <c r="F796" s="1" t="s">
        <v>89</v>
      </c>
      <c r="G796" s="1" t="s">
        <v>30</v>
      </c>
      <c r="H796" s="1" t="s">
        <v>31</v>
      </c>
      <c r="I796" s="1" t="s">
        <v>32</v>
      </c>
      <c r="J796" s="1" t="s">
        <v>63</v>
      </c>
      <c r="K796" s="1" t="s">
        <v>898</v>
      </c>
      <c r="L796" s="17">
        <v>21.72</v>
      </c>
      <c r="M796" s="1">
        <v>4</v>
      </c>
      <c r="N796" s="1">
        <v>0</v>
      </c>
      <c r="O796" s="17">
        <v>10.642799999999999</v>
      </c>
      <c r="P796" s="17">
        <f>('Work File (2)'!$L796*'Work File (2)'!$M796)*(1-'Work File (2)'!$N796)</f>
        <v>86.88</v>
      </c>
      <c r="Q796" s="1">
        <f>YEAR(Table2[[#This Row],[Order Date]])</f>
        <v>2016</v>
      </c>
      <c r="R796" s="18" t="str">
        <f>TEXT(Table2[[#This Row],[Order Date]],"mmm")</f>
        <v>Sep</v>
      </c>
      <c r="S796" s="18"/>
    </row>
    <row r="797" spans="1:19" x14ac:dyDescent="0.2">
      <c r="A797" s="1">
        <v>796</v>
      </c>
      <c r="B797" s="1" t="s">
        <v>1548</v>
      </c>
      <c r="C797" s="2">
        <v>43729</v>
      </c>
      <c r="D797" s="1" t="s">
        <v>36</v>
      </c>
      <c r="E797" s="1" t="s">
        <v>1549</v>
      </c>
      <c r="F797" s="1" t="s">
        <v>256</v>
      </c>
      <c r="G797" s="1" t="s">
        <v>154</v>
      </c>
      <c r="H797" s="1" t="s">
        <v>74</v>
      </c>
      <c r="I797" s="1" t="s">
        <v>32</v>
      </c>
      <c r="J797" s="1" t="s">
        <v>53</v>
      </c>
      <c r="K797" s="1" t="s">
        <v>1483</v>
      </c>
      <c r="L797" s="17">
        <v>20.16</v>
      </c>
      <c r="M797" s="1">
        <v>7</v>
      </c>
      <c r="N797" s="1">
        <v>0</v>
      </c>
      <c r="O797" s="17">
        <v>9.8783999999999992</v>
      </c>
      <c r="P797" s="17">
        <f>('Work File (2)'!$L797*'Work File (2)'!$M797)*(1-'Work File (2)'!$N797)</f>
        <v>141.12</v>
      </c>
      <c r="Q797" s="1">
        <f>YEAR(Table2[[#This Row],[Order Date]])</f>
        <v>2019</v>
      </c>
      <c r="R797" s="18" t="str">
        <f>TEXT(Table2[[#This Row],[Order Date]],"mmm")</f>
        <v>Sep</v>
      </c>
      <c r="S797" s="18"/>
    </row>
    <row r="798" spans="1:19" x14ac:dyDescent="0.2">
      <c r="A798" s="1">
        <v>797</v>
      </c>
      <c r="B798" s="1" t="s">
        <v>1550</v>
      </c>
      <c r="C798" s="2">
        <v>43093</v>
      </c>
      <c r="D798" s="1" t="s">
        <v>128</v>
      </c>
      <c r="E798" s="1" t="s">
        <v>578</v>
      </c>
      <c r="F798" s="1" t="s">
        <v>256</v>
      </c>
      <c r="G798" s="1" t="s">
        <v>179</v>
      </c>
      <c r="H798" s="1" t="s">
        <v>103</v>
      </c>
      <c r="I798" s="1" t="s">
        <v>32</v>
      </c>
      <c r="J798" s="1" t="s">
        <v>63</v>
      </c>
      <c r="K798" s="1" t="s">
        <v>1551</v>
      </c>
      <c r="L798" s="17">
        <v>132.79</v>
      </c>
      <c r="M798" s="1">
        <v>7</v>
      </c>
      <c r="N798" s="1">
        <v>0</v>
      </c>
      <c r="O798" s="17">
        <v>63.739199999999997</v>
      </c>
      <c r="P798" s="17">
        <f>('Work File (2)'!$L798*'Work File (2)'!$M798)*(1-'Work File (2)'!$N798)</f>
        <v>929.53</v>
      </c>
      <c r="Q798" s="1">
        <f>YEAR(Table2[[#This Row],[Order Date]])</f>
        <v>2017</v>
      </c>
      <c r="R798" s="18" t="str">
        <f>TEXT(Table2[[#This Row],[Order Date]],"mmm")</f>
        <v>Dec</v>
      </c>
      <c r="S798" s="18"/>
    </row>
    <row r="799" spans="1:19" x14ac:dyDescent="0.2">
      <c r="A799" s="1">
        <v>798</v>
      </c>
      <c r="B799" s="1" t="s">
        <v>1550</v>
      </c>
      <c r="C799" s="2">
        <v>43093</v>
      </c>
      <c r="D799" s="1" t="s">
        <v>128</v>
      </c>
      <c r="E799" s="1" t="s">
        <v>578</v>
      </c>
      <c r="F799" s="1" t="s">
        <v>256</v>
      </c>
      <c r="G799" s="1" t="s">
        <v>179</v>
      </c>
      <c r="H799" s="1" t="s">
        <v>103</v>
      </c>
      <c r="I799" s="1" t="s">
        <v>32</v>
      </c>
      <c r="J799" s="1" t="s">
        <v>63</v>
      </c>
      <c r="K799" s="1" t="s">
        <v>64</v>
      </c>
      <c r="L799" s="17">
        <v>12.96</v>
      </c>
      <c r="M799" s="1">
        <v>2</v>
      </c>
      <c r="N799" s="1">
        <v>0</v>
      </c>
      <c r="O799" s="17">
        <v>6.2208000000000006</v>
      </c>
      <c r="P799" s="17">
        <f>('Work File (2)'!$L799*'Work File (2)'!$M799)*(1-'Work File (2)'!$N799)</f>
        <v>25.92</v>
      </c>
      <c r="Q799" s="1">
        <f>YEAR(Table2[[#This Row],[Order Date]])</f>
        <v>2017</v>
      </c>
      <c r="R799" s="18" t="str">
        <f>TEXT(Table2[[#This Row],[Order Date]],"mmm")</f>
        <v>Dec</v>
      </c>
      <c r="S799" s="18"/>
    </row>
    <row r="800" spans="1:19" x14ac:dyDescent="0.2">
      <c r="A800" s="1">
        <v>799</v>
      </c>
      <c r="B800" s="1" t="s">
        <v>1550</v>
      </c>
      <c r="C800" s="2">
        <v>43093</v>
      </c>
      <c r="D800" s="1" t="s">
        <v>128</v>
      </c>
      <c r="E800" s="1" t="s">
        <v>578</v>
      </c>
      <c r="F800" s="1" t="s">
        <v>256</v>
      </c>
      <c r="G800" s="1" t="s">
        <v>179</v>
      </c>
      <c r="H800" s="1" t="s">
        <v>103</v>
      </c>
      <c r="I800" s="1" t="s">
        <v>32</v>
      </c>
      <c r="J800" s="1" t="s">
        <v>33</v>
      </c>
      <c r="K800" s="1" t="s">
        <v>1552</v>
      </c>
      <c r="L800" s="17">
        <v>21.560000000000002</v>
      </c>
      <c r="M800" s="1">
        <v>7</v>
      </c>
      <c r="N800" s="1">
        <v>0</v>
      </c>
      <c r="O800" s="17">
        <v>10.348799999999999</v>
      </c>
      <c r="P800" s="17">
        <f>('Work File (2)'!$L800*'Work File (2)'!$M800)*(1-'Work File (2)'!$N800)</f>
        <v>150.92000000000002</v>
      </c>
      <c r="Q800" s="1">
        <f>YEAR(Table2[[#This Row],[Order Date]])</f>
        <v>2017</v>
      </c>
      <c r="R800" s="18" t="str">
        <f>TEXT(Table2[[#This Row],[Order Date]],"mmm")</f>
        <v>Dec</v>
      </c>
      <c r="S800" s="18"/>
    </row>
    <row r="801" spans="1:19" x14ac:dyDescent="0.2">
      <c r="A801" s="1">
        <v>800</v>
      </c>
      <c r="B801" s="1" t="s">
        <v>1553</v>
      </c>
      <c r="C801" s="2">
        <v>43066</v>
      </c>
      <c r="D801" s="1" t="s">
        <v>36</v>
      </c>
      <c r="E801" s="1" t="s">
        <v>1554</v>
      </c>
      <c r="F801" s="1" t="s">
        <v>1555</v>
      </c>
      <c r="G801" s="1" t="s">
        <v>30</v>
      </c>
      <c r="H801" s="1" t="s">
        <v>31</v>
      </c>
      <c r="I801" s="1" t="s">
        <v>22</v>
      </c>
      <c r="J801" s="1" t="s">
        <v>25</v>
      </c>
      <c r="K801" s="1" t="s">
        <v>1146</v>
      </c>
      <c r="L801" s="17">
        <v>283.92</v>
      </c>
      <c r="M801" s="1">
        <v>5</v>
      </c>
      <c r="N801" s="1">
        <v>0.2</v>
      </c>
      <c r="O801" s="17">
        <v>17.745000000000019</v>
      </c>
      <c r="P801" s="17">
        <f>('Work File (2)'!$L801*'Work File (2)'!$M801)*(1-'Work File (2)'!$N801)</f>
        <v>1135.68</v>
      </c>
      <c r="Q801" s="1">
        <f>YEAR(Table2[[#This Row],[Order Date]])</f>
        <v>2017</v>
      </c>
      <c r="R801" s="18" t="str">
        <f>TEXT(Table2[[#This Row],[Order Date]],"mmm")</f>
        <v>Nov</v>
      </c>
      <c r="S801" s="18"/>
    </row>
    <row r="802" spans="1:19" x14ac:dyDescent="0.2">
      <c r="A802" s="1">
        <v>801</v>
      </c>
      <c r="B802" s="1" t="s">
        <v>1556</v>
      </c>
      <c r="C802" s="2">
        <v>43516</v>
      </c>
      <c r="D802" s="1" t="s">
        <v>128</v>
      </c>
      <c r="E802" s="1" t="s">
        <v>1557</v>
      </c>
      <c r="F802" s="1" t="s">
        <v>600</v>
      </c>
      <c r="G802" s="1" t="s">
        <v>30</v>
      </c>
      <c r="H802" s="1" t="s">
        <v>31</v>
      </c>
      <c r="I802" s="1" t="s">
        <v>22</v>
      </c>
      <c r="J802" s="1" t="s">
        <v>46</v>
      </c>
      <c r="K802" s="1" t="s">
        <v>1558</v>
      </c>
      <c r="L802" s="17">
        <v>22.23</v>
      </c>
      <c r="M802" s="1">
        <v>1</v>
      </c>
      <c r="N802" s="1">
        <v>0</v>
      </c>
      <c r="O802" s="17">
        <v>7.3358999999999988</v>
      </c>
      <c r="P802" s="17">
        <f>('Work File (2)'!$L802*'Work File (2)'!$M802)*(1-'Work File (2)'!$N802)</f>
        <v>22.23</v>
      </c>
      <c r="Q802" s="1">
        <f>YEAR(Table2[[#This Row],[Order Date]])</f>
        <v>2019</v>
      </c>
      <c r="R802" s="18" t="str">
        <f>TEXT(Table2[[#This Row],[Order Date]],"mmm")</f>
        <v>Feb</v>
      </c>
      <c r="S802" s="18"/>
    </row>
    <row r="803" spans="1:19" x14ac:dyDescent="0.2">
      <c r="A803" s="1">
        <v>802</v>
      </c>
      <c r="B803" s="1" t="s">
        <v>1556</v>
      </c>
      <c r="C803" s="2">
        <v>43516</v>
      </c>
      <c r="D803" s="1" t="s">
        <v>128</v>
      </c>
      <c r="E803" s="1" t="s">
        <v>1557</v>
      </c>
      <c r="F803" s="1" t="s">
        <v>600</v>
      </c>
      <c r="G803" s="1" t="s">
        <v>30</v>
      </c>
      <c r="H803" s="1" t="s">
        <v>31</v>
      </c>
      <c r="I803" s="1" t="s">
        <v>50</v>
      </c>
      <c r="J803" s="1" t="s">
        <v>51</v>
      </c>
      <c r="K803" s="1" t="s">
        <v>609</v>
      </c>
      <c r="L803" s="17">
        <v>215.96799999999999</v>
      </c>
      <c r="M803" s="1">
        <v>2</v>
      </c>
      <c r="N803" s="1">
        <v>0.2</v>
      </c>
      <c r="O803" s="17">
        <v>18.897199999999991</v>
      </c>
      <c r="P803" s="17">
        <f>('Work File (2)'!$L803*'Work File (2)'!$M803)*(1-'Work File (2)'!$N803)</f>
        <v>345.54880000000003</v>
      </c>
      <c r="Q803" s="1">
        <f>YEAR(Table2[[#This Row],[Order Date]])</f>
        <v>2019</v>
      </c>
      <c r="R803" s="18" t="str">
        <f>TEXT(Table2[[#This Row],[Order Date]],"mmm")</f>
        <v>Feb</v>
      </c>
      <c r="S803" s="18"/>
    </row>
    <row r="804" spans="1:19" x14ac:dyDescent="0.2">
      <c r="A804" s="1">
        <v>803</v>
      </c>
      <c r="B804" s="1" t="s">
        <v>1559</v>
      </c>
      <c r="C804" s="2">
        <v>43330</v>
      </c>
      <c r="D804" s="1" t="s">
        <v>17</v>
      </c>
      <c r="E804" s="1" t="s">
        <v>1557</v>
      </c>
      <c r="F804" s="1" t="s">
        <v>178</v>
      </c>
      <c r="G804" s="1" t="s">
        <v>179</v>
      </c>
      <c r="H804" s="1" t="s">
        <v>103</v>
      </c>
      <c r="I804" s="1" t="s">
        <v>32</v>
      </c>
      <c r="J804" s="1" t="s">
        <v>55</v>
      </c>
      <c r="K804" s="1" t="s">
        <v>1560</v>
      </c>
      <c r="L804" s="17">
        <v>355.32</v>
      </c>
      <c r="M804" s="1">
        <v>9</v>
      </c>
      <c r="N804" s="1">
        <v>0</v>
      </c>
      <c r="O804" s="17">
        <v>99.48960000000001</v>
      </c>
      <c r="P804" s="17">
        <f>('Work File (2)'!$L804*'Work File (2)'!$M804)*(1-'Work File (2)'!$N804)</f>
        <v>3197.88</v>
      </c>
      <c r="Q804" s="1">
        <f>YEAR(Table2[[#This Row],[Order Date]])</f>
        <v>2018</v>
      </c>
      <c r="R804" s="18" t="str">
        <f>TEXT(Table2[[#This Row],[Order Date]],"mmm")</f>
        <v>Aug</v>
      </c>
      <c r="S804" s="18"/>
    </row>
    <row r="805" spans="1:19" x14ac:dyDescent="0.2">
      <c r="A805" s="1">
        <v>804</v>
      </c>
      <c r="B805" s="1" t="s">
        <v>1561</v>
      </c>
      <c r="C805" s="2">
        <v>43171</v>
      </c>
      <c r="D805" s="1" t="s">
        <v>36</v>
      </c>
      <c r="E805" s="1" t="s">
        <v>1562</v>
      </c>
      <c r="F805" s="1" t="s">
        <v>470</v>
      </c>
      <c r="G805" s="1" t="s">
        <v>471</v>
      </c>
      <c r="H805" s="1" t="s">
        <v>21</v>
      </c>
      <c r="I805" s="1" t="s">
        <v>32</v>
      </c>
      <c r="J805" s="1" t="s">
        <v>63</v>
      </c>
      <c r="K805" s="1" t="s">
        <v>1563</v>
      </c>
      <c r="L805" s="17">
        <v>12.96</v>
      </c>
      <c r="M805" s="1">
        <v>2</v>
      </c>
      <c r="N805" s="1">
        <v>0</v>
      </c>
      <c r="O805" s="17">
        <v>6.2208000000000006</v>
      </c>
      <c r="P805" s="17">
        <f>('Work File (2)'!$L805*'Work File (2)'!$M805)*(1-'Work File (2)'!$N805)</f>
        <v>25.92</v>
      </c>
      <c r="Q805" s="1">
        <f>YEAR(Table2[[#This Row],[Order Date]])</f>
        <v>2018</v>
      </c>
      <c r="R805" s="18" t="str">
        <f>TEXT(Table2[[#This Row],[Order Date]],"mmm")</f>
        <v>Mar</v>
      </c>
      <c r="S805" s="18"/>
    </row>
    <row r="806" spans="1:19" x14ac:dyDescent="0.2">
      <c r="A806" s="1">
        <v>805</v>
      </c>
      <c r="B806" s="1" t="s">
        <v>1564</v>
      </c>
      <c r="C806" s="2">
        <v>43577</v>
      </c>
      <c r="D806" s="1" t="s">
        <v>128</v>
      </c>
      <c r="E806" s="1" t="s">
        <v>1565</v>
      </c>
      <c r="F806" s="1" t="s">
        <v>89</v>
      </c>
      <c r="G806" s="1" t="s">
        <v>30</v>
      </c>
      <c r="H806" s="1" t="s">
        <v>31</v>
      </c>
      <c r="I806" s="1" t="s">
        <v>22</v>
      </c>
      <c r="J806" s="1" t="s">
        <v>46</v>
      </c>
      <c r="K806" s="1" t="s">
        <v>1566</v>
      </c>
      <c r="L806" s="17">
        <v>18.28</v>
      </c>
      <c r="M806" s="1">
        <v>2</v>
      </c>
      <c r="N806" s="1">
        <v>0</v>
      </c>
      <c r="O806" s="17">
        <v>6.2151999999999994</v>
      </c>
      <c r="P806" s="17">
        <f>('Work File (2)'!$L806*'Work File (2)'!$M806)*(1-'Work File (2)'!$N806)</f>
        <v>36.56</v>
      </c>
      <c r="Q806" s="1">
        <f>YEAR(Table2[[#This Row],[Order Date]])</f>
        <v>2019</v>
      </c>
      <c r="R806" s="18" t="str">
        <f>TEXT(Table2[[#This Row],[Order Date]],"mmm")</f>
        <v>Apr</v>
      </c>
      <c r="S806" s="18"/>
    </row>
    <row r="807" spans="1:19" x14ac:dyDescent="0.2">
      <c r="A807" s="1">
        <v>806</v>
      </c>
      <c r="B807" s="1" t="s">
        <v>1567</v>
      </c>
      <c r="C807" s="2">
        <v>42675</v>
      </c>
      <c r="D807" s="1" t="s">
        <v>36</v>
      </c>
      <c r="E807" s="1" t="s">
        <v>833</v>
      </c>
      <c r="F807" s="1" t="s">
        <v>516</v>
      </c>
      <c r="G807" s="1" t="s">
        <v>298</v>
      </c>
      <c r="H807" s="1" t="s">
        <v>31</v>
      </c>
      <c r="I807" s="1" t="s">
        <v>32</v>
      </c>
      <c r="J807" s="1" t="s">
        <v>48</v>
      </c>
      <c r="K807" s="1" t="s">
        <v>1568</v>
      </c>
      <c r="L807" s="17">
        <v>43.176000000000002</v>
      </c>
      <c r="M807" s="1">
        <v>3</v>
      </c>
      <c r="N807" s="1">
        <v>0.2</v>
      </c>
      <c r="O807" s="17">
        <v>4.3176000000000005</v>
      </c>
      <c r="P807" s="17">
        <f>('Work File (2)'!$L807*'Work File (2)'!$M807)*(1-'Work File (2)'!$N807)</f>
        <v>103.62240000000003</v>
      </c>
      <c r="Q807" s="1">
        <f>YEAR(Table2[[#This Row],[Order Date]])</f>
        <v>2016</v>
      </c>
      <c r="R807" s="18" t="str">
        <f>TEXT(Table2[[#This Row],[Order Date]],"mmm")</f>
        <v>Nov</v>
      </c>
      <c r="S807" s="18"/>
    </row>
    <row r="808" spans="1:19" x14ac:dyDescent="0.2">
      <c r="A808" s="1">
        <v>807</v>
      </c>
      <c r="B808" s="1" t="s">
        <v>1567</v>
      </c>
      <c r="C808" s="2">
        <v>42675</v>
      </c>
      <c r="D808" s="1" t="s">
        <v>36</v>
      </c>
      <c r="E808" s="1" t="s">
        <v>833</v>
      </c>
      <c r="F808" s="1" t="s">
        <v>516</v>
      </c>
      <c r="G808" s="1" t="s">
        <v>298</v>
      </c>
      <c r="H808" s="1" t="s">
        <v>31</v>
      </c>
      <c r="I808" s="1" t="s">
        <v>50</v>
      </c>
      <c r="J808" s="1" t="s">
        <v>51</v>
      </c>
      <c r="K808" s="1" t="s">
        <v>1569</v>
      </c>
      <c r="L808" s="17">
        <v>1983.9680000000001</v>
      </c>
      <c r="M808" s="1">
        <v>4</v>
      </c>
      <c r="N808" s="1">
        <v>0.2</v>
      </c>
      <c r="O808" s="17">
        <v>247.99599999999981</v>
      </c>
      <c r="P808" s="17">
        <f>('Work File (2)'!$L808*'Work File (2)'!$M808)*(1-'Work File (2)'!$N808)</f>
        <v>6348.6976000000004</v>
      </c>
      <c r="Q808" s="1">
        <f>YEAR(Table2[[#This Row],[Order Date]])</f>
        <v>2016</v>
      </c>
      <c r="R808" s="18" t="str">
        <f>TEXT(Table2[[#This Row],[Order Date]],"mmm")</f>
        <v>Nov</v>
      </c>
      <c r="S808" s="18"/>
    </row>
    <row r="809" spans="1:19" x14ac:dyDescent="0.2">
      <c r="A809" s="1">
        <v>808</v>
      </c>
      <c r="B809" s="1" t="s">
        <v>1570</v>
      </c>
      <c r="C809" s="2">
        <v>42769</v>
      </c>
      <c r="D809" s="1" t="s">
        <v>128</v>
      </c>
      <c r="E809" s="1" t="s">
        <v>1135</v>
      </c>
      <c r="F809" s="1" t="s">
        <v>1571</v>
      </c>
      <c r="G809" s="1" t="s">
        <v>96</v>
      </c>
      <c r="H809" s="1" t="s">
        <v>74</v>
      </c>
      <c r="I809" s="1" t="s">
        <v>22</v>
      </c>
      <c r="J809" s="1" t="s">
        <v>46</v>
      </c>
      <c r="K809" s="1" t="s">
        <v>935</v>
      </c>
      <c r="L809" s="17">
        <v>28.4</v>
      </c>
      <c r="M809" s="1">
        <v>2</v>
      </c>
      <c r="N809" s="1">
        <v>0</v>
      </c>
      <c r="O809" s="17">
        <v>11.076000000000001</v>
      </c>
      <c r="P809" s="17">
        <f>('Work File (2)'!$L809*'Work File (2)'!$M809)*(1-'Work File (2)'!$N809)</f>
        <v>56.8</v>
      </c>
      <c r="Q809" s="1">
        <f>YEAR(Table2[[#This Row],[Order Date]])</f>
        <v>2017</v>
      </c>
      <c r="R809" s="18" t="str">
        <f>TEXT(Table2[[#This Row],[Order Date]],"mmm")</f>
        <v>Feb</v>
      </c>
      <c r="S809" s="18"/>
    </row>
    <row r="810" spans="1:19" x14ac:dyDescent="0.2">
      <c r="A810" s="1">
        <v>809</v>
      </c>
      <c r="B810" s="1" t="s">
        <v>1570</v>
      </c>
      <c r="C810" s="2">
        <v>42769</v>
      </c>
      <c r="D810" s="1" t="s">
        <v>128</v>
      </c>
      <c r="E810" s="1" t="s">
        <v>1135</v>
      </c>
      <c r="F810" s="1" t="s">
        <v>1571</v>
      </c>
      <c r="G810" s="1" t="s">
        <v>96</v>
      </c>
      <c r="H810" s="1" t="s">
        <v>74</v>
      </c>
      <c r="I810" s="1" t="s">
        <v>50</v>
      </c>
      <c r="J810" s="1" t="s">
        <v>111</v>
      </c>
      <c r="K810" s="1" t="s">
        <v>1572</v>
      </c>
      <c r="L810" s="17">
        <v>149.97</v>
      </c>
      <c r="M810" s="1">
        <v>3</v>
      </c>
      <c r="N810" s="1">
        <v>0</v>
      </c>
      <c r="O810" s="17">
        <v>50.989800000000002</v>
      </c>
      <c r="P810" s="17">
        <f>('Work File (2)'!$L810*'Work File (2)'!$M810)*(1-'Work File (2)'!$N810)</f>
        <v>449.90999999999997</v>
      </c>
      <c r="Q810" s="1">
        <f>YEAR(Table2[[#This Row],[Order Date]])</f>
        <v>2017</v>
      </c>
      <c r="R810" s="18" t="str">
        <f>TEXT(Table2[[#This Row],[Order Date]],"mmm")</f>
        <v>Feb</v>
      </c>
      <c r="S810" s="18"/>
    </row>
    <row r="811" spans="1:19" x14ac:dyDescent="0.2">
      <c r="A811" s="1">
        <v>810</v>
      </c>
      <c r="B811" s="1" t="s">
        <v>1573</v>
      </c>
      <c r="C811" s="2">
        <v>42656</v>
      </c>
      <c r="D811" s="1" t="s">
        <v>128</v>
      </c>
      <c r="E811" s="1" t="s">
        <v>1227</v>
      </c>
      <c r="F811" s="1" t="s">
        <v>1574</v>
      </c>
      <c r="G811" s="1" t="s">
        <v>68</v>
      </c>
      <c r="H811" s="1" t="s">
        <v>31</v>
      </c>
      <c r="I811" s="1" t="s">
        <v>32</v>
      </c>
      <c r="J811" s="1" t="s">
        <v>48</v>
      </c>
      <c r="K811" s="1" t="s">
        <v>1575</v>
      </c>
      <c r="L811" s="17">
        <v>11.52</v>
      </c>
      <c r="M811" s="1">
        <v>4</v>
      </c>
      <c r="N811" s="1">
        <v>0</v>
      </c>
      <c r="O811" s="17">
        <v>3.2256</v>
      </c>
      <c r="P811" s="17">
        <f>('Work File (2)'!$L811*'Work File (2)'!$M811)*(1-'Work File (2)'!$N811)</f>
        <v>46.08</v>
      </c>
      <c r="Q811" s="1">
        <f>YEAR(Table2[[#This Row],[Order Date]])</f>
        <v>2016</v>
      </c>
      <c r="R811" s="18" t="str">
        <f>TEXT(Table2[[#This Row],[Order Date]],"mmm")</f>
        <v>Oct</v>
      </c>
      <c r="S811" s="18"/>
    </row>
    <row r="812" spans="1:19" x14ac:dyDescent="0.2">
      <c r="A812" s="1">
        <v>811</v>
      </c>
      <c r="B812" s="1" t="s">
        <v>1573</v>
      </c>
      <c r="C812" s="2">
        <v>42656</v>
      </c>
      <c r="D812" s="1" t="s">
        <v>128</v>
      </c>
      <c r="E812" s="1" t="s">
        <v>1227</v>
      </c>
      <c r="F812" s="1" t="s">
        <v>1574</v>
      </c>
      <c r="G812" s="1" t="s">
        <v>68</v>
      </c>
      <c r="H812" s="1" t="s">
        <v>31</v>
      </c>
      <c r="I812" s="1" t="s">
        <v>22</v>
      </c>
      <c r="J812" s="1" t="s">
        <v>40</v>
      </c>
      <c r="K812" s="1" t="s">
        <v>663</v>
      </c>
      <c r="L812" s="17">
        <v>1298.55</v>
      </c>
      <c r="M812" s="1">
        <v>5</v>
      </c>
      <c r="N812" s="1">
        <v>0</v>
      </c>
      <c r="O812" s="17">
        <v>311.65199999999999</v>
      </c>
      <c r="P812" s="17">
        <f>('Work File (2)'!$L812*'Work File (2)'!$M812)*(1-'Work File (2)'!$N812)</f>
        <v>6492.75</v>
      </c>
      <c r="Q812" s="1">
        <f>YEAR(Table2[[#This Row],[Order Date]])</f>
        <v>2016</v>
      </c>
      <c r="R812" s="18" t="str">
        <f>TEXT(Table2[[#This Row],[Order Date]],"mmm")</f>
        <v>Oct</v>
      </c>
      <c r="S812" s="18"/>
    </row>
    <row r="813" spans="1:19" x14ac:dyDescent="0.2">
      <c r="A813" s="1">
        <v>812</v>
      </c>
      <c r="B813" s="1" t="s">
        <v>1573</v>
      </c>
      <c r="C813" s="2">
        <v>42656</v>
      </c>
      <c r="D813" s="1" t="s">
        <v>128</v>
      </c>
      <c r="E813" s="1" t="s">
        <v>1227</v>
      </c>
      <c r="F813" s="1" t="s">
        <v>1574</v>
      </c>
      <c r="G813" s="1" t="s">
        <v>68</v>
      </c>
      <c r="H813" s="1" t="s">
        <v>31</v>
      </c>
      <c r="I813" s="1" t="s">
        <v>32</v>
      </c>
      <c r="J813" s="1" t="s">
        <v>55</v>
      </c>
      <c r="K813" s="1" t="s">
        <v>1576</v>
      </c>
      <c r="L813" s="17">
        <v>213.92</v>
      </c>
      <c r="M813" s="1">
        <v>4</v>
      </c>
      <c r="N813" s="1">
        <v>0</v>
      </c>
      <c r="O813" s="17">
        <v>62.036799999999971</v>
      </c>
      <c r="P813" s="17">
        <f>('Work File (2)'!$L813*'Work File (2)'!$M813)*(1-'Work File (2)'!$N813)</f>
        <v>855.68</v>
      </c>
      <c r="Q813" s="1">
        <f>YEAR(Table2[[#This Row],[Order Date]])</f>
        <v>2016</v>
      </c>
      <c r="R813" s="18" t="str">
        <f>TEXT(Table2[[#This Row],[Order Date]],"mmm")</f>
        <v>Oct</v>
      </c>
      <c r="S813" s="18"/>
    </row>
    <row r="814" spans="1:19" x14ac:dyDescent="0.2">
      <c r="A814" s="1">
        <v>813</v>
      </c>
      <c r="B814" s="1" t="s">
        <v>1573</v>
      </c>
      <c r="C814" s="2">
        <v>42656</v>
      </c>
      <c r="D814" s="1" t="s">
        <v>128</v>
      </c>
      <c r="E814" s="1" t="s">
        <v>1227</v>
      </c>
      <c r="F814" s="1" t="s">
        <v>1574</v>
      </c>
      <c r="G814" s="1" t="s">
        <v>68</v>
      </c>
      <c r="H814" s="1" t="s">
        <v>31</v>
      </c>
      <c r="I814" s="1" t="s">
        <v>50</v>
      </c>
      <c r="J814" s="1" t="s">
        <v>111</v>
      </c>
      <c r="K814" s="1" t="s">
        <v>1334</v>
      </c>
      <c r="L814" s="17">
        <v>25.78</v>
      </c>
      <c r="M814" s="1">
        <v>2</v>
      </c>
      <c r="N814" s="1">
        <v>0</v>
      </c>
      <c r="O814" s="17">
        <v>2.5779999999999994</v>
      </c>
      <c r="P814" s="17">
        <f>('Work File (2)'!$L814*'Work File (2)'!$M814)*(1-'Work File (2)'!$N814)</f>
        <v>51.56</v>
      </c>
      <c r="Q814" s="1">
        <f>YEAR(Table2[[#This Row],[Order Date]])</f>
        <v>2016</v>
      </c>
      <c r="R814" s="18" t="str">
        <f>TEXT(Table2[[#This Row],[Order Date]],"mmm")</f>
        <v>Oct</v>
      </c>
      <c r="S814" s="18"/>
    </row>
    <row r="815" spans="1:19" x14ac:dyDescent="0.2">
      <c r="A815" s="1">
        <v>814</v>
      </c>
      <c r="B815" s="1" t="s">
        <v>1577</v>
      </c>
      <c r="C815" s="2">
        <v>43599</v>
      </c>
      <c r="D815" s="1" t="s">
        <v>808</v>
      </c>
      <c r="E815" s="1" t="s">
        <v>1578</v>
      </c>
      <c r="F815" s="1" t="s">
        <v>1579</v>
      </c>
      <c r="G815" s="1" t="s">
        <v>30</v>
      </c>
      <c r="H815" s="1" t="s">
        <v>31</v>
      </c>
      <c r="I815" s="1" t="s">
        <v>22</v>
      </c>
      <c r="J815" s="1" t="s">
        <v>46</v>
      </c>
      <c r="K815" s="1" t="s">
        <v>1566</v>
      </c>
      <c r="L815" s="17">
        <v>18.28</v>
      </c>
      <c r="M815" s="1">
        <v>2</v>
      </c>
      <c r="N815" s="1">
        <v>0</v>
      </c>
      <c r="O815" s="17">
        <v>6.2151999999999994</v>
      </c>
      <c r="P815" s="17">
        <f>('Work File (2)'!$L815*'Work File (2)'!$M815)*(1-'Work File (2)'!$N815)</f>
        <v>36.56</v>
      </c>
      <c r="Q815" s="1">
        <f>YEAR(Table2[[#This Row],[Order Date]])</f>
        <v>2019</v>
      </c>
      <c r="R815" s="18" t="str">
        <f>TEXT(Table2[[#This Row],[Order Date]],"mmm")</f>
        <v>May</v>
      </c>
      <c r="S815" s="18"/>
    </row>
    <row r="816" spans="1:19" x14ac:dyDescent="0.2">
      <c r="A816" s="1">
        <v>815</v>
      </c>
      <c r="B816" s="1" t="s">
        <v>1577</v>
      </c>
      <c r="C816" s="2">
        <v>43599</v>
      </c>
      <c r="D816" s="1" t="s">
        <v>808</v>
      </c>
      <c r="E816" s="1" t="s">
        <v>1578</v>
      </c>
      <c r="F816" s="1" t="s">
        <v>1579</v>
      </c>
      <c r="G816" s="1" t="s">
        <v>30</v>
      </c>
      <c r="H816" s="1" t="s">
        <v>31</v>
      </c>
      <c r="I816" s="1" t="s">
        <v>50</v>
      </c>
      <c r="J816" s="1" t="s">
        <v>111</v>
      </c>
      <c r="K816" s="1" t="s">
        <v>1580</v>
      </c>
      <c r="L816" s="17">
        <v>1399.93</v>
      </c>
      <c r="M816" s="1">
        <v>7</v>
      </c>
      <c r="N816" s="1">
        <v>0</v>
      </c>
      <c r="O816" s="17">
        <v>601.96990000000005</v>
      </c>
      <c r="P816" s="17">
        <f>('Work File (2)'!$L816*'Work File (2)'!$M816)*(1-'Work File (2)'!$N816)</f>
        <v>9799.51</v>
      </c>
      <c r="Q816" s="1">
        <f>YEAR(Table2[[#This Row],[Order Date]])</f>
        <v>2019</v>
      </c>
      <c r="R816" s="18" t="str">
        <f>TEXT(Table2[[#This Row],[Order Date]],"mmm")</f>
        <v>May</v>
      </c>
      <c r="S816" s="18"/>
    </row>
    <row r="817" spans="1:19" x14ac:dyDescent="0.2">
      <c r="A817" s="1">
        <v>816</v>
      </c>
      <c r="B817" s="1" t="s">
        <v>1581</v>
      </c>
      <c r="C817" s="2">
        <v>42814</v>
      </c>
      <c r="D817" s="1" t="s">
        <v>128</v>
      </c>
      <c r="E817" s="1" t="s">
        <v>1582</v>
      </c>
      <c r="F817" s="1" t="s">
        <v>1583</v>
      </c>
      <c r="G817" s="1" t="s">
        <v>80</v>
      </c>
      <c r="H817" s="1" t="s">
        <v>74</v>
      </c>
      <c r="I817" s="1" t="s">
        <v>32</v>
      </c>
      <c r="J817" s="1" t="s">
        <v>63</v>
      </c>
      <c r="K817" s="1" t="s">
        <v>491</v>
      </c>
      <c r="L817" s="17">
        <v>51.84</v>
      </c>
      <c r="M817" s="1">
        <v>8</v>
      </c>
      <c r="N817" s="1">
        <v>0</v>
      </c>
      <c r="O817" s="17">
        <v>24.883200000000002</v>
      </c>
      <c r="P817" s="17">
        <f>('Work File (2)'!$L817*'Work File (2)'!$M817)*(1-'Work File (2)'!$N817)</f>
        <v>414.72</v>
      </c>
      <c r="Q817" s="1">
        <f>YEAR(Table2[[#This Row],[Order Date]])</f>
        <v>2017</v>
      </c>
      <c r="R817" s="18" t="str">
        <f>TEXT(Table2[[#This Row],[Order Date]],"mmm")</f>
        <v>Mar</v>
      </c>
      <c r="S817" s="18"/>
    </row>
    <row r="818" spans="1:19" x14ac:dyDescent="0.2">
      <c r="A818" s="1">
        <v>817</v>
      </c>
      <c r="B818" s="1" t="s">
        <v>1584</v>
      </c>
      <c r="C818" s="2">
        <v>43358</v>
      </c>
      <c r="D818" s="1" t="s">
        <v>36</v>
      </c>
      <c r="E818" s="1" t="s">
        <v>1105</v>
      </c>
      <c r="F818" s="1" t="s">
        <v>101</v>
      </c>
      <c r="G818" s="1" t="s">
        <v>102</v>
      </c>
      <c r="H818" s="1" t="s">
        <v>103</v>
      </c>
      <c r="I818" s="1" t="s">
        <v>32</v>
      </c>
      <c r="J818" s="1" t="s">
        <v>63</v>
      </c>
      <c r="K818" s="1" t="s">
        <v>1585</v>
      </c>
      <c r="L818" s="17">
        <v>5.3440000000000003</v>
      </c>
      <c r="M818" s="1">
        <v>1</v>
      </c>
      <c r="N818" s="1">
        <v>0.2</v>
      </c>
      <c r="O818" s="17">
        <v>1.8703999999999998</v>
      </c>
      <c r="P818" s="17">
        <f>('Work File (2)'!$L818*'Work File (2)'!$M818)*(1-'Work File (2)'!$N818)</f>
        <v>4.2752000000000008</v>
      </c>
      <c r="Q818" s="1">
        <f>YEAR(Table2[[#This Row],[Order Date]])</f>
        <v>2018</v>
      </c>
      <c r="R818" s="18" t="str">
        <f>TEXT(Table2[[#This Row],[Order Date]],"mmm")</f>
        <v>Sep</v>
      </c>
      <c r="S818" s="18"/>
    </row>
    <row r="819" spans="1:19" x14ac:dyDescent="0.2">
      <c r="A819" s="1">
        <v>818</v>
      </c>
      <c r="B819" s="1" t="s">
        <v>1586</v>
      </c>
      <c r="C819" s="2">
        <v>42549</v>
      </c>
      <c r="D819" s="1" t="s">
        <v>36</v>
      </c>
      <c r="E819" s="1" t="s">
        <v>1187</v>
      </c>
      <c r="F819" s="1" t="s">
        <v>101</v>
      </c>
      <c r="G819" s="1" t="s">
        <v>102</v>
      </c>
      <c r="H819" s="1" t="s">
        <v>103</v>
      </c>
      <c r="I819" s="1" t="s">
        <v>32</v>
      </c>
      <c r="J819" s="1" t="s">
        <v>63</v>
      </c>
      <c r="K819" s="1" t="s">
        <v>265</v>
      </c>
      <c r="L819" s="17">
        <v>41.472000000000008</v>
      </c>
      <c r="M819" s="1">
        <v>8</v>
      </c>
      <c r="N819" s="1">
        <v>0.2</v>
      </c>
      <c r="O819" s="17">
        <v>14.5152</v>
      </c>
      <c r="P819" s="17">
        <f>('Work File (2)'!$L819*'Work File (2)'!$M819)*(1-'Work File (2)'!$N819)</f>
        <v>265.42080000000004</v>
      </c>
      <c r="Q819" s="1">
        <f>YEAR(Table2[[#This Row],[Order Date]])</f>
        <v>2016</v>
      </c>
      <c r="R819" s="18" t="str">
        <f>TEXT(Table2[[#This Row],[Order Date]],"mmm")</f>
        <v>Jun</v>
      </c>
      <c r="S819" s="18"/>
    </row>
    <row r="820" spans="1:19" x14ac:dyDescent="0.2">
      <c r="A820" s="1">
        <v>819</v>
      </c>
      <c r="B820" s="1" t="s">
        <v>1586</v>
      </c>
      <c r="C820" s="2">
        <v>42549</v>
      </c>
      <c r="D820" s="1" t="s">
        <v>36</v>
      </c>
      <c r="E820" s="1" t="s">
        <v>1187</v>
      </c>
      <c r="F820" s="1" t="s">
        <v>101</v>
      </c>
      <c r="G820" s="1" t="s">
        <v>102</v>
      </c>
      <c r="H820" s="1" t="s">
        <v>103</v>
      </c>
      <c r="I820" s="1" t="s">
        <v>32</v>
      </c>
      <c r="J820" s="1" t="s">
        <v>53</v>
      </c>
      <c r="K820" s="1" t="s">
        <v>1587</v>
      </c>
      <c r="L820" s="17">
        <v>3.168000000000001</v>
      </c>
      <c r="M820" s="1">
        <v>3</v>
      </c>
      <c r="N820" s="1">
        <v>0.7</v>
      </c>
      <c r="O820" s="17">
        <v>-2.4287999999999998</v>
      </c>
      <c r="P820" s="17">
        <f>('Work File (2)'!$L820*'Work File (2)'!$M820)*(1-'Work File (2)'!$N820)</f>
        <v>2.8512000000000013</v>
      </c>
      <c r="Q820" s="1">
        <f>YEAR(Table2[[#This Row],[Order Date]])</f>
        <v>2016</v>
      </c>
      <c r="R820" s="18" t="str">
        <f>TEXT(Table2[[#This Row],[Order Date]],"mmm")</f>
        <v>Jun</v>
      </c>
      <c r="S820" s="18"/>
    </row>
    <row r="821" spans="1:19" x14ac:dyDescent="0.2">
      <c r="A821" s="1">
        <v>820</v>
      </c>
      <c r="B821" s="1" t="s">
        <v>1586</v>
      </c>
      <c r="C821" s="2">
        <v>42549</v>
      </c>
      <c r="D821" s="1" t="s">
        <v>36</v>
      </c>
      <c r="E821" s="1" t="s">
        <v>1187</v>
      </c>
      <c r="F821" s="1" t="s">
        <v>101</v>
      </c>
      <c r="G821" s="1" t="s">
        <v>102</v>
      </c>
      <c r="H821" s="1" t="s">
        <v>103</v>
      </c>
      <c r="I821" s="1" t="s">
        <v>22</v>
      </c>
      <c r="J821" s="1" t="s">
        <v>25</v>
      </c>
      <c r="K821" s="1" t="s">
        <v>1588</v>
      </c>
      <c r="L821" s="17">
        <v>1228.4649999999999</v>
      </c>
      <c r="M821" s="1">
        <v>5</v>
      </c>
      <c r="N821" s="1">
        <v>0.3</v>
      </c>
      <c r="O821" s="17">
        <v>0</v>
      </c>
      <c r="P821" s="17">
        <f>('Work File (2)'!$L821*'Work File (2)'!$M821)*(1-'Work File (2)'!$N821)</f>
        <v>4299.6274999999996</v>
      </c>
      <c r="Q821" s="1">
        <f>YEAR(Table2[[#This Row],[Order Date]])</f>
        <v>2016</v>
      </c>
      <c r="R821" s="18" t="str">
        <f>TEXT(Table2[[#This Row],[Order Date]],"mmm")</f>
        <v>Jun</v>
      </c>
      <c r="S821" s="18"/>
    </row>
    <row r="822" spans="1:19" x14ac:dyDescent="0.2">
      <c r="A822" s="1">
        <v>821</v>
      </c>
      <c r="B822" s="1" t="s">
        <v>1586</v>
      </c>
      <c r="C822" s="2">
        <v>42549</v>
      </c>
      <c r="D822" s="1" t="s">
        <v>36</v>
      </c>
      <c r="E822" s="1" t="s">
        <v>1187</v>
      </c>
      <c r="F822" s="1" t="s">
        <v>101</v>
      </c>
      <c r="G822" s="1" t="s">
        <v>102</v>
      </c>
      <c r="H822" s="1" t="s">
        <v>103</v>
      </c>
      <c r="I822" s="1" t="s">
        <v>32</v>
      </c>
      <c r="J822" s="1" t="s">
        <v>53</v>
      </c>
      <c r="K822" s="1" t="s">
        <v>1589</v>
      </c>
      <c r="L822" s="17">
        <v>31.086000000000006</v>
      </c>
      <c r="M822" s="1">
        <v>3</v>
      </c>
      <c r="N822" s="1">
        <v>0.7</v>
      </c>
      <c r="O822" s="17">
        <v>-22.796399999999991</v>
      </c>
      <c r="P822" s="17">
        <f>('Work File (2)'!$L822*'Work File (2)'!$M822)*(1-'Work File (2)'!$N822)</f>
        <v>27.977400000000006</v>
      </c>
      <c r="Q822" s="1">
        <f>YEAR(Table2[[#This Row],[Order Date]])</f>
        <v>2016</v>
      </c>
      <c r="R822" s="18" t="str">
        <f>TEXT(Table2[[#This Row],[Order Date]],"mmm")</f>
        <v>Jun</v>
      </c>
      <c r="S822" s="18"/>
    </row>
    <row r="823" spans="1:19" x14ac:dyDescent="0.2">
      <c r="A823" s="1">
        <v>822</v>
      </c>
      <c r="B823" s="1" t="s">
        <v>1586</v>
      </c>
      <c r="C823" s="2">
        <v>42549</v>
      </c>
      <c r="D823" s="1" t="s">
        <v>36</v>
      </c>
      <c r="E823" s="1" t="s">
        <v>1187</v>
      </c>
      <c r="F823" s="1" t="s">
        <v>101</v>
      </c>
      <c r="G823" s="1" t="s">
        <v>102</v>
      </c>
      <c r="H823" s="1" t="s">
        <v>103</v>
      </c>
      <c r="I823" s="1" t="s">
        <v>32</v>
      </c>
      <c r="J823" s="1" t="s">
        <v>63</v>
      </c>
      <c r="K823" s="1" t="s">
        <v>1590</v>
      </c>
      <c r="L823" s="17">
        <v>335.52</v>
      </c>
      <c r="M823" s="1">
        <v>4</v>
      </c>
      <c r="N823" s="1">
        <v>0.2</v>
      </c>
      <c r="O823" s="17">
        <v>117.43199999999999</v>
      </c>
      <c r="P823" s="17">
        <f>('Work File (2)'!$L823*'Work File (2)'!$M823)*(1-'Work File (2)'!$N823)</f>
        <v>1073.664</v>
      </c>
      <c r="Q823" s="1">
        <f>YEAR(Table2[[#This Row],[Order Date]])</f>
        <v>2016</v>
      </c>
      <c r="R823" s="18" t="str">
        <f>TEXT(Table2[[#This Row],[Order Date]],"mmm")</f>
        <v>Jun</v>
      </c>
      <c r="S823" s="18"/>
    </row>
    <row r="824" spans="1:19" x14ac:dyDescent="0.2">
      <c r="A824" s="1">
        <v>823</v>
      </c>
      <c r="B824" s="1" t="s">
        <v>1591</v>
      </c>
      <c r="C824" s="2">
        <v>43636</v>
      </c>
      <c r="D824" s="1" t="s">
        <v>36</v>
      </c>
      <c r="E824" s="1" t="s">
        <v>1592</v>
      </c>
      <c r="F824" s="1" t="s">
        <v>687</v>
      </c>
      <c r="G824" s="1" t="s">
        <v>504</v>
      </c>
      <c r="H824" s="1" t="s">
        <v>103</v>
      </c>
      <c r="I824" s="1" t="s">
        <v>50</v>
      </c>
      <c r="J824" s="1" t="s">
        <v>111</v>
      </c>
      <c r="K824" s="1" t="s">
        <v>1593</v>
      </c>
      <c r="L824" s="17">
        <v>239.96999999999997</v>
      </c>
      <c r="M824" s="1">
        <v>3</v>
      </c>
      <c r="N824" s="1">
        <v>0</v>
      </c>
      <c r="O824" s="17">
        <v>71.990999999999985</v>
      </c>
      <c r="P824" s="17">
        <f>('Work File (2)'!$L824*'Work File (2)'!$M824)*(1-'Work File (2)'!$N824)</f>
        <v>719.90999999999985</v>
      </c>
      <c r="Q824" s="1">
        <f>YEAR(Table2[[#This Row],[Order Date]])</f>
        <v>2019</v>
      </c>
      <c r="R824" s="18" t="str">
        <f>TEXT(Table2[[#This Row],[Order Date]],"mmm")</f>
        <v>Jun</v>
      </c>
      <c r="S824" s="18"/>
    </row>
    <row r="825" spans="1:19" x14ac:dyDescent="0.2">
      <c r="A825" s="1">
        <v>824</v>
      </c>
      <c r="B825" s="1" t="s">
        <v>1591</v>
      </c>
      <c r="C825" s="2">
        <v>43636</v>
      </c>
      <c r="D825" s="1" t="s">
        <v>36</v>
      </c>
      <c r="E825" s="1" t="s">
        <v>1592</v>
      </c>
      <c r="F825" s="1" t="s">
        <v>687</v>
      </c>
      <c r="G825" s="1" t="s">
        <v>504</v>
      </c>
      <c r="H825" s="1" t="s">
        <v>103</v>
      </c>
      <c r="I825" s="1" t="s">
        <v>32</v>
      </c>
      <c r="J825" s="1" t="s">
        <v>33</v>
      </c>
      <c r="K825" s="1" t="s">
        <v>1467</v>
      </c>
      <c r="L825" s="17">
        <v>9.82</v>
      </c>
      <c r="M825" s="1">
        <v>2</v>
      </c>
      <c r="N825" s="1">
        <v>0</v>
      </c>
      <c r="O825" s="17">
        <v>4.8117999999999999</v>
      </c>
      <c r="P825" s="17">
        <f>('Work File (2)'!$L825*'Work File (2)'!$M825)*(1-'Work File (2)'!$N825)</f>
        <v>19.64</v>
      </c>
      <c r="Q825" s="1">
        <f>YEAR(Table2[[#This Row],[Order Date]])</f>
        <v>2019</v>
      </c>
      <c r="R825" s="18" t="str">
        <f>TEXT(Table2[[#This Row],[Order Date]],"mmm")</f>
        <v>Jun</v>
      </c>
      <c r="S825" s="18"/>
    </row>
    <row r="826" spans="1:19" x14ac:dyDescent="0.2">
      <c r="A826" s="1">
        <v>825</v>
      </c>
      <c r="B826" s="1" t="s">
        <v>1594</v>
      </c>
      <c r="C826" s="2">
        <v>42499</v>
      </c>
      <c r="D826" s="1" t="s">
        <v>36</v>
      </c>
      <c r="E826" s="1" t="s">
        <v>1595</v>
      </c>
      <c r="F826" s="1" t="s">
        <v>89</v>
      </c>
      <c r="G826" s="1" t="s">
        <v>30</v>
      </c>
      <c r="H826" s="1" t="s">
        <v>31</v>
      </c>
      <c r="I826" s="1" t="s">
        <v>50</v>
      </c>
      <c r="J826" s="1" t="s">
        <v>111</v>
      </c>
      <c r="K826" s="1" t="s">
        <v>1596</v>
      </c>
      <c r="L826" s="17">
        <v>67.8</v>
      </c>
      <c r="M826" s="1">
        <v>4</v>
      </c>
      <c r="N826" s="1">
        <v>0</v>
      </c>
      <c r="O826" s="17">
        <v>4.0679999999999978</v>
      </c>
      <c r="P826" s="17">
        <f>('Work File (2)'!$L826*'Work File (2)'!$M826)*(1-'Work File (2)'!$N826)</f>
        <v>271.2</v>
      </c>
      <c r="Q826" s="1">
        <f>YEAR(Table2[[#This Row],[Order Date]])</f>
        <v>2016</v>
      </c>
      <c r="R826" s="18" t="str">
        <f>TEXT(Table2[[#This Row],[Order Date]],"mmm")</f>
        <v>May</v>
      </c>
      <c r="S826" s="18"/>
    </row>
    <row r="827" spans="1:19" x14ac:dyDescent="0.2">
      <c r="A827" s="1">
        <v>826</v>
      </c>
      <c r="B827" s="1" t="s">
        <v>1594</v>
      </c>
      <c r="C827" s="2">
        <v>42499</v>
      </c>
      <c r="D827" s="1" t="s">
        <v>36</v>
      </c>
      <c r="E827" s="1" t="s">
        <v>1595</v>
      </c>
      <c r="F827" s="1" t="s">
        <v>89</v>
      </c>
      <c r="G827" s="1" t="s">
        <v>30</v>
      </c>
      <c r="H827" s="1" t="s">
        <v>31</v>
      </c>
      <c r="I827" s="1" t="s">
        <v>50</v>
      </c>
      <c r="J827" s="1" t="s">
        <v>111</v>
      </c>
      <c r="K827" s="1" t="s">
        <v>546</v>
      </c>
      <c r="L827" s="17">
        <v>167.97</v>
      </c>
      <c r="M827" s="1">
        <v>3</v>
      </c>
      <c r="N827" s="1">
        <v>0</v>
      </c>
      <c r="O827" s="17">
        <v>40.31280000000001</v>
      </c>
      <c r="P827" s="17">
        <f>('Work File (2)'!$L827*'Work File (2)'!$M827)*(1-'Work File (2)'!$N827)</f>
        <v>503.90999999999997</v>
      </c>
      <c r="Q827" s="1">
        <f>YEAR(Table2[[#This Row],[Order Date]])</f>
        <v>2016</v>
      </c>
      <c r="R827" s="18" t="str">
        <f>TEXT(Table2[[#This Row],[Order Date]],"mmm")</f>
        <v>May</v>
      </c>
      <c r="S827" s="18"/>
    </row>
    <row r="828" spans="1:19" x14ac:dyDescent="0.2">
      <c r="A828" s="1">
        <v>827</v>
      </c>
      <c r="B828" s="1" t="s">
        <v>1597</v>
      </c>
      <c r="C828" s="2">
        <v>43698</v>
      </c>
      <c r="D828" s="1" t="s">
        <v>36</v>
      </c>
      <c r="E828" s="1" t="s">
        <v>1170</v>
      </c>
      <c r="F828" s="1" t="s">
        <v>591</v>
      </c>
      <c r="G828" s="1" t="s">
        <v>154</v>
      </c>
      <c r="H828" s="1" t="s">
        <v>74</v>
      </c>
      <c r="I828" s="1" t="s">
        <v>32</v>
      </c>
      <c r="J828" s="1" t="s">
        <v>180</v>
      </c>
      <c r="K828" s="1" t="s">
        <v>1598</v>
      </c>
      <c r="L828" s="17">
        <v>35</v>
      </c>
      <c r="M828" s="1">
        <v>7</v>
      </c>
      <c r="N828" s="1">
        <v>0</v>
      </c>
      <c r="O828" s="17">
        <v>16.8</v>
      </c>
      <c r="P828" s="17">
        <f>('Work File (2)'!$L828*'Work File (2)'!$M828)*(1-'Work File (2)'!$N828)</f>
        <v>245</v>
      </c>
      <c r="Q828" s="1">
        <f>YEAR(Table2[[#This Row],[Order Date]])</f>
        <v>2019</v>
      </c>
      <c r="R828" s="18" t="str">
        <f>TEXT(Table2[[#This Row],[Order Date]],"mmm")</f>
        <v>Aug</v>
      </c>
      <c r="S828" s="18"/>
    </row>
    <row r="829" spans="1:19" x14ac:dyDescent="0.2">
      <c r="A829" s="1">
        <v>828</v>
      </c>
      <c r="B829" s="1" t="s">
        <v>1597</v>
      </c>
      <c r="C829" s="2">
        <v>43698</v>
      </c>
      <c r="D829" s="1" t="s">
        <v>36</v>
      </c>
      <c r="E829" s="1" t="s">
        <v>1170</v>
      </c>
      <c r="F829" s="1" t="s">
        <v>591</v>
      </c>
      <c r="G829" s="1" t="s">
        <v>154</v>
      </c>
      <c r="H829" s="1" t="s">
        <v>74</v>
      </c>
      <c r="I829" s="1" t="s">
        <v>32</v>
      </c>
      <c r="J829" s="1" t="s">
        <v>372</v>
      </c>
      <c r="K829" s="1" t="s">
        <v>1599</v>
      </c>
      <c r="L829" s="17">
        <v>37.24</v>
      </c>
      <c r="M829" s="1">
        <v>4</v>
      </c>
      <c r="N829" s="1">
        <v>0</v>
      </c>
      <c r="O829" s="17">
        <v>10.799599999999998</v>
      </c>
      <c r="P829" s="17">
        <f>('Work File (2)'!$L829*'Work File (2)'!$M829)*(1-'Work File (2)'!$N829)</f>
        <v>148.96</v>
      </c>
      <c r="Q829" s="1">
        <f>YEAR(Table2[[#This Row],[Order Date]])</f>
        <v>2019</v>
      </c>
      <c r="R829" s="18" t="str">
        <f>TEXT(Table2[[#This Row],[Order Date]],"mmm")</f>
        <v>Aug</v>
      </c>
      <c r="S829" s="18"/>
    </row>
    <row r="830" spans="1:19" x14ac:dyDescent="0.2">
      <c r="A830" s="1">
        <v>829</v>
      </c>
      <c r="B830" s="1" t="s">
        <v>1597</v>
      </c>
      <c r="C830" s="2">
        <v>43698</v>
      </c>
      <c r="D830" s="1" t="s">
        <v>36</v>
      </c>
      <c r="E830" s="1" t="s">
        <v>1170</v>
      </c>
      <c r="F830" s="1" t="s">
        <v>591</v>
      </c>
      <c r="G830" s="1" t="s">
        <v>154</v>
      </c>
      <c r="H830" s="1" t="s">
        <v>74</v>
      </c>
      <c r="I830" s="1" t="s">
        <v>32</v>
      </c>
      <c r="J830" s="1" t="s">
        <v>118</v>
      </c>
      <c r="K830" s="1" t="s">
        <v>1600</v>
      </c>
      <c r="L830" s="17">
        <v>15.28</v>
      </c>
      <c r="M830" s="1">
        <v>2</v>
      </c>
      <c r="N830" s="1">
        <v>0</v>
      </c>
      <c r="O830" s="17">
        <v>7.4871999999999996</v>
      </c>
      <c r="P830" s="17">
        <f>('Work File (2)'!$L830*'Work File (2)'!$M830)*(1-'Work File (2)'!$N830)</f>
        <v>30.56</v>
      </c>
      <c r="Q830" s="1">
        <f>YEAR(Table2[[#This Row],[Order Date]])</f>
        <v>2019</v>
      </c>
      <c r="R830" s="18" t="str">
        <f>TEXT(Table2[[#This Row],[Order Date]],"mmm")</f>
        <v>Aug</v>
      </c>
      <c r="S830" s="18"/>
    </row>
    <row r="831" spans="1:19" x14ac:dyDescent="0.2">
      <c r="A831" s="1">
        <v>830</v>
      </c>
      <c r="B831" s="1" t="s">
        <v>1601</v>
      </c>
      <c r="C831" s="2">
        <v>43632</v>
      </c>
      <c r="D831" s="1" t="s">
        <v>17</v>
      </c>
      <c r="E831" s="1" t="s">
        <v>220</v>
      </c>
      <c r="F831" s="1" t="s">
        <v>1602</v>
      </c>
      <c r="G831" s="1" t="s">
        <v>20</v>
      </c>
      <c r="H831" s="1" t="s">
        <v>21</v>
      </c>
      <c r="I831" s="1" t="s">
        <v>22</v>
      </c>
      <c r="J831" s="1" t="s">
        <v>25</v>
      </c>
      <c r="K831" s="1" t="s">
        <v>1603</v>
      </c>
      <c r="L831" s="17">
        <v>301.95999999999998</v>
      </c>
      <c r="M831" s="1">
        <v>2</v>
      </c>
      <c r="N831" s="1">
        <v>0</v>
      </c>
      <c r="O831" s="17">
        <v>90.587999999999965</v>
      </c>
      <c r="P831" s="17">
        <f>('Work File (2)'!$L831*'Work File (2)'!$M831)*(1-'Work File (2)'!$N831)</f>
        <v>603.91999999999996</v>
      </c>
      <c r="Q831" s="1">
        <f>YEAR(Table2[[#This Row],[Order Date]])</f>
        <v>2019</v>
      </c>
      <c r="R831" s="18" t="str">
        <f>TEXT(Table2[[#This Row],[Order Date]],"mmm")</f>
        <v>Jun</v>
      </c>
      <c r="S831" s="18"/>
    </row>
    <row r="832" spans="1:19" x14ac:dyDescent="0.2">
      <c r="A832" s="1">
        <v>831</v>
      </c>
      <c r="B832" s="1" t="s">
        <v>1601</v>
      </c>
      <c r="C832" s="2">
        <v>43632</v>
      </c>
      <c r="D832" s="1" t="s">
        <v>17</v>
      </c>
      <c r="E832" s="1" t="s">
        <v>220</v>
      </c>
      <c r="F832" s="1" t="s">
        <v>1602</v>
      </c>
      <c r="G832" s="1" t="s">
        <v>20</v>
      </c>
      <c r="H832" s="1" t="s">
        <v>21</v>
      </c>
      <c r="I832" s="1" t="s">
        <v>32</v>
      </c>
      <c r="J832" s="1" t="s">
        <v>55</v>
      </c>
      <c r="K832" s="1" t="s">
        <v>1604</v>
      </c>
      <c r="L832" s="17">
        <v>180.66</v>
      </c>
      <c r="M832" s="1">
        <v>3</v>
      </c>
      <c r="N832" s="1">
        <v>0</v>
      </c>
      <c r="O832" s="17">
        <v>50.584800000000008</v>
      </c>
      <c r="P832" s="17">
        <f>('Work File (2)'!$L832*'Work File (2)'!$M832)*(1-'Work File (2)'!$N832)</f>
        <v>541.98</v>
      </c>
      <c r="Q832" s="1">
        <f>YEAR(Table2[[#This Row],[Order Date]])</f>
        <v>2019</v>
      </c>
      <c r="R832" s="18" t="str">
        <f>TEXT(Table2[[#This Row],[Order Date]],"mmm")</f>
        <v>Jun</v>
      </c>
      <c r="S832" s="18"/>
    </row>
    <row r="833" spans="1:19" x14ac:dyDescent="0.2">
      <c r="A833" s="1">
        <v>832</v>
      </c>
      <c r="B833" s="1" t="s">
        <v>1601</v>
      </c>
      <c r="C833" s="2">
        <v>43632</v>
      </c>
      <c r="D833" s="1" t="s">
        <v>17</v>
      </c>
      <c r="E833" s="1" t="s">
        <v>220</v>
      </c>
      <c r="F833" s="1" t="s">
        <v>1602</v>
      </c>
      <c r="G833" s="1" t="s">
        <v>20</v>
      </c>
      <c r="H833" s="1" t="s">
        <v>21</v>
      </c>
      <c r="I833" s="1" t="s">
        <v>50</v>
      </c>
      <c r="J833" s="1" t="s">
        <v>51</v>
      </c>
      <c r="K833" s="1" t="s">
        <v>1605</v>
      </c>
      <c r="L833" s="17">
        <v>191.98</v>
      </c>
      <c r="M833" s="1">
        <v>2</v>
      </c>
      <c r="N833" s="1">
        <v>0</v>
      </c>
      <c r="O833" s="17">
        <v>51.834599999999995</v>
      </c>
      <c r="P833" s="17">
        <f>('Work File (2)'!$L833*'Work File (2)'!$M833)*(1-'Work File (2)'!$N833)</f>
        <v>383.96</v>
      </c>
      <c r="Q833" s="1">
        <f>YEAR(Table2[[#This Row],[Order Date]])</f>
        <v>2019</v>
      </c>
      <c r="R833" s="18" t="str">
        <f>TEXT(Table2[[#This Row],[Order Date]],"mmm")</f>
        <v>Jun</v>
      </c>
      <c r="S833" s="18"/>
    </row>
    <row r="834" spans="1:19" x14ac:dyDescent="0.2">
      <c r="A834" s="1">
        <v>833</v>
      </c>
      <c r="B834" s="1" t="s">
        <v>1601</v>
      </c>
      <c r="C834" s="2">
        <v>43632</v>
      </c>
      <c r="D834" s="1" t="s">
        <v>17</v>
      </c>
      <c r="E834" s="1" t="s">
        <v>220</v>
      </c>
      <c r="F834" s="1" t="s">
        <v>1602</v>
      </c>
      <c r="G834" s="1" t="s">
        <v>20</v>
      </c>
      <c r="H834" s="1" t="s">
        <v>21</v>
      </c>
      <c r="I834" s="1" t="s">
        <v>50</v>
      </c>
      <c r="J834" s="1" t="s">
        <v>51</v>
      </c>
      <c r="K834" s="1" t="s">
        <v>1606</v>
      </c>
      <c r="L834" s="17">
        <v>65.989999999999995</v>
      </c>
      <c r="M834" s="1">
        <v>1</v>
      </c>
      <c r="N834" s="1">
        <v>0</v>
      </c>
      <c r="O834" s="17">
        <v>17.157400000000003</v>
      </c>
      <c r="P834" s="17">
        <f>('Work File (2)'!$L834*'Work File (2)'!$M834)*(1-'Work File (2)'!$N834)</f>
        <v>65.989999999999995</v>
      </c>
      <c r="Q834" s="1">
        <f>YEAR(Table2[[#This Row],[Order Date]])</f>
        <v>2019</v>
      </c>
      <c r="R834" s="18" t="str">
        <f>TEXT(Table2[[#This Row],[Order Date]],"mmm")</f>
        <v>Jun</v>
      </c>
      <c r="S834" s="18"/>
    </row>
    <row r="835" spans="1:19" x14ac:dyDescent="0.2">
      <c r="A835" s="1">
        <v>834</v>
      </c>
      <c r="B835" s="1" t="s">
        <v>1607</v>
      </c>
      <c r="C835" s="2">
        <v>43304</v>
      </c>
      <c r="D835" s="1" t="s">
        <v>36</v>
      </c>
      <c r="E835" s="1" t="s">
        <v>452</v>
      </c>
      <c r="F835" s="1" t="s">
        <v>572</v>
      </c>
      <c r="G835" s="1" t="s">
        <v>39</v>
      </c>
      <c r="H835" s="1" t="s">
        <v>21</v>
      </c>
      <c r="I835" s="1" t="s">
        <v>32</v>
      </c>
      <c r="J835" s="1" t="s">
        <v>48</v>
      </c>
      <c r="K835" s="1" t="s">
        <v>1608</v>
      </c>
      <c r="L835" s="17">
        <v>35.216000000000001</v>
      </c>
      <c r="M835" s="1">
        <v>2</v>
      </c>
      <c r="N835" s="1">
        <v>0.2</v>
      </c>
      <c r="O835" s="17">
        <v>2.6411999999999995</v>
      </c>
      <c r="P835" s="17">
        <f>('Work File (2)'!$L835*'Work File (2)'!$M835)*(1-'Work File (2)'!$N835)</f>
        <v>56.345600000000005</v>
      </c>
      <c r="Q835" s="1">
        <f>YEAR(Table2[[#This Row],[Order Date]])</f>
        <v>2018</v>
      </c>
      <c r="R835" s="18" t="str">
        <f>TEXT(Table2[[#This Row],[Order Date]],"mmm")</f>
        <v>Jul</v>
      </c>
      <c r="S835" s="18"/>
    </row>
    <row r="836" spans="1:19" x14ac:dyDescent="0.2">
      <c r="A836" s="1">
        <v>835</v>
      </c>
      <c r="B836" s="1" t="s">
        <v>1607</v>
      </c>
      <c r="C836" s="2">
        <v>43304</v>
      </c>
      <c r="D836" s="1" t="s">
        <v>36</v>
      </c>
      <c r="E836" s="1" t="s">
        <v>452</v>
      </c>
      <c r="F836" s="1" t="s">
        <v>572</v>
      </c>
      <c r="G836" s="1" t="s">
        <v>39</v>
      </c>
      <c r="H836" s="1" t="s">
        <v>21</v>
      </c>
      <c r="I836" s="1" t="s">
        <v>32</v>
      </c>
      <c r="J836" s="1" t="s">
        <v>55</v>
      </c>
      <c r="K836" s="1" t="s">
        <v>1609</v>
      </c>
      <c r="L836" s="17">
        <v>23.696000000000002</v>
      </c>
      <c r="M836" s="1">
        <v>2</v>
      </c>
      <c r="N836" s="1">
        <v>0.2</v>
      </c>
      <c r="O836" s="17">
        <v>6.5164</v>
      </c>
      <c r="P836" s="17">
        <f>('Work File (2)'!$L836*'Work File (2)'!$M836)*(1-'Work File (2)'!$N836)</f>
        <v>37.913600000000002</v>
      </c>
      <c r="Q836" s="1">
        <f>YEAR(Table2[[#This Row],[Order Date]])</f>
        <v>2018</v>
      </c>
      <c r="R836" s="18" t="str">
        <f>TEXT(Table2[[#This Row],[Order Date]],"mmm")</f>
        <v>Jul</v>
      </c>
      <c r="S836" s="18"/>
    </row>
    <row r="837" spans="1:19" x14ac:dyDescent="0.2">
      <c r="A837" s="1">
        <v>836</v>
      </c>
      <c r="B837" s="1" t="s">
        <v>1607</v>
      </c>
      <c r="C837" s="2">
        <v>43304</v>
      </c>
      <c r="D837" s="1" t="s">
        <v>36</v>
      </c>
      <c r="E837" s="1" t="s">
        <v>452</v>
      </c>
      <c r="F837" s="1" t="s">
        <v>572</v>
      </c>
      <c r="G837" s="1" t="s">
        <v>39</v>
      </c>
      <c r="H837" s="1" t="s">
        <v>21</v>
      </c>
      <c r="I837" s="1" t="s">
        <v>50</v>
      </c>
      <c r="J837" s="1" t="s">
        <v>439</v>
      </c>
      <c r="K837" s="1" t="s">
        <v>1610</v>
      </c>
      <c r="L837" s="17">
        <v>265.47500000000002</v>
      </c>
      <c r="M837" s="1">
        <v>1</v>
      </c>
      <c r="N837" s="1">
        <v>0.5</v>
      </c>
      <c r="O837" s="17">
        <v>-111.49950000000007</v>
      </c>
      <c r="P837" s="17">
        <f>('Work File (2)'!$L837*'Work File (2)'!$M837)*(1-'Work File (2)'!$N837)</f>
        <v>132.73750000000001</v>
      </c>
      <c r="Q837" s="1">
        <f>YEAR(Table2[[#This Row],[Order Date]])</f>
        <v>2018</v>
      </c>
      <c r="R837" s="18" t="str">
        <f>TEXT(Table2[[#This Row],[Order Date]],"mmm")</f>
        <v>Jul</v>
      </c>
      <c r="S837" s="18"/>
    </row>
    <row r="838" spans="1:19" x14ac:dyDescent="0.2">
      <c r="A838" s="1">
        <v>837</v>
      </c>
      <c r="B838" s="1" t="s">
        <v>1611</v>
      </c>
      <c r="C838" s="2">
        <v>42621</v>
      </c>
      <c r="D838" s="1" t="s">
        <v>17</v>
      </c>
      <c r="E838" s="1" t="s">
        <v>1501</v>
      </c>
      <c r="F838" s="1" t="s">
        <v>1367</v>
      </c>
      <c r="G838" s="1" t="s">
        <v>73</v>
      </c>
      <c r="H838" s="1" t="s">
        <v>74</v>
      </c>
      <c r="I838" s="1" t="s">
        <v>32</v>
      </c>
      <c r="J838" s="1" t="s">
        <v>53</v>
      </c>
      <c r="K838" s="1" t="s">
        <v>1612</v>
      </c>
      <c r="L838" s="17">
        <v>51.183999999999983</v>
      </c>
      <c r="M838" s="1">
        <v>4</v>
      </c>
      <c r="N838" s="1">
        <v>0.8</v>
      </c>
      <c r="O838" s="17">
        <v>-79.335199999999986</v>
      </c>
      <c r="P838" s="17">
        <f>('Work File (2)'!$L838*'Work File (2)'!$M838)*(1-'Work File (2)'!$N838)</f>
        <v>40.947199999999981</v>
      </c>
      <c r="Q838" s="1">
        <f>YEAR(Table2[[#This Row],[Order Date]])</f>
        <v>2016</v>
      </c>
      <c r="R838" s="18" t="str">
        <f>TEXT(Table2[[#This Row],[Order Date]],"mmm")</f>
        <v>Sep</v>
      </c>
      <c r="S838" s="18"/>
    </row>
    <row r="839" spans="1:19" x14ac:dyDescent="0.2">
      <c r="A839" s="1">
        <v>838</v>
      </c>
      <c r="B839" s="1" t="s">
        <v>1613</v>
      </c>
      <c r="C839" s="2">
        <v>43773</v>
      </c>
      <c r="D839" s="1" t="s">
        <v>36</v>
      </c>
      <c r="E839" s="1" t="s">
        <v>1614</v>
      </c>
      <c r="F839" s="1" t="s">
        <v>251</v>
      </c>
      <c r="G839" s="1" t="s">
        <v>222</v>
      </c>
      <c r="H839" s="1" t="s">
        <v>21</v>
      </c>
      <c r="I839" s="1" t="s">
        <v>32</v>
      </c>
      <c r="J839" s="1" t="s">
        <v>63</v>
      </c>
      <c r="K839" s="1" t="s">
        <v>1615</v>
      </c>
      <c r="L839" s="17">
        <v>9.6640000000000015</v>
      </c>
      <c r="M839" s="1">
        <v>2</v>
      </c>
      <c r="N839" s="1">
        <v>0.2</v>
      </c>
      <c r="O839" s="17">
        <v>3.2615999999999996</v>
      </c>
      <c r="P839" s="17">
        <f>('Work File (2)'!$L839*'Work File (2)'!$M839)*(1-'Work File (2)'!$N839)</f>
        <v>15.462400000000002</v>
      </c>
      <c r="Q839" s="1">
        <f>YEAR(Table2[[#This Row],[Order Date]])</f>
        <v>2019</v>
      </c>
      <c r="R839" s="18" t="str">
        <f>TEXT(Table2[[#This Row],[Order Date]],"mmm")</f>
        <v>Nov</v>
      </c>
      <c r="S839" s="18"/>
    </row>
    <row r="840" spans="1:19" x14ac:dyDescent="0.2">
      <c r="A840" s="1">
        <v>839</v>
      </c>
      <c r="B840" s="1" t="s">
        <v>1616</v>
      </c>
      <c r="C840" s="2">
        <v>43166</v>
      </c>
      <c r="D840" s="1" t="s">
        <v>36</v>
      </c>
      <c r="E840" s="1" t="s">
        <v>984</v>
      </c>
      <c r="F840" s="1" t="s">
        <v>72</v>
      </c>
      <c r="G840" s="1" t="s">
        <v>73</v>
      </c>
      <c r="H840" s="1" t="s">
        <v>74</v>
      </c>
      <c r="I840" s="1" t="s">
        <v>50</v>
      </c>
      <c r="J840" s="1" t="s">
        <v>51</v>
      </c>
      <c r="K840" s="1" t="s">
        <v>982</v>
      </c>
      <c r="L840" s="17">
        <v>21.071999999999999</v>
      </c>
      <c r="M840" s="1">
        <v>3</v>
      </c>
      <c r="N840" s="1">
        <v>0.2</v>
      </c>
      <c r="O840" s="17">
        <v>1.5804</v>
      </c>
      <c r="P840" s="17">
        <f>('Work File (2)'!$L840*'Work File (2)'!$M840)*(1-'Work File (2)'!$N840)</f>
        <v>50.572800000000001</v>
      </c>
      <c r="Q840" s="1">
        <f>YEAR(Table2[[#This Row],[Order Date]])</f>
        <v>2018</v>
      </c>
      <c r="R840" s="18" t="str">
        <f>TEXT(Table2[[#This Row],[Order Date]],"mmm")</f>
        <v>Mar</v>
      </c>
      <c r="S840" s="18"/>
    </row>
    <row r="841" spans="1:19" x14ac:dyDescent="0.2">
      <c r="A841" s="1">
        <v>840</v>
      </c>
      <c r="B841" s="1" t="s">
        <v>1617</v>
      </c>
      <c r="C841" s="2">
        <v>43059</v>
      </c>
      <c r="D841" s="1" t="s">
        <v>36</v>
      </c>
      <c r="E841" s="1" t="s">
        <v>1618</v>
      </c>
      <c r="F841" s="1" t="s">
        <v>178</v>
      </c>
      <c r="G841" s="1" t="s">
        <v>179</v>
      </c>
      <c r="H841" s="1" t="s">
        <v>103</v>
      </c>
      <c r="I841" s="1" t="s">
        <v>32</v>
      </c>
      <c r="J841" s="1" t="s">
        <v>48</v>
      </c>
      <c r="K841" s="1" t="s">
        <v>1518</v>
      </c>
      <c r="L841" s="17">
        <v>60.449999999999996</v>
      </c>
      <c r="M841" s="1">
        <v>3</v>
      </c>
      <c r="N841" s="1">
        <v>0</v>
      </c>
      <c r="O841" s="17">
        <v>16.3215</v>
      </c>
      <c r="P841" s="17">
        <f>('Work File (2)'!$L841*'Work File (2)'!$M841)*(1-'Work File (2)'!$N841)</f>
        <v>181.35</v>
      </c>
      <c r="Q841" s="1">
        <f>YEAR(Table2[[#This Row],[Order Date]])</f>
        <v>2017</v>
      </c>
      <c r="R841" s="18" t="str">
        <f>TEXT(Table2[[#This Row],[Order Date]],"mmm")</f>
        <v>Nov</v>
      </c>
      <c r="S841" s="18"/>
    </row>
    <row r="842" spans="1:19" x14ac:dyDescent="0.2">
      <c r="A842" s="1">
        <v>841</v>
      </c>
      <c r="B842" s="1" t="s">
        <v>1617</v>
      </c>
      <c r="C842" s="2">
        <v>43059</v>
      </c>
      <c r="D842" s="1" t="s">
        <v>36</v>
      </c>
      <c r="E842" s="1" t="s">
        <v>1618</v>
      </c>
      <c r="F842" s="1" t="s">
        <v>178</v>
      </c>
      <c r="G842" s="1" t="s">
        <v>179</v>
      </c>
      <c r="H842" s="1" t="s">
        <v>103</v>
      </c>
      <c r="I842" s="1" t="s">
        <v>32</v>
      </c>
      <c r="J842" s="1" t="s">
        <v>48</v>
      </c>
      <c r="K842" s="1" t="s">
        <v>1619</v>
      </c>
      <c r="L842" s="17">
        <v>11.52</v>
      </c>
      <c r="M842" s="1">
        <v>4</v>
      </c>
      <c r="N842" s="1">
        <v>0</v>
      </c>
      <c r="O842" s="17">
        <v>3.3407999999999998</v>
      </c>
      <c r="P842" s="17">
        <f>('Work File (2)'!$L842*'Work File (2)'!$M842)*(1-'Work File (2)'!$N842)</f>
        <v>46.08</v>
      </c>
      <c r="Q842" s="1">
        <f>YEAR(Table2[[#This Row],[Order Date]])</f>
        <v>2017</v>
      </c>
      <c r="R842" s="18" t="str">
        <f>TEXT(Table2[[#This Row],[Order Date]],"mmm")</f>
        <v>Nov</v>
      </c>
      <c r="S842" s="18"/>
    </row>
    <row r="843" spans="1:19" x14ac:dyDescent="0.2">
      <c r="A843" s="1">
        <v>842</v>
      </c>
      <c r="B843" s="1" t="s">
        <v>1617</v>
      </c>
      <c r="C843" s="2">
        <v>43059</v>
      </c>
      <c r="D843" s="1" t="s">
        <v>36</v>
      </c>
      <c r="E843" s="1" t="s">
        <v>1618</v>
      </c>
      <c r="F843" s="1" t="s">
        <v>178</v>
      </c>
      <c r="G843" s="1" t="s">
        <v>179</v>
      </c>
      <c r="H843" s="1" t="s">
        <v>103</v>
      </c>
      <c r="I843" s="1" t="s">
        <v>22</v>
      </c>
      <c r="J843" s="1" t="s">
        <v>23</v>
      </c>
      <c r="K843" s="1" t="s">
        <v>1620</v>
      </c>
      <c r="L843" s="17">
        <v>186.048</v>
      </c>
      <c r="M843" s="1">
        <v>4</v>
      </c>
      <c r="N843" s="1">
        <v>0.2</v>
      </c>
      <c r="O843" s="17">
        <v>9.3024000000000058</v>
      </c>
      <c r="P843" s="17">
        <f>('Work File (2)'!$L843*'Work File (2)'!$M843)*(1-'Work File (2)'!$N843)</f>
        <v>595.35360000000003</v>
      </c>
      <c r="Q843" s="1">
        <f>YEAR(Table2[[#This Row],[Order Date]])</f>
        <v>2017</v>
      </c>
      <c r="R843" s="18" t="str">
        <f>TEXT(Table2[[#This Row],[Order Date]],"mmm")</f>
        <v>Nov</v>
      </c>
      <c r="S843" s="18"/>
    </row>
    <row r="844" spans="1:19" x14ac:dyDescent="0.2">
      <c r="A844" s="1">
        <v>843</v>
      </c>
      <c r="B844" s="1" t="s">
        <v>1621</v>
      </c>
      <c r="C844" s="2">
        <v>43411</v>
      </c>
      <c r="D844" s="1" t="s">
        <v>128</v>
      </c>
      <c r="E844" s="1" t="s">
        <v>1622</v>
      </c>
      <c r="F844" s="1" t="s">
        <v>29</v>
      </c>
      <c r="G844" s="1" t="s">
        <v>30</v>
      </c>
      <c r="H844" s="1" t="s">
        <v>31</v>
      </c>
      <c r="I844" s="1" t="s">
        <v>32</v>
      </c>
      <c r="J844" s="1" t="s">
        <v>53</v>
      </c>
      <c r="K844" s="1" t="s">
        <v>1623</v>
      </c>
      <c r="L844" s="17">
        <v>37.44</v>
      </c>
      <c r="M844" s="1">
        <v>4</v>
      </c>
      <c r="N844" s="1">
        <v>0.2</v>
      </c>
      <c r="O844" s="17">
        <v>11.699999999999996</v>
      </c>
      <c r="P844" s="17">
        <f>('Work File (2)'!$L844*'Work File (2)'!$M844)*(1-'Work File (2)'!$N844)</f>
        <v>119.80799999999999</v>
      </c>
      <c r="Q844" s="1">
        <f>YEAR(Table2[[#This Row],[Order Date]])</f>
        <v>2018</v>
      </c>
      <c r="R844" s="18" t="str">
        <f>TEXT(Table2[[#This Row],[Order Date]],"mmm")</f>
        <v>Nov</v>
      </c>
      <c r="S844" s="18"/>
    </row>
    <row r="845" spans="1:19" x14ac:dyDescent="0.2">
      <c r="A845" s="1">
        <v>844</v>
      </c>
      <c r="B845" s="1" t="s">
        <v>1621</v>
      </c>
      <c r="C845" s="2">
        <v>43411</v>
      </c>
      <c r="D845" s="1" t="s">
        <v>128</v>
      </c>
      <c r="E845" s="1" t="s">
        <v>1622</v>
      </c>
      <c r="F845" s="1" t="s">
        <v>29</v>
      </c>
      <c r="G845" s="1" t="s">
        <v>30</v>
      </c>
      <c r="H845" s="1" t="s">
        <v>31</v>
      </c>
      <c r="I845" s="1" t="s">
        <v>32</v>
      </c>
      <c r="J845" s="1" t="s">
        <v>53</v>
      </c>
      <c r="K845" s="1" t="s">
        <v>1624</v>
      </c>
      <c r="L845" s="17">
        <v>26.975999999999999</v>
      </c>
      <c r="M845" s="1">
        <v>4</v>
      </c>
      <c r="N845" s="1">
        <v>0.2</v>
      </c>
      <c r="O845" s="17">
        <v>8.767199999999999</v>
      </c>
      <c r="P845" s="17">
        <f>('Work File (2)'!$L845*'Work File (2)'!$M845)*(1-'Work File (2)'!$N845)</f>
        <v>86.3232</v>
      </c>
      <c r="Q845" s="1">
        <f>YEAR(Table2[[#This Row],[Order Date]])</f>
        <v>2018</v>
      </c>
      <c r="R845" s="18" t="str">
        <f>TEXT(Table2[[#This Row],[Order Date]],"mmm")</f>
        <v>Nov</v>
      </c>
      <c r="S845" s="18"/>
    </row>
    <row r="846" spans="1:19" x14ac:dyDescent="0.2">
      <c r="A846" s="1">
        <v>845</v>
      </c>
      <c r="B846" s="1" t="s">
        <v>1621</v>
      </c>
      <c r="C846" s="2">
        <v>43411</v>
      </c>
      <c r="D846" s="1" t="s">
        <v>128</v>
      </c>
      <c r="E846" s="1" t="s">
        <v>1622</v>
      </c>
      <c r="F846" s="1" t="s">
        <v>29</v>
      </c>
      <c r="G846" s="1" t="s">
        <v>30</v>
      </c>
      <c r="H846" s="1" t="s">
        <v>31</v>
      </c>
      <c r="I846" s="1" t="s">
        <v>32</v>
      </c>
      <c r="J846" s="1" t="s">
        <v>372</v>
      </c>
      <c r="K846" s="1" t="s">
        <v>1625</v>
      </c>
      <c r="L846" s="17">
        <v>11.36</v>
      </c>
      <c r="M846" s="1">
        <v>2</v>
      </c>
      <c r="N846" s="1">
        <v>0</v>
      </c>
      <c r="O846" s="17">
        <v>3.2943999999999996</v>
      </c>
      <c r="P846" s="17">
        <f>('Work File (2)'!$L846*'Work File (2)'!$M846)*(1-'Work File (2)'!$N846)</f>
        <v>22.72</v>
      </c>
      <c r="Q846" s="1">
        <f>YEAR(Table2[[#This Row],[Order Date]])</f>
        <v>2018</v>
      </c>
      <c r="R846" s="18" t="str">
        <f>TEXT(Table2[[#This Row],[Order Date]],"mmm")</f>
        <v>Nov</v>
      </c>
      <c r="S846" s="18"/>
    </row>
    <row r="847" spans="1:19" x14ac:dyDescent="0.2">
      <c r="A847" s="1">
        <v>846</v>
      </c>
      <c r="B847" s="1" t="s">
        <v>1621</v>
      </c>
      <c r="C847" s="2">
        <v>43411</v>
      </c>
      <c r="D847" s="1" t="s">
        <v>128</v>
      </c>
      <c r="E847" s="1" t="s">
        <v>1622</v>
      </c>
      <c r="F847" s="1" t="s">
        <v>29</v>
      </c>
      <c r="G847" s="1" t="s">
        <v>30</v>
      </c>
      <c r="H847" s="1" t="s">
        <v>31</v>
      </c>
      <c r="I847" s="1" t="s">
        <v>32</v>
      </c>
      <c r="J847" s="1" t="s">
        <v>33</v>
      </c>
      <c r="K847" s="1" t="s">
        <v>1626</v>
      </c>
      <c r="L847" s="17">
        <v>14.62</v>
      </c>
      <c r="M847" s="1">
        <v>2</v>
      </c>
      <c r="N847" s="1">
        <v>0</v>
      </c>
      <c r="O847" s="17">
        <v>6.8713999999999995</v>
      </c>
      <c r="P847" s="17">
        <f>('Work File (2)'!$L847*'Work File (2)'!$M847)*(1-'Work File (2)'!$N847)</f>
        <v>29.24</v>
      </c>
      <c r="Q847" s="1">
        <f>YEAR(Table2[[#This Row],[Order Date]])</f>
        <v>2018</v>
      </c>
      <c r="R847" s="18" t="str">
        <f>TEXT(Table2[[#This Row],[Order Date]],"mmm")</f>
        <v>Nov</v>
      </c>
      <c r="S847" s="18"/>
    </row>
    <row r="848" spans="1:19" x14ac:dyDescent="0.2">
      <c r="A848" s="1">
        <v>847</v>
      </c>
      <c r="B848" s="1" t="s">
        <v>1627</v>
      </c>
      <c r="C848" s="2">
        <v>43021</v>
      </c>
      <c r="D848" s="1" t="s">
        <v>36</v>
      </c>
      <c r="E848" s="1" t="s">
        <v>1628</v>
      </c>
      <c r="F848" s="1" t="s">
        <v>922</v>
      </c>
      <c r="G848" s="1" t="s">
        <v>20</v>
      </c>
      <c r="H848" s="1" t="s">
        <v>21</v>
      </c>
      <c r="I848" s="1" t="s">
        <v>50</v>
      </c>
      <c r="J848" s="1" t="s">
        <v>51</v>
      </c>
      <c r="K848" s="1" t="s">
        <v>490</v>
      </c>
      <c r="L848" s="17">
        <v>83.72</v>
      </c>
      <c r="M848" s="1">
        <v>7</v>
      </c>
      <c r="N848" s="1">
        <v>0</v>
      </c>
      <c r="O848" s="17">
        <v>23.441600000000005</v>
      </c>
      <c r="P848" s="17">
        <f>('Work File (2)'!$L848*'Work File (2)'!$M848)*(1-'Work File (2)'!$N848)</f>
        <v>586.04</v>
      </c>
      <c r="Q848" s="1">
        <f>YEAR(Table2[[#This Row],[Order Date]])</f>
        <v>2017</v>
      </c>
      <c r="R848" s="18" t="str">
        <f>TEXT(Table2[[#This Row],[Order Date]],"mmm")</f>
        <v>Oct</v>
      </c>
      <c r="S848" s="18"/>
    </row>
    <row r="849" spans="1:19" x14ac:dyDescent="0.2">
      <c r="A849" s="1">
        <v>848</v>
      </c>
      <c r="B849" s="1" t="s">
        <v>1627</v>
      </c>
      <c r="C849" s="2">
        <v>43021</v>
      </c>
      <c r="D849" s="1" t="s">
        <v>36</v>
      </c>
      <c r="E849" s="1" t="s">
        <v>1628</v>
      </c>
      <c r="F849" s="1" t="s">
        <v>922</v>
      </c>
      <c r="G849" s="1" t="s">
        <v>20</v>
      </c>
      <c r="H849" s="1" t="s">
        <v>21</v>
      </c>
      <c r="I849" s="1" t="s">
        <v>22</v>
      </c>
      <c r="J849" s="1" t="s">
        <v>25</v>
      </c>
      <c r="K849" s="1" t="s">
        <v>682</v>
      </c>
      <c r="L849" s="17">
        <v>287.94</v>
      </c>
      <c r="M849" s="1">
        <v>3</v>
      </c>
      <c r="N849" s="1">
        <v>0</v>
      </c>
      <c r="O849" s="17">
        <v>77.743800000000022</v>
      </c>
      <c r="P849" s="17">
        <f>('Work File (2)'!$L849*'Work File (2)'!$M849)*(1-'Work File (2)'!$N849)</f>
        <v>863.81999999999994</v>
      </c>
      <c r="Q849" s="1">
        <f>YEAR(Table2[[#This Row],[Order Date]])</f>
        <v>2017</v>
      </c>
      <c r="R849" s="18" t="str">
        <f>TEXT(Table2[[#This Row],[Order Date]],"mmm")</f>
        <v>Oct</v>
      </c>
      <c r="S849" s="18"/>
    </row>
    <row r="850" spans="1:19" x14ac:dyDescent="0.2">
      <c r="A850" s="1">
        <v>849</v>
      </c>
      <c r="B850" s="1" t="s">
        <v>1629</v>
      </c>
      <c r="C850" s="2">
        <v>43466</v>
      </c>
      <c r="D850" s="1" t="s">
        <v>36</v>
      </c>
      <c r="E850" s="1" t="s">
        <v>1630</v>
      </c>
      <c r="F850" s="1" t="s">
        <v>1631</v>
      </c>
      <c r="G850" s="1" t="s">
        <v>324</v>
      </c>
      <c r="H850" s="1" t="s">
        <v>103</v>
      </c>
      <c r="I850" s="1" t="s">
        <v>22</v>
      </c>
      <c r="J850" s="1" t="s">
        <v>46</v>
      </c>
      <c r="K850" s="1" t="s">
        <v>1632</v>
      </c>
      <c r="L850" s="17">
        <v>48.896000000000001</v>
      </c>
      <c r="M850" s="1">
        <v>4</v>
      </c>
      <c r="N850" s="1">
        <v>0.2</v>
      </c>
      <c r="O850" s="17">
        <v>8.5567999999999991</v>
      </c>
      <c r="P850" s="17">
        <f>('Work File (2)'!$L850*'Work File (2)'!$M850)*(1-'Work File (2)'!$N850)</f>
        <v>156.46720000000002</v>
      </c>
      <c r="Q850" s="1">
        <f>YEAR(Table2[[#This Row],[Order Date]])</f>
        <v>2019</v>
      </c>
      <c r="R850" s="18" t="str">
        <f>TEXT(Table2[[#This Row],[Order Date]],"mmm")</f>
        <v>Jan</v>
      </c>
      <c r="S850" s="18"/>
    </row>
    <row r="851" spans="1:19" x14ac:dyDescent="0.2">
      <c r="A851" s="1">
        <v>850</v>
      </c>
      <c r="B851" s="1" t="s">
        <v>1633</v>
      </c>
      <c r="C851" s="2">
        <v>42407</v>
      </c>
      <c r="D851" s="1" t="s">
        <v>36</v>
      </c>
      <c r="E851" s="1" t="s">
        <v>1634</v>
      </c>
      <c r="F851" s="1" t="s">
        <v>1635</v>
      </c>
      <c r="G851" s="1" t="s">
        <v>504</v>
      </c>
      <c r="H851" s="1" t="s">
        <v>103</v>
      </c>
      <c r="I851" s="1" t="s">
        <v>50</v>
      </c>
      <c r="J851" s="1" t="s">
        <v>111</v>
      </c>
      <c r="K851" s="1" t="s">
        <v>1636</v>
      </c>
      <c r="L851" s="17">
        <v>115.36</v>
      </c>
      <c r="M851" s="1">
        <v>7</v>
      </c>
      <c r="N851" s="1">
        <v>0</v>
      </c>
      <c r="O851" s="17">
        <v>49.604800000000012</v>
      </c>
      <c r="P851" s="17">
        <f>('Work File (2)'!$L851*'Work File (2)'!$M851)*(1-'Work File (2)'!$N851)</f>
        <v>807.52</v>
      </c>
      <c r="Q851" s="1">
        <f>YEAR(Table2[[#This Row],[Order Date]])</f>
        <v>2016</v>
      </c>
      <c r="R851" s="18" t="str">
        <f>TEXT(Table2[[#This Row],[Order Date]],"mmm")</f>
        <v>Feb</v>
      </c>
      <c r="S851" s="18"/>
    </row>
    <row r="852" spans="1:19" x14ac:dyDescent="0.2">
      <c r="A852" s="1">
        <v>851</v>
      </c>
      <c r="B852" s="1" t="s">
        <v>1637</v>
      </c>
      <c r="C852" s="2">
        <v>43271</v>
      </c>
      <c r="D852" s="1" t="s">
        <v>17</v>
      </c>
      <c r="E852" s="1" t="s">
        <v>1638</v>
      </c>
      <c r="F852" s="1" t="s">
        <v>1639</v>
      </c>
      <c r="G852" s="1" t="s">
        <v>30</v>
      </c>
      <c r="H852" s="1" t="s">
        <v>31</v>
      </c>
      <c r="I852" s="1" t="s">
        <v>32</v>
      </c>
      <c r="J852" s="1" t="s">
        <v>48</v>
      </c>
      <c r="K852" s="1" t="s">
        <v>1640</v>
      </c>
      <c r="L852" s="17">
        <v>5.16</v>
      </c>
      <c r="M852" s="1">
        <v>2</v>
      </c>
      <c r="N852" s="1">
        <v>0</v>
      </c>
      <c r="O852" s="17">
        <v>1.3416000000000001</v>
      </c>
      <c r="P852" s="17">
        <f>('Work File (2)'!$L852*'Work File (2)'!$M852)*(1-'Work File (2)'!$N852)</f>
        <v>10.32</v>
      </c>
      <c r="Q852" s="1">
        <f>YEAR(Table2[[#This Row],[Order Date]])</f>
        <v>2018</v>
      </c>
      <c r="R852" s="18" t="str">
        <f>TEXT(Table2[[#This Row],[Order Date]],"mmm")</f>
        <v>Jun</v>
      </c>
      <c r="S852" s="18"/>
    </row>
    <row r="853" spans="1:19" x14ac:dyDescent="0.2">
      <c r="A853" s="1">
        <v>852</v>
      </c>
      <c r="B853" s="1" t="s">
        <v>1637</v>
      </c>
      <c r="C853" s="2">
        <v>43271</v>
      </c>
      <c r="D853" s="1" t="s">
        <v>17</v>
      </c>
      <c r="E853" s="1" t="s">
        <v>1638</v>
      </c>
      <c r="F853" s="1" t="s">
        <v>1639</v>
      </c>
      <c r="G853" s="1" t="s">
        <v>30</v>
      </c>
      <c r="H853" s="1" t="s">
        <v>31</v>
      </c>
      <c r="I853" s="1" t="s">
        <v>32</v>
      </c>
      <c r="J853" s="1" t="s">
        <v>63</v>
      </c>
      <c r="K853" s="1" t="s">
        <v>1641</v>
      </c>
      <c r="L853" s="17">
        <v>38.880000000000003</v>
      </c>
      <c r="M853" s="1">
        <v>6</v>
      </c>
      <c r="N853" s="1">
        <v>0</v>
      </c>
      <c r="O853" s="17">
        <v>18.662400000000002</v>
      </c>
      <c r="P853" s="17">
        <f>('Work File (2)'!$L853*'Work File (2)'!$M853)*(1-'Work File (2)'!$N853)</f>
        <v>233.28000000000003</v>
      </c>
      <c r="Q853" s="1">
        <f>YEAR(Table2[[#This Row],[Order Date]])</f>
        <v>2018</v>
      </c>
      <c r="R853" s="18" t="str">
        <f>TEXT(Table2[[#This Row],[Order Date]],"mmm")</f>
        <v>Jun</v>
      </c>
      <c r="S853" s="18"/>
    </row>
    <row r="854" spans="1:19" x14ac:dyDescent="0.2">
      <c r="A854" s="1">
        <v>853</v>
      </c>
      <c r="B854" s="1" t="s">
        <v>1642</v>
      </c>
      <c r="C854" s="2">
        <v>43248</v>
      </c>
      <c r="D854" s="1" t="s">
        <v>36</v>
      </c>
      <c r="E854" s="1" t="s">
        <v>565</v>
      </c>
      <c r="F854" s="1" t="s">
        <v>217</v>
      </c>
      <c r="G854" s="1" t="s">
        <v>931</v>
      </c>
      <c r="H854" s="1" t="s">
        <v>21</v>
      </c>
      <c r="I854" s="1" t="s">
        <v>32</v>
      </c>
      <c r="J854" s="1" t="s">
        <v>48</v>
      </c>
      <c r="K854" s="1" t="s">
        <v>728</v>
      </c>
      <c r="L854" s="17">
        <v>185.88</v>
      </c>
      <c r="M854" s="1">
        <v>6</v>
      </c>
      <c r="N854" s="1">
        <v>0</v>
      </c>
      <c r="O854" s="17">
        <v>50.187599999999996</v>
      </c>
      <c r="P854" s="17">
        <f>('Work File (2)'!$L854*'Work File (2)'!$M854)*(1-'Work File (2)'!$N854)</f>
        <v>1115.28</v>
      </c>
      <c r="Q854" s="1">
        <f>YEAR(Table2[[#This Row],[Order Date]])</f>
        <v>2018</v>
      </c>
      <c r="R854" s="18" t="str">
        <f>TEXT(Table2[[#This Row],[Order Date]],"mmm")</f>
        <v>May</v>
      </c>
      <c r="S854" s="18"/>
    </row>
    <row r="855" spans="1:19" x14ac:dyDescent="0.2">
      <c r="A855" s="1">
        <v>854</v>
      </c>
      <c r="B855" s="1" t="s">
        <v>1643</v>
      </c>
      <c r="C855" s="2">
        <v>43150</v>
      </c>
      <c r="D855" s="1" t="s">
        <v>36</v>
      </c>
      <c r="E855" s="1" t="s">
        <v>1170</v>
      </c>
      <c r="F855" s="1" t="s">
        <v>178</v>
      </c>
      <c r="G855" s="1" t="s">
        <v>179</v>
      </c>
      <c r="H855" s="1" t="s">
        <v>103</v>
      </c>
      <c r="I855" s="1" t="s">
        <v>22</v>
      </c>
      <c r="J855" s="1" t="s">
        <v>46</v>
      </c>
      <c r="K855" s="1" t="s">
        <v>1558</v>
      </c>
      <c r="L855" s="17">
        <v>44.46</v>
      </c>
      <c r="M855" s="1">
        <v>2</v>
      </c>
      <c r="N855" s="1">
        <v>0</v>
      </c>
      <c r="O855" s="17">
        <v>14.671799999999998</v>
      </c>
      <c r="P855" s="17">
        <f>('Work File (2)'!$L855*'Work File (2)'!$M855)*(1-'Work File (2)'!$N855)</f>
        <v>88.92</v>
      </c>
      <c r="Q855" s="1">
        <f>YEAR(Table2[[#This Row],[Order Date]])</f>
        <v>2018</v>
      </c>
      <c r="R855" s="18" t="str">
        <f>TEXT(Table2[[#This Row],[Order Date]],"mmm")</f>
        <v>Feb</v>
      </c>
      <c r="S855" s="18"/>
    </row>
    <row r="856" spans="1:19" x14ac:dyDescent="0.2">
      <c r="A856" s="1">
        <v>855</v>
      </c>
      <c r="B856" s="1" t="s">
        <v>1643</v>
      </c>
      <c r="C856" s="2">
        <v>43150</v>
      </c>
      <c r="D856" s="1" t="s">
        <v>36</v>
      </c>
      <c r="E856" s="1" t="s">
        <v>1170</v>
      </c>
      <c r="F856" s="1" t="s">
        <v>178</v>
      </c>
      <c r="G856" s="1" t="s">
        <v>179</v>
      </c>
      <c r="H856" s="1" t="s">
        <v>103</v>
      </c>
      <c r="I856" s="1" t="s">
        <v>32</v>
      </c>
      <c r="J856" s="1" t="s">
        <v>42</v>
      </c>
      <c r="K856" s="1" t="s">
        <v>1106</v>
      </c>
      <c r="L856" s="17">
        <v>242.94</v>
      </c>
      <c r="M856" s="1">
        <v>3</v>
      </c>
      <c r="N856" s="1">
        <v>0</v>
      </c>
      <c r="O856" s="17">
        <v>9.7175999999999902</v>
      </c>
      <c r="P856" s="17">
        <f>('Work File (2)'!$L856*'Work File (2)'!$M856)*(1-'Work File (2)'!$N856)</f>
        <v>728.81999999999994</v>
      </c>
      <c r="Q856" s="1">
        <f>YEAR(Table2[[#This Row],[Order Date]])</f>
        <v>2018</v>
      </c>
      <c r="R856" s="18" t="str">
        <f>TEXT(Table2[[#This Row],[Order Date]],"mmm")</f>
        <v>Feb</v>
      </c>
      <c r="S856" s="18"/>
    </row>
    <row r="857" spans="1:19" x14ac:dyDescent="0.2">
      <c r="A857" s="1">
        <v>856</v>
      </c>
      <c r="B857" s="1" t="s">
        <v>1644</v>
      </c>
      <c r="C857" s="2">
        <v>42585</v>
      </c>
      <c r="D857" s="1" t="s">
        <v>36</v>
      </c>
      <c r="E857" s="1" t="s">
        <v>1645</v>
      </c>
      <c r="F857" s="1" t="s">
        <v>178</v>
      </c>
      <c r="G857" s="1" t="s">
        <v>179</v>
      </c>
      <c r="H857" s="1" t="s">
        <v>103</v>
      </c>
      <c r="I857" s="1" t="s">
        <v>32</v>
      </c>
      <c r="J857" s="1" t="s">
        <v>63</v>
      </c>
      <c r="K857" s="1" t="s">
        <v>1646</v>
      </c>
      <c r="L857" s="17">
        <v>39.96</v>
      </c>
      <c r="M857" s="1">
        <v>2</v>
      </c>
      <c r="N857" s="1">
        <v>0</v>
      </c>
      <c r="O857" s="17">
        <v>18.781199999999998</v>
      </c>
      <c r="P857" s="17">
        <f>('Work File (2)'!$L857*'Work File (2)'!$M857)*(1-'Work File (2)'!$N857)</f>
        <v>79.92</v>
      </c>
      <c r="Q857" s="1">
        <f>YEAR(Table2[[#This Row],[Order Date]])</f>
        <v>2016</v>
      </c>
      <c r="R857" s="18" t="str">
        <f>TEXT(Table2[[#This Row],[Order Date]],"mmm")</f>
        <v>Aug</v>
      </c>
      <c r="S857" s="18"/>
    </row>
    <row r="858" spans="1:19" x14ac:dyDescent="0.2">
      <c r="A858" s="1">
        <v>857</v>
      </c>
      <c r="B858" s="1" t="s">
        <v>1644</v>
      </c>
      <c r="C858" s="2">
        <v>42585</v>
      </c>
      <c r="D858" s="1" t="s">
        <v>36</v>
      </c>
      <c r="E858" s="1" t="s">
        <v>1645</v>
      </c>
      <c r="F858" s="1" t="s">
        <v>178</v>
      </c>
      <c r="G858" s="1" t="s">
        <v>179</v>
      </c>
      <c r="H858" s="1" t="s">
        <v>103</v>
      </c>
      <c r="I858" s="1" t="s">
        <v>32</v>
      </c>
      <c r="J858" s="1" t="s">
        <v>372</v>
      </c>
      <c r="K858" s="1" t="s">
        <v>1647</v>
      </c>
      <c r="L858" s="17">
        <v>102.30000000000001</v>
      </c>
      <c r="M858" s="1">
        <v>10</v>
      </c>
      <c r="N858" s="1">
        <v>0</v>
      </c>
      <c r="O858" s="17">
        <v>26.598000000000006</v>
      </c>
      <c r="P858" s="17">
        <f>('Work File (2)'!$L858*'Work File (2)'!$M858)*(1-'Work File (2)'!$N858)</f>
        <v>1023.0000000000001</v>
      </c>
      <c r="Q858" s="1">
        <f>YEAR(Table2[[#This Row],[Order Date]])</f>
        <v>2016</v>
      </c>
      <c r="R858" s="18" t="str">
        <f>TEXT(Table2[[#This Row],[Order Date]],"mmm")</f>
        <v>Aug</v>
      </c>
      <c r="S858" s="18"/>
    </row>
    <row r="859" spans="1:19" x14ac:dyDescent="0.2">
      <c r="A859" s="1">
        <v>858</v>
      </c>
      <c r="B859" s="1" t="s">
        <v>1644</v>
      </c>
      <c r="C859" s="2">
        <v>42585</v>
      </c>
      <c r="D859" s="1" t="s">
        <v>36</v>
      </c>
      <c r="E859" s="1" t="s">
        <v>1645</v>
      </c>
      <c r="F859" s="1" t="s">
        <v>178</v>
      </c>
      <c r="G859" s="1" t="s">
        <v>179</v>
      </c>
      <c r="H859" s="1" t="s">
        <v>103</v>
      </c>
      <c r="I859" s="1" t="s">
        <v>32</v>
      </c>
      <c r="J859" s="1" t="s">
        <v>42</v>
      </c>
      <c r="K859" s="1" t="s">
        <v>1648</v>
      </c>
      <c r="L859" s="17">
        <v>21.36</v>
      </c>
      <c r="M859" s="1">
        <v>2</v>
      </c>
      <c r="N859" s="1">
        <v>0</v>
      </c>
      <c r="O859" s="17">
        <v>5.7672000000000008</v>
      </c>
      <c r="P859" s="17">
        <f>('Work File (2)'!$L859*'Work File (2)'!$M859)*(1-'Work File (2)'!$N859)</f>
        <v>42.72</v>
      </c>
      <c r="Q859" s="1">
        <f>YEAR(Table2[[#This Row],[Order Date]])</f>
        <v>2016</v>
      </c>
      <c r="R859" s="18" t="str">
        <f>TEXT(Table2[[#This Row],[Order Date]],"mmm")</f>
        <v>Aug</v>
      </c>
      <c r="S859" s="18"/>
    </row>
    <row r="860" spans="1:19" x14ac:dyDescent="0.2">
      <c r="A860" s="1">
        <v>859</v>
      </c>
      <c r="B860" s="1" t="s">
        <v>1649</v>
      </c>
      <c r="C860" s="2">
        <v>43565</v>
      </c>
      <c r="D860" s="1" t="s">
        <v>36</v>
      </c>
      <c r="E860" s="1" t="s">
        <v>1650</v>
      </c>
      <c r="F860" s="1" t="s">
        <v>1651</v>
      </c>
      <c r="G860" s="1" t="s">
        <v>504</v>
      </c>
      <c r="H860" s="1" t="s">
        <v>103</v>
      </c>
      <c r="I860" s="1" t="s">
        <v>32</v>
      </c>
      <c r="J860" s="1" t="s">
        <v>63</v>
      </c>
      <c r="K860" s="1" t="s">
        <v>601</v>
      </c>
      <c r="L860" s="17">
        <v>7.61</v>
      </c>
      <c r="M860" s="1">
        <v>1</v>
      </c>
      <c r="N860" s="1">
        <v>0</v>
      </c>
      <c r="O860" s="17">
        <v>3.5766999999999998</v>
      </c>
      <c r="P860" s="17">
        <f>('Work File (2)'!$L860*'Work File (2)'!$M860)*(1-'Work File (2)'!$N860)</f>
        <v>7.61</v>
      </c>
      <c r="Q860" s="1">
        <f>YEAR(Table2[[#This Row],[Order Date]])</f>
        <v>2019</v>
      </c>
      <c r="R860" s="18" t="str">
        <f>TEXT(Table2[[#This Row],[Order Date]],"mmm")</f>
        <v>Apr</v>
      </c>
      <c r="S860" s="18"/>
    </row>
    <row r="861" spans="1:19" x14ac:dyDescent="0.2">
      <c r="A861" s="1">
        <v>860</v>
      </c>
      <c r="B861" s="1" t="s">
        <v>1649</v>
      </c>
      <c r="C861" s="2">
        <v>43565</v>
      </c>
      <c r="D861" s="1" t="s">
        <v>36</v>
      </c>
      <c r="E861" s="1" t="s">
        <v>1650</v>
      </c>
      <c r="F861" s="1" t="s">
        <v>1651</v>
      </c>
      <c r="G861" s="1" t="s">
        <v>504</v>
      </c>
      <c r="H861" s="1" t="s">
        <v>103</v>
      </c>
      <c r="I861" s="1" t="s">
        <v>32</v>
      </c>
      <c r="J861" s="1" t="s">
        <v>180</v>
      </c>
      <c r="K861" s="1" t="s">
        <v>737</v>
      </c>
      <c r="L861" s="17">
        <v>7.16</v>
      </c>
      <c r="M861" s="1">
        <v>2</v>
      </c>
      <c r="N861" s="1">
        <v>0</v>
      </c>
      <c r="O861" s="17">
        <v>3.58</v>
      </c>
      <c r="P861" s="17">
        <f>('Work File (2)'!$L861*'Work File (2)'!$M861)*(1-'Work File (2)'!$N861)</f>
        <v>14.32</v>
      </c>
      <c r="Q861" s="1">
        <f>YEAR(Table2[[#This Row],[Order Date]])</f>
        <v>2019</v>
      </c>
      <c r="R861" s="18" t="str">
        <f>TEXT(Table2[[#This Row],[Order Date]],"mmm")</f>
        <v>Apr</v>
      </c>
      <c r="S861" s="18"/>
    </row>
    <row r="862" spans="1:19" x14ac:dyDescent="0.2">
      <c r="A862" s="1">
        <v>861</v>
      </c>
      <c r="B862" s="1" t="s">
        <v>1652</v>
      </c>
      <c r="C862" s="2">
        <v>42530</v>
      </c>
      <c r="D862" s="1" t="s">
        <v>36</v>
      </c>
      <c r="E862" s="1" t="s">
        <v>1653</v>
      </c>
      <c r="F862" s="1" t="s">
        <v>89</v>
      </c>
      <c r="G862" s="1" t="s">
        <v>30</v>
      </c>
      <c r="H862" s="1" t="s">
        <v>31</v>
      </c>
      <c r="I862" s="1" t="s">
        <v>32</v>
      </c>
      <c r="J862" s="1" t="s">
        <v>372</v>
      </c>
      <c r="K862" s="1" t="s">
        <v>812</v>
      </c>
      <c r="L862" s="17">
        <v>7.36</v>
      </c>
      <c r="M862" s="1">
        <v>2</v>
      </c>
      <c r="N862" s="1">
        <v>0</v>
      </c>
      <c r="O862" s="17">
        <v>0.14719999999999978</v>
      </c>
      <c r="P862" s="17">
        <f>('Work File (2)'!$L862*'Work File (2)'!$M862)*(1-'Work File (2)'!$N862)</f>
        <v>14.72</v>
      </c>
      <c r="Q862" s="1">
        <f>YEAR(Table2[[#This Row],[Order Date]])</f>
        <v>2016</v>
      </c>
      <c r="R862" s="18" t="str">
        <f>TEXT(Table2[[#This Row],[Order Date]],"mmm")</f>
        <v>Jun</v>
      </c>
      <c r="S862" s="18"/>
    </row>
    <row r="863" spans="1:19" x14ac:dyDescent="0.2">
      <c r="A863" s="1">
        <v>862</v>
      </c>
      <c r="B863" s="1" t="s">
        <v>1652</v>
      </c>
      <c r="C863" s="2">
        <v>42530</v>
      </c>
      <c r="D863" s="1" t="s">
        <v>36</v>
      </c>
      <c r="E863" s="1" t="s">
        <v>1653</v>
      </c>
      <c r="F863" s="1" t="s">
        <v>89</v>
      </c>
      <c r="G863" s="1" t="s">
        <v>30</v>
      </c>
      <c r="H863" s="1" t="s">
        <v>31</v>
      </c>
      <c r="I863" s="1" t="s">
        <v>32</v>
      </c>
      <c r="J863" s="1" t="s">
        <v>48</v>
      </c>
      <c r="K863" s="1" t="s">
        <v>1654</v>
      </c>
      <c r="L863" s="17">
        <v>23.1</v>
      </c>
      <c r="M863" s="1">
        <v>2</v>
      </c>
      <c r="N863" s="1">
        <v>0</v>
      </c>
      <c r="O863" s="17">
        <v>10.625999999999999</v>
      </c>
      <c r="P863" s="17">
        <f>('Work File (2)'!$L863*'Work File (2)'!$M863)*(1-'Work File (2)'!$N863)</f>
        <v>46.2</v>
      </c>
      <c r="Q863" s="1">
        <f>YEAR(Table2[[#This Row],[Order Date]])</f>
        <v>2016</v>
      </c>
      <c r="R863" s="18" t="str">
        <f>TEXT(Table2[[#This Row],[Order Date]],"mmm")</f>
        <v>Jun</v>
      </c>
      <c r="S863" s="18"/>
    </row>
    <row r="864" spans="1:19" x14ac:dyDescent="0.2">
      <c r="A864" s="1">
        <v>863</v>
      </c>
      <c r="B864" s="1" t="s">
        <v>1655</v>
      </c>
      <c r="C864" s="2">
        <v>43105</v>
      </c>
      <c r="D864" s="1" t="s">
        <v>17</v>
      </c>
      <c r="E864" s="1" t="s">
        <v>1510</v>
      </c>
      <c r="F864" s="1" t="s">
        <v>953</v>
      </c>
      <c r="G864" s="1" t="s">
        <v>39</v>
      </c>
      <c r="H864" s="1" t="s">
        <v>21</v>
      </c>
      <c r="I864" s="1" t="s">
        <v>50</v>
      </c>
      <c r="J864" s="1" t="s">
        <v>111</v>
      </c>
      <c r="K864" s="1" t="s">
        <v>1656</v>
      </c>
      <c r="L864" s="17">
        <v>191.47200000000001</v>
      </c>
      <c r="M864" s="1">
        <v>6</v>
      </c>
      <c r="N864" s="1">
        <v>0.2</v>
      </c>
      <c r="O864" s="17">
        <v>40.687800000000003</v>
      </c>
      <c r="P864" s="17">
        <f>('Work File (2)'!$L864*'Work File (2)'!$M864)*(1-'Work File (2)'!$N864)</f>
        <v>919.06560000000013</v>
      </c>
      <c r="Q864" s="1">
        <f>YEAR(Table2[[#This Row],[Order Date]])</f>
        <v>2018</v>
      </c>
      <c r="R864" s="18" t="str">
        <f>TEXT(Table2[[#This Row],[Order Date]],"mmm")</f>
        <v>Jan</v>
      </c>
      <c r="S864" s="18"/>
    </row>
    <row r="865" spans="1:19" x14ac:dyDescent="0.2">
      <c r="A865" s="1">
        <v>864</v>
      </c>
      <c r="B865" s="1" t="s">
        <v>1655</v>
      </c>
      <c r="C865" s="2">
        <v>43105</v>
      </c>
      <c r="D865" s="1" t="s">
        <v>17</v>
      </c>
      <c r="E865" s="1" t="s">
        <v>1510</v>
      </c>
      <c r="F865" s="1" t="s">
        <v>953</v>
      </c>
      <c r="G865" s="1" t="s">
        <v>39</v>
      </c>
      <c r="H865" s="1" t="s">
        <v>21</v>
      </c>
      <c r="I865" s="1" t="s">
        <v>32</v>
      </c>
      <c r="J865" s="1" t="s">
        <v>48</v>
      </c>
      <c r="K865" s="1" t="s">
        <v>1657</v>
      </c>
      <c r="L865" s="17">
        <v>5.2480000000000002</v>
      </c>
      <c r="M865" s="1">
        <v>2</v>
      </c>
      <c r="N865" s="1">
        <v>0.2</v>
      </c>
      <c r="O865" s="17">
        <v>0.59039999999999915</v>
      </c>
      <c r="P865" s="17">
        <f>('Work File (2)'!$L865*'Work File (2)'!$M865)*(1-'Work File (2)'!$N865)</f>
        <v>8.3968000000000007</v>
      </c>
      <c r="Q865" s="1">
        <f>YEAR(Table2[[#This Row],[Order Date]])</f>
        <v>2018</v>
      </c>
      <c r="R865" s="18" t="str">
        <f>TEXT(Table2[[#This Row],[Order Date]],"mmm")</f>
        <v>Jan</v>
      </c>
      <c r="S865" s="18"/>
    </row>
    <row r="866" spans="1:19" x14ac:dyDescent="0.2">
      <c r="A866" s="1">
        <v>865</v>
      </c>
      <c r="B866" s="1" t="s">
        <v>1655</v>
      </c>
      <c r="C866" s="2">
        <v>43105</v>
      </c>
      <c r="D866" s="1" t="s">
        <v>17</v>
      </c>
      <c r="E866" s="1" t="s">
        <v>1510</v>
      </c>
      <c r="F866" s="1" t="s">
        <v>953</v>
      </c>
      <c r="G866" s="1" t="s">
        <v>39</v>
      </c>
      <c r="H866" s="1" t="s">
        <v>21</v>
      </c>
      <c r="I866" s="1" t="s">
        <v>50</v>
      </c>
      <c r="J866" s="1" t="s">
        <v>51</v>
      </c>
      <c r="K866" s="1" t="s">
        <v>1658</v>
      </c>
      <c r="L866" s="17">
        <v>59.184000000000005</v>
      </c>
      <c r="M866" s="1">
        <v>2</v>
      </c>
      <c r="N866" s="1">
        <v>0.2</v>
      </c>
      <c r="O866" s="17">
        <v>5.1786000000000012</v>
      </c>
      <c r="P866" s="17">
        <f>('Work File (2)'!$L866*'Work File (2)'!$M866)*(1-'Work File (2)'!$N866)</f>
        <v>94.694400000000016</v>
      </c>
      <c r="Q866" s="1">
        <f>YEAR(Table2[[#This Row],[Order Date]])</f>
        <v>2018</v>
      </c>
      <c r="R866" s="18" t="str">
        <f>TEXT(Table2[[#This Row],[Order Date]],"mmm")</f>
        <v>Jan</v>
      </c>
      <c r="S866" s="18"/>
    </row>
    <row r="867" spans="1:19" x14ac:dyDescent="0.2">
      <c r="A867" s="1">
        <v>866</v>
      </c>
      <c r="B867" s="1" t="s">
        <v>1659</v>
      </c>
      <c r="C867" s="2">
        <v>42379</v>
      </c>
      <c r="D867" s="1" t="s">
        <v>36</v>
      </c>
      <c r="E867" s="1" t="s">
        <v>1660</v>
      </c>
      <c r="F867" s="1" t="s">
        <v>210</v>
      </c>
      <c r="G867" s="1" t="s">
        <v>211</v>
      </c>
      <c r="H867" s="1" t="s">
        <v>21</v>
      </c>
      <c r="I867" s="1" t="s">
        <v>32</v>
      </c>
      <c r="J867" s="1" t="s">
        <v>33</v>
      </c>
      <c r="K867" s="1" t="s">
        <v>1661</v>
      </c>
      <c r="L867" s="17">
        <v>2.89</v>
      </c>
      <c r="M867" s="1">
        <v>1</v>
      </c>
      <c r="N867" s="1">
        <v>0</v>
      </c>
      <c r="O867" s="17">
        <v>1.3583000000000001</v>
      </c>
      <c r="P867" s="17">
        <f>('Work File (2)'!$L867*'Work File (2)'!$M867)*(1-'Work File (2)'!$N867)</f>
        <v>2.89</v>
      </c>
      <c r="Q867" s="1">
        <f>YEAR(Table2[[#This Row],[Order Date]])</f>
        <v>2016</v>
      </c>
      <c r="R867" s="18" t="str">
        <f>TEXT(Table2[[#This Row],[Order Date]],"mmm")</f>
        <v>Jan</v>
      </c>
      <c r="S867" s="18"/>
    </row>
    <row r="868" spans="1:19" x14ac:dyDescent="0.2">
      <c r="A868" s="1">
        <v>867</v>
      </c>
      <c r="B868" s="1" t="s">
        <v>1659</v>
      </c>
      <c r="C868" s="2">
        <v>42379</v>
      </c>
      <c r="D868" s="1" t="s">
        <v>36</v>
      </c>
      <c r="E868" s="1" t="s">
        <v>1660</v>
      </c>
      <c r="F868" s="1" t="s">
        <v>210</v>
      </c>
      <c r="G868" s="1" t="s">
        <v>211</v>
      </c>
      <c r="H868" s="1" t="s">
        <v>21</v>
      </c>
      <c r="I868" s="1" t="s">
        <v>22</v>
      </c>
      <c r="J868" s="1" t="s">
        <v>46</v>
      </c>
      <c r="K868" s="1" t="s">
        <v>1662</v>
      </c>
      <c r="L868" s="17">
        <v>51.94</v>
      </c>
      <c r="M868" s="1">
        <v>1</v>
      </c>
      <c r="N868" s="1">
        <v>0</v>
      </c>
      <c r="O868" s="17">
        <v>21.295400000000001</v>
      </c>
      <c r="P868" s="17">
        <f>('Work File (2)'!$L868*'Work File (2)'!$M868)*(1-'Work File (2)'!$N868)</f>
        <v>51.94</v>
      </c>
      <c r="Q868" s="1">
        <f>YEAR(Table2[[#This Row],[Order Date]])</f>
        <v>2016</v>
      </c>
      <c r="R868" s="18" t="str">
        <f>TEXT(Table2[[#This Row],[Order Date]],"mmm")</f>
        <v>Jan</v>
      </c>
      <c r="S868" s="18"/>
    </row>
    <row r="869" spans="1:19" x14ac:dyDescent="0.2">
      <c r="A869" s="1">
        <v>868</v>
      </c>
      <c r="B869" s="1" t="s">
        <v>1663</v>
      </c>
      <c r="C869" s="2">
        <v>43372</v>
      </c>
      <c r="D869" s="1" t="s">
        <v>128</v>
      </c>
      <c r="E869" s="1" t="s">
        <v>1664</v>
      </c>
      <c r="F869" s="1" t="s">
        <v>101</v>
      </c>
      <c r="G869" s="1" t="s">
        <v>102</v>
      </c>
      <c r="H869" s="1" t="s">
        <v>103</v>
      </c>
      <c r="I869" s="1" t="s">
        <v>32</v>
      </c>
      <c r="J869" s="1" t="s">
        <v>33</v>
      </c>
      <c r="K869" s="1" t="s">
        <v>1665</v>
      </c>
      <c r="L869" s="17">
        <v>15.936000000000002</v>
      </c>
      <c r="M869" s="1">
        <v>4</v>
      </c>
      <c r="N869" s="1">
        <v>0.2</v>
      </c>
      <c r="O869" s="17">
        <v>5.1791999999999998</v>
      </c>
      <c r="P869" s="17">
        <f>('Work File (2)'!$L869*'Work File (2)'!$M869)*(1-'Work File (2)'!$N869)</f>
        <v>50.995200000000011</v>
      </c>
      <c r="Q869" s="1">
        <f>YEAR(Table2[[#This Row],[Order Date]])</f>
        <v>2018</v>
      </c>
      <c r="R869" s="18" t="str">
        <f>TEXT(Table2[[#This Row],[Order Date]],"mmm")</f>
        <v>Sep</v>
      </c>
      <c r="S869" s="18"/>
    </row>
    <row r="870" spans="1:19" x14ac:dyDescent="0.2">
      <c r="A870" s="1">
        <v>869</v>
      </c>
      <c r="B870" s="1" t="s">
        <v>1666</v>
      </c>
      <c r="C870" s="2">
        <v>42466</v>
      </c>
      <c r="D870" s="1" t="s">
        <v>36</v>
      </c>
      <c r="E870" s="1" t="s">
        <v>1667</v>
      </c>
      <c r="F870" s="1" t="s">
        <v>1533</v>
      </c>
      <c r="G870" s="1" t="s">
        <v>102</v>
      </c>
      <c r="H870" s="1" t="s">
        <v>103</v>
      </c>
      <c r="I870" s="1" t="s">
        <v>32</v>
      </c>
      <c r="J870" s="1" t="s">
        <v>53</v>
      </c>
      <c r="K870" s="1" t="s">
        <v>1668</v>
      </c>
      <c r="L870" s="17">
        <v>44.910000000000011</v>
      </c>
      <c r="M870" s="1">
        <v>6</v>
      </c>
      <c r="N870" s="1">
        <v>0.7</v>
      </c>
      <c r="O870" s="17">
        <v>-35.927999999999997</v>
      </c>
      <c r="P870" s="17">
        <f>('Work File (2)'!$L870*'Work File (2)'!$M870)*(1-'Work File (2)'!$N870)</f>
        <v>80.838000000000022</v>
      </c>
      <c r="Q870" s="1">
        <f>YEAR(Table2[[#This Row],[Order Date]])</f>
        <v>2016</v>
      </c>
      <c r="R870" s="18" t="str">
        <f>TEXT(Table2[[#This Row],[Order Date]],"mmm")</f>
        <v>Apr</v>
      </c>
      <c r="S870" s="18"/>
    </row>
    <row r="871" spans="1:19" x14ac:dyDescent="0.2">
      <c r="A871" s="1">
        <v>870</v>
      </c>
      <c r="B871" s="1" t="s">
        <v>1669</v>
      </c>
      <c r="C871" s="2">
        <v>43346</v>
      </c>
      <c r="D871" s="1" t="s">
        <v>128</v>
      </c>
      <c r="E871" s="1" t="s">
        <v>1670</v>
      </c>
      <c r="F871" s="1" t="s">
        <v>101</v>
      </c>
      <c r="G871" s="1" t="s">
        <v>102</v>
      </c>
      <c r="H871" s="1" t="s">
        <v>103</v>
      </c>
      <c r="I871" s="1" t="s">
        <v>32</v>
      </c>
      <c r="J871" s="1" t="s">
        <v>53</v>
      </c>
      <c r="K871" s="1" t="s">
        <v>1671</v>
      </c>
      <c r="L871" s="17">
        <v>1141.4700000000003</v>
      </c>
      <c r="M871" s="1">
        <v>5</v>
      </c>
      <c r="N871" s="1">
        <v>0.7</v>
      </c>
      <c r="O871" s="17">
        <v>-760.98000000000025</v>
      </c>
      <c r="P871" s="17">
        <f>('Work File (2)'!$L871*'Work File (2)'!$M871)*(1-'Work File (2)'!$N871)</f>
        <v>1712.2050000000006</v>
      </c>
      <c r="Q871" s="1">
        <f>YEAR(Table2[[#This Row],[Order Date]])</f>
        <v>2018</v>
      </c>
      <c r="R871" s="18" t="str">
        <f>TEXT(Table2[[#This Row],[Order Date]],"mmm")</f>
        <v>Sep</v>
      </c>
      <c r="S871" s="18"/>
    </row>
    <row r="872" spans="1:19" x14ac:dyDescent="0.2">
      <c r="A872" s="1">
        <v>871</v>
      </c>
      <c r="B872" s="1" t="s">
        <v>1669</v>
      </c>
      <c r="C872" s="2">
        <v>43346</v>
      </c>
      <c r="D872" s="1" t="s">
        <v>128</v>
      </c>
      <c r="E872" s="1" t="s">
        <v>1670</v>
      </c>
      <c r="F872" s="1" t="s">
        <v>101</v>
      </c>
      <c r="G872" s="1" t="s">
        <v>102</v>
      </c>
      <c r="H872" s="1" t="s">
        <v>103</v>
      </c>
      <c r="I872" s="1" t="s">
        <v>50</v>
      </c>
      <c r="J872" s="1" t="s">
        <v>51</v>
      </c>
      <c r="K872" s="1" t="s">
        <v>1195</v>
      </c>
      <c r="L872" s="17">
        <v>280.78200000000004</v>
      </c>
      <c r="M872" s="1">
        <v>3</v>
      </c>
      <c r="N872" s="1">
        <v>0.4</v>
      </c>
      <c r="O872" s="17">
        <v>-46.797000000000025</v>
      </c>
      <c r="P872" s="17">
        <f>('Work File (2)'!$L872*'Work File (2)'!$M872)*(1-'Work File (2)'!$N872)</f>
        <v>505.40760000000006</v>
      </c>
      <c r="Q872" s="1">
        <f>YEAR(Table2[[#This Row],[Order Date]])</f>
        <v>2018</v>
      </c>
      <c r="R872" s="18" t="str">
        <f>TEXT(Table2[[#This Row],[Order Date]],"mmm")</f>
        <v>Sep</v>
      </c>
      <c r="S872" s="18"/>
    </row>
    <row r="873" spans="1:19" x14ac:dyDescent="0.2">
      <c r="A873" s="1">
        <v>872</v>
      </c>
      <c r="B873" s="1" t="s">
        <v>1672</v>
      </c>
      <c r="C873" s="2">
        <v>43027</v>
      </c>
      <c r="D873" s="1" t="s">
        <v>128</v>
      </c>
      <c r="E873" s="1" t="s">
        <v>114</v>
      </c>
      <c r="F873" s="1" t="s">
        <v>61</v>
      </c>
      <c r="G873" s="1" t="s">
        <v>1673</v>
      </c>
      <c r="H873" s="1" t="s">
        <v>103</v>
      </c>
      <c r="I873" s="1" t="s">
        <v>32</v>
      </c>
      <c r="J873" s="1" t="s">
        <v>63</v>
      </c>
      <c r="K873" s="1" t="s">
        <v>1674</v>
      </c>
      <c r="L873" s="17">
        <v>34.44</v>
      </c>
      <c r="M873" s="1">
        <v>3</v>
      </c>
      <c r="N873" s="1">
        <v>0</v>
      </c>
      <c r="O873" s="17">
        <v>17.22</v>
      </c>
      <c r="P873" s="17">
        <f>('Work File (2)'!$L873*'Work File (2)'!$M873)*(1-'Work File (2)'!$N873)</f>
        <v>103.32</v>
      </c>
      <c r="Q873" s="1">
        <f>YEAR(Table2[[#This Row],[Order Date]])</f>
        <v>2017</v>
      </c>
      <c r="R873" s="18" t="str">
        <f>TEXT(Table2[[#This Row],[Order Date]],"mmm")</f>
        <v>Oct</v>
      </c>
      <c r="S873" s="18"/>
    </row>
    <row r="874" spans="1:19" x14ac:dyDescent="0.2">
      <c r="A874" s="1">
        <v>873</v>
      </c>
      <c r="B874" s="1" t="s">
        <v>1675</v>
      </c>
      <c r="C874" s="2">
        <v>42714</v>
      </c>
      <c r="D874" s="1" t="s">
        <v>36</v>
      </c>
      <c r="E874" s="1" t="s">
        <v>1676</v>
      </c>
      <c r="F874" s="1" t="s">
        <v>178</v>
      </c>
      <c r="G874" s="1" t="s">
        <v>179</v>
      </c>
      <c r="H874" s="1" t="s">
        <v>103</v>
      </c>
      <c r="I874" s="1" t="s">
        <v>32</v>
      </c>
      <c r="J874" s="1" t="s">
        <v>63</v>
      </c>
      <c r="K874" s="1" t="s">
        <v>655</v>
      </c>
      <c r="L874" s="17">
        <v>11.36</v>
      </c>
      <c r="M874" s="1">
        <v>2</v>
      </c>
      <c r="N874" s="1">
        <v>0</v>
      </c>
      <c r="O874" s="17">
        <v>5.2255999999999991</v>
      </c>
      <c r="P874" s="17">
        <f>('Work File (2)'!$L874*'Work File (2)'!$M874)*(1-'Work File (2)'!$N874)</f>
        <v>22.72</v>
      </c>
      <c r="Q874" s="1">
        <f>YEAR(Table2[[#This Row],[Order Date]])</f>
        <v>2016</v>
      </c>
      <c r="R874" s="18" t="str">
        <f>TEXT(Table2[[#This Row],[Order Date]],"mmm")</f>
        <v>Dec</v>
      </c>
      <c r="S874" s="18"/>
    </row>
    <row r="875" spans="1:19" x14ac:dyDescent="0.2">
      <c r="A875" s="1">
        <v>874</v>
      </c>
      <c r="B875" s="1" t="s">
        <v>1675</v>
      </c>
      <c r="C875" s="2">
        <v>42714</v>
      </c>
      <c r="D875" s="1" t="s">
        <v>36</v>
      </c>
      <c r="E875" s="1" t="s">
        <v>1676</v>
      </c>
      <c r="F875" s="1" t="s">
        <v>178</v>
      </c>
      <c r="G875" s="1" t="s">
        <v>179</v>
      </c>
      <c r="H875" s="1" t="s">
        <v>103</v>
      </c>
      <c r="I875" s="1" t="s">
        <v>32</v>
      </c>
      <c r="J875" s="1" t="s">
        <v>53</v>
      </c>
      <c r="K875" s="1" t="s">
        <v>1001</v>
      </c>
      <c r="L875" s="17">
        <v>106.34399999999999</v>
      </c>
      <c r="M875" s="1">
        <v>7</v>
      </c>
      <c r="N875" s="1">
        <v>0.2</v>
      </c>
      <c r="O875" s="17">
        <v>37.220399999999998</v>
      </c>
      <c r="P875" s="17">
        <f>('Work File (2)'!$L875*'Work File (2)'!$M875)*(1-'Work File (2)'!$N875)</f>
        <v>595.52639999999997</v>
      </c>
      <c r="Q875" s="1">
        <f>YEAR(Table2[[#This Row],[Order Date]])</f>
        <v>2016</v>
      </c>
      <c r="R875" s="18" t="str">
        <f>TEXT(Table2[[#This Row],[Order Date]],"mmm")</f>
        <v>Dec</v>
      </c>
      <c r="S875" s="18"/>
    </row>
    <row r="876" spans="1:19" x14ac:dyDescent="0.2">
      <c r="A876" s="1">
        <v>875</v>
      </c>
      <c r="B876" s="1" t="s">
        <v>1677</v>
      </c>
      <c r="C876" s="2">
        <v>43702</v>
      </c>
      <c r="D876" s="1" t="s">
        <v>36</v>
      </c>
      <c r="E876" s="1" t="s">
        <v>1630</v>
      </c>
      <c r="F876" s="1" t="s">
        <v>304</v>
      </c>
      <c r="G876" s="1" t="s">
        <v>62</v>
      </c>
      <c r="H876" s="1" t="s">
        <v>21</v>
      </c>
      <c r="I876" s="1" t="s">
        <v>32</v>
      </c>
      <c r="J876" s="1" t="s">
        <v>63</v>
      </c>
      <c r="K876" s="1" t="s">
        <v>1678</v>
      </c>
      <c r="L876" s="17">
        <v>192.16000000000003</v>
      </c>
      <c r="M876" s="1">
        <v>5</v>
      </c>
      <c r="N876" s="1">
        <v>0.2</v>
      </c>
      <c r="O876" s="17">
        <v>67.255999999999986</v>
      </c>
      <c r="P876" s="17">
        <f>('Work File (2)'!$L876*'Work File (2)'!$M876)*(1-'Work File (2)'!$N876)</f>
        <v>768.64000000000021</v>
      </c>
      <c r="Q876" s="1">
        <f>YEAR(Table2[[#This Row],[Order Date]])</f>
        <v>2019</v>
      </c>
      <c r="R876" s="18" t="str">
        <f>TEXT(Table2[[#This Row],[Order Date]],"mmm")</f>
        <v>Aug</v>
      </c>
      <c r="S876" s="18"/>
    </row>
    <row r="877" spans="1:19" x14ac:dyDescent="0.2">
      <c r="A877" s="1">
        <v>876</v>
      </c>
      <c r="B877" s="1" t="s">
        <v>1679</v>
      </c>
      <c r="C877" s="2">
        <v>43117</v>
      </c>
      <c r="D877" s="1" t="s">
        <v>36</v>
      </c>
      <c r="E877" s="1" t="s">
        <v>1322</v>
      </c>
      <c r="F877" s="1" t="s">
        <v>61</v>
      </c>
      <c r="G877" s="1" t="s">
        <v>1673</v>
      </c>
      <c r="H877" s="1" t="s">
        <v>103</v>
      </c>
      <c r="I877" s="1" t="s">
        <v>22</v>
      </c>
      <c r="J877" s="1" t="s">
        <v>46</v>
      </c>
      <c r="K877" s="1" t="s">
        <v>575</v>
      </c>
      <c r="L877" s="17">
        <v>322.59000000000003</v>
      </c>
      <c r="M877" s="1">
        <v>3</v>
      </c>
      <c r="N877" s="1">
        <v>0</v>
      </c>
      <c r="O877" s="17">
        <v>64.518000000000001</v>
      </c>
      <c r="P877" s="17">
        <f>('Work File (2)'!$L877*'Work File (2)'!$M877)*(1-'Work File (2)'!$N877)</f>
        <v>967.7700000000001</v>
      </c>
      <c r="Q877" s="1">
        <f>YEAR(Table2[[#This Row],[Order Date]])</f>
        <v>2018</v>
      </c>
      <c r="R877" s="18" t="str">
        <f>TEXT(Table2[[#This Row],[Order Date]],"mmm")</f>
        <v>Jan</v>
      </c>
      <c r="S877" s="18"/>
    </row>
    <row r="878" spans="1:19" x14ac:dyDescent="0.2">
      <c r="A878" s="1">
        <v>877</v>
      </c>
      <c r="B878" s="1" t="s">
        <v>1679</v>
      </c>
      <c r="C878" s="2">
        <v>43117</v>
      </c>
      <c r="D878" s="1" t="s">
        <v>36</v>
      </c>
      <c r="E878" s="1" t="s">
        <v>1322</v>
      </c>
      <c r="F878" s="1" t="s">
        <v>61</v>
      </c>
      <c r="G878" s="1" t="s">
        <v>1673</v>
      </c>
      <c r="H878" s="1" t="s">
        <v>103</v>
      </c>
      <c r="I878" s="1" t="s">
        <v>50</v>
      </c>
      <c r="J878" s="1" t="s">
        <v>111</v>
      </c>
      <c r="K878" s="1" t="s">
        <v>644</v>
      </c>
      <c r="L878" s="17">
        <v>29.99</v>
      </c>
      <c r="M878" s="1">
        <v>1</v>
      </c>
      <c r="N878" s="1">
        <v>0</v>
      </c>
      <c r="O878" s="17">
        <v>13.195600000000002</v>
      </c>
      <c r="P878" s="17">
        <f>('Work File (2)'!$L878*'Work File (2)'!$M878)*(1-'Work File (2)'!$N878)</f>
        <v>29.99</v>
      </c>
      <c r="Q878" s="1">
        <f>YEAR(Table2[[#This Row],[Order Date]])</f>
        <v>2018</v>
      </c>
      <c r="R878" s="18" t="str">
        <f>TEXT(Table2[[#This Row],[Order Date]],"mmm")</f>
        <v>Jan</v>
      </c>
      <c r="S878" s="18"/>
    </row>
    <row r="879" spans="1:19" x14ac:dyDescent="0.2">
      <c r="A879" s="1">
        <v>878</v>
      </c>
      <c r="B879" s="1" t="s">
        <v>1679</v>
      </c>
      <c r="C879" s="2">
        <v>43117</v>
      </c>
      <c r="D879" s="1" t="s">
        <v>36</v>
      </c>
      <c r="E879" s="1" t="s">
        <v>1322</v>
      </c>
      <c r="F879" s="1" t="s">
        <v>61</v>
      </c>
      <c r="G879" s="1" t="s">
        <v>1673</v>
      </c>
      <c r="H879" s="1" t="s">
        <v>103</v>
      </c>
      <c r="I879" s="1" t="s">
        <v>50</v>
      </c>
      <c r="J879" s="1" t="s">
        <v>111</v>
      </c>
      <c r="K879" s="1" t="s">
        <v>1680</v>
      </c>
      <c r="L879" s="17">
        <v>371.96999999999997</v>
      </c>
      <c r="M879" s="1">
        <v>3</v>
      </c>
      <c r="N879" s="1">
        <v>0</v>
      </c>
      <c r="O879" s="17">
        <v>66.954599999999971</v>
      </c>
      <c r="P879" s="17">
        <f>('Work File (2)'!$L879*'Work File (2)'!$M879)*(1-'Work File (2)'!$N879)</f>
        <v>1115.9099999999999</v>
      </c>
      <c r="Q879" s="1">
        <f>YEAR(Table2[[#This Row],[Order Date]])</f>
        <v>2018</v>
      </c>
      <c r="R879" s="18" t="str">
        <f>TEXT(Table2[[#This Row],[Order Date]],"mmm")</f>
        <v>Jan</v>
      </c>
      <c r="S879" s="18"/>
    </row>
    <row r="880" spans="1:19" x14ac:dyDescent="0.2">
      <c r="A880" s="1">
        <v>879</v>
      </c>
      <c r="B880" s="1" t="s">
        <v>1681</v>
      </c>
      <c r="C880" s="2">
        <v>42630</v>
      </c>
      <c r="D880" s="1" t="s">
        <v>36</v>
      </c>
      <c r="E880" s="1" t="s">
        <v>1682</v>
      </c>
      <c r="F880" s="1" t="s">
        <v>101</v>
      </c>
      <c r="G880" s="1" t="s">
        <v>102</v>
      </c>
      <c r="H880" s="1" t="s">
        <v>103</v>
      </c>
      <c r="I880" s="1" t="s">
        <v>32</v>
      </c>
      <c r="J880" s="1" t="s">
        <v>53</v>
      </c>
      <c r="K880" s="1" t="s">
        <v>1683</v>
      </c>
      <c r="L880" s="17">
        <v>5.8920000000000012</v>
      </c>
      <c r="M880" s="1">
        <v>4</v>
      </c>
      <c r="N880" s="1">
        <v>0.7</v>
      </c>
      <c r="O880" s="17">
        <v>-4.1243999999999996</v>
      </c>
      <c r="P880" s="17">
        <f>('Work File (2)'!$L880*'Work File (2)'!$M880)*(1-'Work File (2)'!$N880)</f>
        <v>7.0704000000000029</v>
      </c>
      <c r="Q880" s="1">
        <f>YEAR(Table2[[#This Row],[Order Date]])</f>
        <v>2016</v>
      </c>
      <c r="R880" s="18" t="str">
        <f>TEXT(Table2[[#This Row],[Order Date]],"mmm")</f>
        <v>Sep</v>
      </c>
      <c r="S880" s="18"/>
    </row>
    <row r="881" spans="1:19" x14ac:dyDescent="0.2">
      <c r="A881" s="1">
        <v>880</v>
      </c>
      <c r="B881" s="1" t="s">
        <v>1684</v>
      </c>
      <c r="C881" s="2">
        <v>43799</v>
      </c>
      <c r="D881" s="1" t="s">
        <v>17</v>
      </c>
      <c r="E881" s="1" t="s">
        <v>71</v>
      </c>
      <c r="F881" s="1" t="s">
        <v>178</v>
      </c>
      <c r="G881" s="1" t="s">
        <v>179</v>
      </c>
      <c r="H881" s="1" t="s">
        <v>103</v>
      </c>
      <c r="I881" s="1" t="s">
        <v>32</v>
      </c>
      <c r="J881" s="1" t="s">
        <v>53</v>
      </c>
      <c r="K881" s="1" t="s">
        <v>1685</v>
      </c>
      <c r="L881" s="17">
        <v>68.472000000000008</v>
      </c>
      <c r="M881" s="1">
        <v>3</v>
      </c>
      <c r="N881" s="1">
        <v>0.2</v>
      </c>
      <c r="O881" s="17">
        <v>23.109299999999998</v>
      </c>
      <c r="P881" s="17">
        <f>('Work File (2)'!$L881*'Work File (2)'!$M881)*(1-'Work File (2)'!$N881)</f>
        <v>164.33280000000002</v>
      </c>
      <c r="Q881" s="1">
        <f>YEAR(Table2[[#This Row],[Order Date]])</f>
        <v>2019</v>
      </c>
      <c r="R881" s="18" t="str">
        <f>TEXT(Table2[[#This Row],[Order Date]],"mmm")</f>
        <v>Nov</v>
      </c>
      <c r="S881" s="18"/>
    </row>
    <row r="882" spans="1:19" x14ac:dyDescent="0.2">
      <c r="A882" s="1">
        <v>881</v>
      </c>
      <c r="B882" s="1" t="s">
        <v>1684</v>
      </c>
      <c r="C882" s="2">
        <v>43799</v>
      </c>
      <c r="D882" s="1" t="s">
        <v>17</v>
      </c>
      <c r="E882" s="1" t="s">
        <v>71</v>
      </c>
      <c r="F882" s="1" t="s">
        <v>178</v>
      </c>
      <c r="G882" s="1" t="s">
        <v>179</v>
      </c>
      <c r="H882" s="1" t="s">
        <v>103</v>
      </c>
      <c r="I882" s="1" t="s">
        <v>22</v>
      </c>
      <c r="J882" s="1" t="s">
        <v>25</v>
      </c>
      <c r="K882" s="1" t="s">
        <v>442</v>
      </c>
      <c r="L882" s="17">
        <v>1242.8999999999999</v>
      </c>
      <c r="M882" s="1">
        <v>5</v>
      </c>
      <c r="N882" s="1">
        <v>0.1</v>
      </c>
      <c r="O882" s="17">
        <v>262.38999999999987</v>
      </c>
      <c r="P882" s="17">
        <f>('Work File (2)'!$L882*'Work File (2)'!$M882)*(1-'Work File (2)'!$N882)</f>
        <v>5593.0499999999993</v>
      </c>
      <c r="Q882" s="1">
        <f>YEAR(Table2[[#This Row],[Order Date]])</f>
        <v>2019</v>
      </c>
      <c r="R882" s="18" t="str">
        <f>TEXT(Table2[[#This Row],[Order Date]],"mmm")</f>
        <v>Nov</v>
      </c>
      <c r="S882" s="18"/>
    </row>
    <row r="883" spans="1:19" x14ac:dyDescent="0.2">
      <c r="A883" s="1">
        <v>882</v>
      </c>
      <c r="B883" s="1" t="s">
        <v>1686</v>
      </c>
      <c r="C883" s="2">
        <v>43017</v>
      </c>
      <c r="D883" s="1" t="s">
        <v>36</v>
      </c>
      <c r="E883" s="1" t="s">
        <v>330</v>
      </c>
      <c r="F883" s="1" t="s">
        <v>210</v>
      </c>
      <c r="G883" s="1" t="s">
        <v>211</v>
      </c>
      <c r="H883" s="1" t="s">
        <v>21</v>
      </c>
      <c r="I883" s="1" t="s">
        <v>32</v>
      </c>
      <c r="J883" s="1" t="s">
        <v>42</v>
      </c>
      <c r="K883" s="1" t="s">
        <v>1021</v>
      </c>
      <c r="L883" s="17">
        <v>30.84</v>
      </c>
      <c r="M883" s="1">
        <v>2</v>
      </c>
      <c r="N883" s="1">
        <v>0</v>
      </c>
      <c r="O883" s="17">
        <v>8.3268000000000022</v>
      </c>
      <c r="P883" s="17">
        <f>('Work File (2)'!$L883*'Work File (2)'!$M883)*(1-'Work File (2)'!$N883)</f>
        <v>61.68</v>
      </c>
      <c r="Q883" s="1">
        <f>YEAR(Table2[[#This Row],[Order Date]])</f>
        <v>2017</v>
      </c>
      <c r="R883" s="18" t="str">
        <f>TEXT(Table2[[#This Row],[Order Date]],"mmm")</f>
        <v>Oct</v>
      </c>
      <c r="S883" s="18"/>
    </row>
    <row r="884" spans="1:19" x14ac:dyDescent="0.2">
      <c r="A884" s="1">
        <v>883</v>
      </c>
      <c r="B884" s="1" t="s">
        <v>1687</v>
      </c>
      <c r="C884" s="2">
        <v>43822</v>
      </c>
      <c r="D884" s="1" t="s">
        <v>808</v>
      </c>
      <c r="E884" s="1" t="s">
        <v>293</v>
      </c>
      <c r="F884" s="1" t="s">
        <v>89</v>
      </c>
      <c r="G884" s="1" t="s">
        <v>30</v>
      </c>
      <c r="H884" s="1" t="s">
        <v>31</v>
      </c>
      <c r="I884" s="1" t="s">
        <v>32</v>
      </c>
      <c r="J884" s="1" t="s">
        <v>48</v>
      </c>
      <c r="K884" s="1" t="s">
        <v>1400</v>
      </c>
      <c r="L884" s="17">
        <v>13.48</v>
      </c>
      <c r="M884" s="1">
        <v>4</v>
      </c>
      <c r="N884" s="1">
        <v>0</v>
      </c>
      <c r="O884" s="17">
        <v>5.9312000000000014</v>
      </c>
      <c r="P884" s="17">
        <f>('Work File (2)'!$L884*'Work File (2)'!$M884)*(1-'Work File (2)'!$N884)</f>
        <v>53.92</v>
      </c>
      <c r="Q884" s="1">
        <f>YEAR(Table2[[#This Row],[Order Date]])</f>
        <v>2019</v>
      </c>
      <c r="R884" s="18" t="str">
        <f>TEXT(Table2[[#This Row],[Order Date]],"mmm")</f>
        <v>Dec</v>
      </c>
      <c r="S884" s="18"/>
    </row>
    <row r="885" spans="1:19" x14ac:dyDescent="0.2">
      <c r="A885" s="1">
        <v>884</v>
      </c>
      <c r="B885" s="1" t="s">
        <v>1688</v>
      </c>
      <c r="C885" s="2">
        <v>43395</v>
      </c>
      <c r="D885" s="1" t="s">
        <v>128</v>
      </c>
      <c r="E885" s="1" t="s">
        <v>1689</v>
      </c>
      <c r="F885" s="1" t="s">
        <v>560</v>
      </c>
      <c r="G885" s="1" t="s">
        <v>160</v>
      </c>
      <c r="H885" s="1" t="s">
        <v>74</v>
      </c>
      <c r="I885" s="1" t="s">
        <v>22</v>
      </c>
      <c r="J885" s="1" t="s">
        <v>46</v>
      </c>
      <c r="K885" s="1" t="s">
        <v>1309</v>
      </c>
      <c r="L885" s="17">
        <v>31.400000000000002</v>
      </c>
      <c r="M885" s="1">
        <v>5</v>
      </c>
      <c r="N885" s="1">
        <v>0</v>
      </c>
      <c r="O885" s="17">
        <v>10.047999999999998</v>
      </c>
      <c r="P885" s="17">
        <f>('Work File (2)'!$L885*'Work File (2)'!$M885)*(1-'Work File (2)'!$N885)</f>
        <v>157</v>
      </c>
      <c r="Q885" s="1">
        <f>YEAR(Table2[[#This Row],[Order Date]])</f>
        <v>2018</v>
      </c>
      <c r="R885" s="18" t="str">
        <f>TEXT(Table2[[#This Row],[Order Date]],"mmm")</f>
        <v>Oct</v>
      </c>
      <c r="S885" s="18"/>
    </row>
    <row r="886" spans="1:19" x14ac:dyDescent="0.2">
      <c r="A886" s="1">
        <v>885</v>
      </c>
      <c r="B886" s="1" t="s">
        <v>1690</v>
      </c>
      <c r="C886" s="2">
        <v>42489</v>
      </c>
      <c r="D886" s="1" t="s">
        <v>36</v>
      </c>
      <c r="E886" s="1" t="s">
        <v>1691</v>
      </c>
      <c r="F886" s="1" t="s">
        <v>256</v>
      </c>
      <c r="G886" s="1" t="s">
        <v>179</v>
      </c>
      <c r="H886" s="1" t="s">
        <v>103</v>
      </c>
      <c r="I886" s="1" t="s">
        <v>22</v>
      </c>
      <c r="J886" s="1" t="s">
        <v>46</v>
      </c>
      <c r="K886" s="1" t="s">
        <v>1692</v>
      </c>
      <c r="L886" s="17">
        <v>17.46</v>
      </c>
      <c r="M886" s="1">
        <v>2</v>
      </c>
      <c r="N886" s="1">
        <v>0</v>
      </c>
      <c r="O886" s="17">
        <v>5.936399999999999</v>
      </c>
      <c r="P886" s="17">
        <f>('Work File (2)'!$L886*'Work File (2)'!$M886)*(1-'Work File (2)'!$N886)</f>
        <v>34.92</v>
      </c>
      <c r="Q886" s="1">
        <f>YEAR(Table2[[#This Row],[Order Date]])</f>
        <v>2016</v>
      </c>
      <c r="R886" s="18" t="str">
        <f>TEXT(Table2[[#This Row],[Order Date]],"mmm")</f>
        <v>Apr</v>
      </c>
      <c r="S886" s="18"/>
    </row>
    <row r="887" spans="1:19" x14ac:dyDescent="0.2">
      <c r="A887" s="1">
        <v>886</v>
      </c>
      <c r="B887" s="1" t="s">
        <v>1693</v>
      </c>
      <c r="C887" s="2">
        <v>42850</v>
      </c>
      <c r="D887" s="1" t="s">
        <v>17</v>
      </c>
      <c r="E887" s="1" t="s">
        <v>1694</v>
      </c>
      <c r="F887" s="1" t="s">
        <v>29</v>
      </c>
      <c r="G887" s="1" t="s">
        <v>30</v>
      </c>
      <c r="H887" s="1" t="s">
        <v>31</v>
      </c>
      <c r="I887" s="1" t="s">
        <v>32</v>
      </c>
      <c r="J887" s="1" t="s">
        <v>53</v>
      </c>
      <c r="K887" s="1" t="s">
        <v>1695</v>
      </c>
      <c r="L887" s="17">
        <v>13.943999999999999</v>
      </c>
      <c r="M887" s="1">
        <v>3</v>
      </c>
      <c r="N887" s="1">
        <v>0.2</v>
      </c>
      <c r="O887" s="17">
        <v>4.5317999999999996</v>
      </c>
      <c r="P887" s="17">
        <f>('Work File (2)'!$L887*'Work File (2)'!$M887)*(1-'Work File (2)'!$N887)</f>
        <v>33.465599999999995</v>
      </c>
      <c r="Q887" s="1">
        <f>YEAR(Table2[[#This Row],[Order Date]])</f>
        <v>2017</v>
      </c>
      <c r="R887" s="18" t="str">
        <f>TEXT(Table2[[#This Row],[Order Date]],"mmm")</f>
        <v>Apr</v>
      </c>
      <c r="S887" s="18"/>
    </row>
    <row r="888" spans="1:19" x14ac:dyDescent="0.2">
      <c r="A888" s="1">
        <v>887</v>
      </c>
      <c r="B888" s="1" t="s">
        <v>1696</v>
      </c>
      <c r="C888" s="2">
        <v>43642</v>
      </c>
      <c r="D888" s="1" t="s">
        <v>36</v>
      </c>
      <c r="E888" s="1" t="s">
        <v>1179</v>
      </c>
      <c r="F888" s="1" t="s">
        <v>600</v>
      </c>
      <c r="G888" s="1" t="s">
        <v>30</v>
      </c>
      <c r="H888" s="1" t="s">
        <v>31</v>
      </c>
      <c r="I888" s="1" t="s">
        <v>32</v>
      </c>
      <c r="J888" s="1" t="s">
        <v>42</v>
      </c>
      <c r="K888" s="1" t="s">
        <v>1697</v>
      </c>
      <c r="L888" s="17">
        <v>83.76</v>
      </c>
      <c r="M888" s="1">
        <v>12</v>
      </c>
      <c r="N888" s="1">
        <v>0</v>
      </c>
      <c r="O888" s="17">
        <v>1.6751999999999967</v>
      </c>
      <c r="P888" s="17">
        <f>('Work File (2)'!$L888*'Work File (2)'!$M888)*(1-'Work File (2)'!$N888)</f>
        <v>1005.1200000000001</v>
      </c>
      <c r="Q888" s="1">
        <f>YEAR(Table2[[#This Row],[Order Date]])</f>
        <v>2019</v>
      </c>
      <c r="R888" s="18" t="str">
        <f>TEXT(Table2[[#This Row],[Order Date]],"mmm")</f>
        <v>Jun</v>
      </c>
      <c r="S888" s="18"/>
    </row>
    <row r="889" spans="1:19" x14ac:dyDescent="0.2">
      <c r="A889" s="1">
        <v>888</v>
      </c>
      <c r="B889" s="1" t="s">
        <v>1698</v>
      </c>
      <c r="C889" s="2">
        <v>43752</v>
      </c>
      <c r="D889" s="1" t="s">
        <v>36</v>
      </c>
      <c r="E889" s="1" t="s">
        <v>1699</v>
      </c>
      <c r="F889" s="1" t="s">
        <v>251</v>
      </c>
      <c r="G889" s="1" t="s">
        <v>1700</v>
      </c>
      <c r="H889" s="1" t="s">
        <v>103</v>
      </c>
      <c r="I889" s="1" t="s">
        <v>32</v>
      </c>
      <c r="J889" s="1" t="s">
        <v>53</v>
      </c>
      <c r="K889" s="1" t="s">
        <v>195</v>
      </c>
      <c r="L889" s="17">
        <v>37.659999999999997</v>
      </c>
      <c r="M889" s="1">
        <v>7</v>
      </c>
      <c r="N889" s="1">
        <v>0</v>
      </c>
      <c r="O889" s="17">
        <v>18.453400000000002</v>
      </c>
      <c r="P889" s="17">
        <f>('Work File (2)'!$L889*'Work File (2)'!$M889)*(1-'Work File (2)'!$N889)</f>
        <v>263.62</v>
      </c>
      <c r="Q889" s="1">
        <f>YEAR(Table2[[#This Row],[Order Date]])</f>
        <v>2019</v>
      </c>
      <c r="R889" s="18" t="str">
        <f>TEXT(Table2[[#This Row],[Order Date]],"mmm")</f>
        <v>Oct</v>
      </c>
      <c r="S889" s="18"/>
    </row>
    <row r="890" spans="1:19" x14ac:dyDescent="0.2">
      <c r="A890" s="1">
        <v>889</v>
      </c>
      <c r="B890" s="1" t="s">
        <v>1701</v>
      </c>
      <c r="C890" s="2">
        <v>42713</v>
      </c>
      <c r="D890" s="1" t="s">
        <v>36</v>
      </c>
      <c r="E890" s="1" t="s">
        <v>1634</v>
      </c>
      <c r="F890" s="1" t="s">
        <v>89</v>
      </c>
      <c r="G890" s="1" t="s">
        <v>30</v>
      </c>
      <c r="H890" s="1" t="s">
        <v>31</v>
      </c>
      <c r="I890" s="1" t="s">
        <v>32</v>
      </c>
      <c r="J890" s="1" t="s">
        <v>63</v>
      </c>
      <c r="K890" s="1" t="s">
        <v>917</v>
      </c>
      <c r="L890" s="17">
        <v>34.68</v>
      </c>
      <c r="M890" s="1">
        <v>6</v>
      </c>
      <c r="N890" s="1">
        <v>0</v>
      </c>
      <c r="O890" s="17">
        <v>16.993200000000002</v>
      </c>
      <c r="P890" s="17">
        <f>('Work File (2)'!$L890*'Work File (2)'!$M890)*(1-'Work File (2)'!$N890)</f>
        <v>208.07999999999998</v>
      </c>
      <c r="Q890" s="1">
        <f>YEAR(Table2[[#This Row],[Order Date]])</f>
        <v>2016</v>
      </c>
      <c r="R890" s="18" t="str">
        <f>TEXT(Table2[[#This Row],[Order Date]],"mmm")</f>
        <v>Dec</v>
      </c>
      <c r="S890" s="18"/>
    </row>
    <row r="891" spans="1:19" x14ac:dyDescent="0.2">
      <c r="A891" s="1">
        <v>890</v>
      </c>
      <c r="B891" s="1" t="s">
        <v>1702</v>
      </c>
      <c r="C891" s="2">
        <v>43636</v>
      </c>
      <c r="D891" s="1" t="s">
        <v>36</v>
      </c>
      <c r="E891" s="1" t="s">
        <v>1027</v>
      </c>
      <c r="F891" s="1" t="s">
        <v>939</v>
      </c>
      <c r="G891" s="1" t="s">
        <v>179</v>
      </c>
      <c r="H891" s="1" t="s">
        <v>103</v>
      </c>
      <c r="I891" s="1" t="s">
        <v>50</v>
      </c>
      <c r="J891" s="1" t="s">
        <v>111</v>
      </c>
      <c r="K891" s="1" t="s">
        <v>1703</v>
      </c>
      <c r="L891" s="17">
        <v>149.94999999999999</v>
      </c>
      <c r="M891" s="1">
        <v>5</v>
      </c>
      <c r="N891" s="1">
        <v>0</v>
      </c>
      <c r="O891" s="17">
        <v>14.994999999999994</v>
      </c>
      <c r="P891" s="17">
        <f>('Work File (2)'!$L891*'Work File (2)'!$M891)*(1-'Work File (2)'!$N891)</f>
        <v>749.75</v>
      </c>
      <c r="Q891" s="1">
        <f>YEAR(Table2[[#This Row],[Order Date]])</f>
        <v>2019</v>
      </c>
      <c r="R891" s="18" t="str">
        <f>TEXT(Table2[[#This Row],[Order Date]],"mmm")</f>
        <v>Jun</v>
      </c>
      <c r="S891" s="18"/>
    </row>
    <row r="892" spans="1:19" x14ac:dyDescent="0.2">
      <c r="A892" s="1">
        <v>891</v>
      </c>
      <c r="B892" s="1" t="s">
        <v>1702</v>
      </c>
      <c r="C892" s="2">
        <v>43636</v>
      </c>
      <c r="D892" s="1" t="s">
        <v>36</v>
      </c>
      <c r="E892" s="1" t="s">
        <v>1027</v>
      </c>
      <c r="F892" s="1" t="s">
        <v>939</v>
      </c>
      <c r="G892" s="1" t="s">
        <v>179</v>
      </c>
      <c r="H892" s="1" t="s">
        <v>103</v>
      </c>
      <c r="I892" s="1" t="s">
        <v>32</v>
      </c>
      <c r="J892" s="1" t="s">
        <v>53</v>
      </c>
      <c r="K892" s="1" t="s">
        <v>997</v>
      </c>
      <c r="L892" s="17">
        <v>51.311999999999998</v>
      </c>
      <c r="M892" s="1">
        <v>3</v>
      </c>
      <c r="N892" s="1">
        <v>0.2</v>
      </c>
      <c r="O892" s="17">
        <v>18.600599999999996</v>
      </c>
      <c r="P892" s="17">
        <f>('Work File (2)'!$L892*'Work File (2)'!$M892)*(1-'Work File (2)'!$N892)</f>
        <v>123.14879999999999</v>
      </c>
      <c r="Q892" s="1">
        <f>YEAR(Table2[[#This Row],[Order Date]])</f>
        <v>2019</v>
      </c>
      <c r="R892" s="18" t="str">
        <f>TEXT(Table2[[#This Row],[Order Date]],"mmm")</f>
        <v>Jun</v>
      </c>
      <c r="S892" s="18"/>
    </row>
    <row r="893" spans="1:19" x14ac:dyDescent="0.2">
      <c r="A893" s="1">
        <v>892</v>
      </c>
      <c r="B893" s="1" t="s">
        <v>1704</v>
      </c>
      <c r="C893" s="2">
        <v>43642</v>
      </c>
      <c r="D893" s="1" t="s">
        <v>128</v>
      </c>
      <c r="E893" s="1" t="s">
        <v>1417</v>
      </c>
      <c r="F893" s="1" t="s">
        <v>560</v>
      </c>
      <c r="G893" s="1" t="s">
        <v>160</v>
      </c>
      <c r="H893" s="1" t="s">
        <v>74</v>
      </c>
      <c r="I893" s="1" t="s">
        <v>32</v>
      </c>
      <c r="J893" s="1" t="s">
        <v>63</v>
      </c>
      <c r="K893" s="1" t="s">
        <v>1705</v>
      </c>
      <c r="L893" s="17">
        <v>4.54</v>
      </c>
      <c r="M893" s="1">
        <v>1</v>
      </c>
      <c r="N893" s="1">
        <v>0</v>
      </c>
      <c r="O893" s="17">
        <v>2.0429999999999997</v>
      </c>
      <c r="P893" s="17">
        <f>('Work File (2)'!$L893*'Work File (2)'!$M893)*(1-'Work File (2)'!$N893)</f>
        <v>4.54</v>
      </c>
      <c r="Q893" s="1">
        <f>YEAR(Table2[[#This Row],[Order Date]])</f>
        <v>2019</v>
      </c>
      <c r="R893" s="18" t="str">
        <f>TEXT(Table2[[#This Row],[Order Date]],"mmm")</f>
        <v>Jun</v>
      </c>
      <c r="S893" s="18"/>
    </row>
    <row r="894" spans="1:19" x14ac:dyDescent="0.2">
      <c r="A894" s="1">
        <v>893</v>
      </c>
      <c r="B894" s="1" t="s">
        <v>1704</v>
      </c>
      <c r="C894" s="2">
        <v>43642</v>
      </c>
      <c r="D894" s="1" t="s">
        <v>128</v>
      </c>
      <c r="E894" s="1" t="s">
        <v>1417</v>
      </c>
      <c r="F894" s="1" t="s">
        <v>560</v>
      </c>
      <c r="G894" s="1" t="s">
        <v>160</v>
      </c>
      <c r="H894" s="1" t="s">
        <v>74</v>
      </c>
      <c r="I894" s="1" t="s">
        <v>32</v>
      </c>
      <c r="J894" s="1" t="s">
        <v>48</v>
      </c>
      <c r="K894" s="1" t="s">
        <v>1706</v>
      </c>
      <c r="L894" s="17">
        <v>15.92</v>
      </c>
      <c r="M894" s="1">
        <v>4</v>
      </c>
      <c r="N894" s="1">
        <v>0</v>
      </c>
      <c r="O894" s="17">
        <v>5.4127999999999989</v>
      </c>
      <c r="P894" s="17">
        <f>('Work File (2)'!$L894*'Work File (2)'!$M894)*(1-'Work File (2)'!$N894)</f>
        <v>63.68</v>
      </c>
      <c r="Q894" s="1">
        <f>YEAR(Table2[[#This Row],[Order Date]])</f>
        <v>2019</v>
      </c>
      <c r="R894" s="18" t="str">
        <f>TEXT(Table2[[#This Row],[Order Date]],"mmm")</f>
        <v>Jun</v>
      </c>
      <c r="S894" s="18"/>
    </row>
    <row r="895" spans="1:19" x14ac:dyDescent="0.2">
      <c r="A895" s="1">
        <v>894</v>
      </c>
      <c r="B895" s="1" t="s">
        <v>1704</v>
      </c>
      <c r="C895" s="2">
        <v>43642</v>
      </c>
      <c r="D895" s="1" t="s">
        <v>128</v>
      </c>
      <c r="E895" s="1" t="s">
        <v>1417</v>
      </c>
      <c r="F895" s="1" t="s">
        <v>560</v>
      </c>
      <c r="G895" s="1" t="s">
        <v>160</v>
      </c>
      <c r="H895" s="1" t="s">
        <v>74</v>
      </c>
      <c r="I895" s="1" t="s">
        <v>50</v>
      </c>
      <c r="J895" s="1" t="s">
        <v>51</v>
      </c>
      <c r="K895" s="1" t="s">
        <v>1707</v>
      </c>
      <c r="L895" s="17">
        <v>543.91999999999996</v>
      </c>
      <c r="M895" s="1">
        <v>8</v>
      </c>
      <c r="N895" s="1">
        <v>0</v>
      </c>
      <c r="O895" s="17">
        <v>135.98000000000002</v>
      </c>
      <c r="P895" s="17">
        <f>('Work File (2)'!$L895*'Work File (2)'!$M895)*(1-'Work File (2)'!$N895)</f>
        <v>4351.3599999999997</v>
      </c>
      <c r="Q895" s="1">
        <f>YEAR(Table2[[#This Row],[Order Date]])</f>
        <v>2019</v>
      </c>
      <c r="R895" s="18" t="str">
        <f>TEXT(Table2[[#This Row],[Order Date]],"mmm")</f>
        <v>Jun</v>
      </c>
      <c r="S895" s="18"/>
    </row>
    <row r="896" spans="1:19" x14ac:dyDescent="0.2">
      <c r="A896" s="1">
        <v>895</v>
      </c>
      <c r="B896" s="1" t="s">
        <v>1708</v>
      </c>
      <c r="C896" s="2">
        <v>43414</v>
      </c>
      <c r="D896" s="1" t="s">
        <v>128</v>
      </c>
      <c r="E896" s="1" t="s">
        <v>1709</v>
      </c>
      <c r="F896" s="1" t="s">
        <v>89</v>
      </c>
      <c r="G896" s="1" t="s">
        <v>30</v>
      </c>
      <c r="H896" s="1" t="s">
        <v>31</v>
      </c>
      <c r="I896" s="1" t="s">
        <v>32</v>
      </c>
      <c r="J896" s="1" t="s">
        <v>42</v>
      </c>
      <c r="K896" s="1" t="s">
        <v>818</v>
      </c>
      <c r="L896" s="17">
        <v>155.82000000000002</v>
      </c>
      <c r="M896" s="1">
        <v>7</v>
      </c>
      <c r="N896" s="1">
        <v>0</v>
      </c>
      <c r="O896" s="17">
        <v>42.071400000000011</v>
      </c>
      <c r="P896" s="17">
        <f>('Work File (2)'!$L896*'Work File (2)'!$M896)*(1-'Work File (2)'!$N896)</f>
        <v>1090.7400000000002</v>
      </c>
      <c r="Q896" s="1">
        <f>YEAR(Table2[[#This Row],[Order Date]])</f>
        <v>2018</v>
      </c>
      <c r="R896" s="18" t="str">
        <f>TEXT(Table2[[#This Row],[Order Date]],"mmm")</f>
        <v>Nov</v>
      </c>
      <c r="S896" s="18"/>
    </row>
    <row r="897" spans="1:19" x14ac:dyDescent="0.2">
      <c r="A897" s="1">
        <v>896</v>
      </c>
      <c r="B897" s="1" t="s">
        <v>1708</v>
      </c>
      <c r="C897" s="2">
        <v>43414</v>
      </c>
      <c r="D897" s="1" t="s">
        <v>128</v>
      </c>
      <c r="E897" s="1" t="s">
        <v>1709</v>
      </c>
      <c r="F897" s="1" t="s">
        <v>89</v>
      </c>
      <c r="G897" s="1" t="s">
        <v>30</v>
      </c>
      <c r="H897" s="1" t="s">
        <v>31</v>
      </c>
      <c r="I897" s="1" t="s">
        <v>32</v>
      </c>
      <c r="J897" s="1" t="s">
        <v>53</v>
      </c>
      <c r="K897" s="1" t="s">
        <v>1710</v>
      </c>
      <c r="L897" s="17">
        <v>70.00800000000001</v>
      </c>
      <c r="M897" s="1">
        <v>3</v>
      </c>
      <c r="N897" s="1">
        <v>0.2</v>
      </c>
      <c r="O897" s="17">
        <v>24.502800000000001</v>
      </c>
      <c r="P897" s="17">
        <f>('Work File (2)'!$L897*'Work File (2)'!$M897)*(1-'Work File (2)'!$N897)</f>
        <v>168.01920000000004</v>
      </c>
      <c r="Q897" s="1">
        <f>YEAR(Table2[[#This Row],[Order Date]])</f>
        <v>2018</v>
      </c>
      <c r="R897" s="18" t="str">
        <f>TEXT(Table2[[#This Row],[Order Date]],"mmm")</f>
        <v>Nov</v>
      </c>
      <c r="S897" s="18"/>
    </row>
    <row r="898" spans="1:19" x14ac:dyDescent="0.2">
      <c r="A898" s="1">
        <v>897</v>
      </c>
      <c r="B898" s="1" t="s">
        <v>1711</v>
      </c>
      <c r="C898" s="2">
        <v>43376</v>
      </c>
      <c r="D898" s="1" t="s">
        <v>17</v>
      </c>
      <c r="E898" s="1" t="s">
        <v>1712</v>
      </c>
      <c r="F898" s="1" t="s">
        <v>125</v>
      </c>
      <c r="G898" s="1" t="s">
        <v>73</v>
      </c>
      <c r="H898" s="1" t="s">
        <v>74</v>
      </c>
      <c r="I898" s="1" t="s">
        <v>32</v>
      </c>
      <c r="J898" s="1" t="s">
        <v>118</v>
      </c>
      <c r="K898" s="1" t="s">
        <v>431</v>
      </c>
      <c r="L898" s="17">
        <v>15.648</v>
      </c>
      <c r="M898" s="1">
        <v>2</v>
      </c>
      <c r="N898" s="1">
        <v>0.2</v>
      </c>
      <c r="O898" s="17">
        <v>5.0855999999999986</v>
      </c>
      <c r="P898" s="17">
        <f>('Work File (2)'!$L898*'Work File (2)'!$M898)*(1-'Work File (2)'!$N898)</f>
        <v>25.036799999999999</v>
      </c>
      <c r="Q898" s="1">
        <f>YEAR(Table2[[#This Row],[Order Date]])</f>
        <v>2018</v>
      </c>
      <c r="R898" s="18" t="str">
        <f>TEXT(Table2[[#This Row],[Order Date]],"mmm")</f>
        <v>Oct</v>
      </c>
      <c r="S898" s="18"/>
    </row>
    <row r="899" spans="1:19" x14ac:dyDescent="0.2">
      <c r="A899" s="1">
        <v>898</v>
      </c>
      <c r="B899" s="1" t="s">
        <v>1713</v>
      </c>
      <c r="C899" s="2">
        <v>42622</v>
      </c>
      <c r="D899" s="1" t="s">
        <v>36</v>
      </c>
      <c r="E899" s="1" t="s">
        <v>1714</v>
      </c>
      <c r="F899" s="1" t="s">
        <v>560</v>
      </c>
      <c r="G899" s="1" t="s">
        <v>160</v>
      </c>
      <c r="H899" s="1" t="s">
        <v>74</v>
      </c>
      <c r="I899" s="1" t="s">
        <v>32</v>
      </c>
      <c r="J899" s="1" t="s">
        <v>33</v>
      </c>
      <c r="K899" s="1" t="s">
        <v>1040</v>
      </c>
      <c r="L899" s="17">
        <v>103.60000000000001</v>
      </c>
      <c r="M899" s="1">
        <v>7</v>
      </c>
      <c r="N899" s="1">
        <v>0</v>
      </c>
      <c r="O899" s="17">
        <v>51.800000000000004</v>
      </c>
      <c r="P899" s="17">
        <f>('Work File (2)'!$L899*'Work File (2)'!$M899)*(1-'Work File (2)'!$N899)</f>
        <v>725.2</v>
      </c>
      <c r="Q899" s="1">
        <f>YEAR(Table2[[#This Row],[Order Date]])</f>
        <v>2016</v>
      </c>
      <c r="R899" s="18" t="str">
        <f>TEXT(Table2[[#This Row],[Order Date]],"mmm")</f>
        <v>Sep</v>
      </c>
      <c r="S899" s="18"/>
    </row>
    <row r="900" spans="1:19" x14ac:dyDescent="0.2">
      <c r="A900" s="1">
        <v>899</v>
      </c>
      <c r="B900" s="1" t="s">
        <v>1715</v>
      </c>
      <c r="C900" s="2">
        <v>43767</v>
      </c>
      <c r="D900" s="1" t="s">
        <v>17</v>
      </c>
      <c r="E900" s="1" t="s">
        <v>1716</v>
      </c>
      <c r="F900" s="1" t="s">
        <v>976</v>
      </c>
      <c r="G900" s="1" t="s">
        <v>179</v>
      </c>
      <c r="H900" s="1" t="s">
        <v>103</v>
      </c>
      <c r="I900" s="1" t="s">
        <v>32</v>
      </c>
      <c r="J900" s="1" t="s">
        <v>63</v>
      </c>
      <c r="K900" s="1" t="s">
        <v>1717</v>
      </c>
      <c r="L900" s="17">
        <v>46.96</v>
      </c>
      <c r="M900" s="1">
        <v>8</v>
      </c>
      <c r="N900" s="1">
        <v>0</v>
      </c>
      <c r="O900" s="17">
        <v>22.540800000000001</v>
      </c>
      <c r="P900" s="17">
        <f>('Work File (2)'!$L900*'Work File (2)'!$M900)*(1-'Work File (2)'!$N900)</f>
        <v>375.68</v>
      </c>
      <c r="Q900" s="1">
        <f>YEAR(Table2[[#This Row],[Order Date]])</f>
        <v>2019</v>
      </c>
      <c r="R900" s="18" t="str">
        <f>TEXT(Table2[[#This Row],[Order Date]],"mmm")</f>
        <v>Oct</v>
      </c>
      <c r="S900" s="18"/>
    </row>
    <row r="901" spans="1:19" x14ac:dyDescent="0.2">
      <c r="A901" s="1">
        <v>900</v>
      </c>
      <c r="B901" s="1" t="s">
        <v>1718</v>
      </c>
      <c r="C901" s="2">
        <v>43200</v>
      </c>
      <c r="D901" s="1" t="s">
        <v>128</v>
      </c>
      <c r="E901" s="1" t="s">
        <v>1719</v>
      </c>
      <c r="F901" s="1" t="s">
        <v>210</v>
      </c>
      <c r="G901" s="1" t="s">
        <v>324</v>
      </c>
      <c r="H901" s="1" t="s">
        <v>103</v>
      </c>
      <c r="I901" s="1" t="s">
        <v>32</v>
      </c>
      <c r="J901" s="1" t="s">
        <v>53</v>
      </c>
      <c r="K901" s="1" t="s">
        <v>1720</v>
      </c>
      <c r="L901" s="17">
        <v>8.9040000000000017</v>
      </c>
      <c r="M901" s="1">
        <v>2</v>
      </c>
      <c r="N901" s="1">
        <v>0.7</v>
      </c>
      <c r="O901" s="17">
        <v>-6.5296000000000003</v>
      </c>
      <c r="P901" s="17">
        <f>('Work File (2)'!$L901*'Work File (2)'!$M901)*(1-'Work File (2)'!$N901)</f>
        <v>5.3424000000000014</v>
      </c>
      <c r="Q901" s="1">
        <f>YEAR(Table2[[#This Row],[Order Date]])</f>
        <v>2018</v>
      </c>
      <c r="R901" s="18" t="str">
        <f>TEXT(Table2[[#This Row],[Order Date]],"mmm")</f>
        <v>Apr</v>
      </c>
      <c r="S901" s="18"/>
    </row>
    <row r="902" spans="1:19" x14ac:dyDescent="0.2">
      <c r="A902" s="1">
        <v>901</v>
      </c>
      <c r="B902" s="1" t="s">
        <v>1721</v>
      </c>
      <c r="C902" s="2">
        <v>43780</v>
      </c>
      <c r="D902" s="1" t="s">
        <v>128</v>
      </c>
      <c r="E902" s="1" t="s">
        <v>779</v>
      </c>
      <c r="F902" s="1" t="s">
        <v>1722</v>
      </c>
      <c r="G902" s="1" t="s">
        <v>73</v>
      </c>
      <c r="H902" s="1" t="s">
        <v>74</v>
      </c>
      <c r="I902" s="1" t="s">
        <v>32</v>
      </c>
      <c r="J902" s="1" t="s">
        <v>33</v>
      </c>
      <c r="K902" s="1" t="s">
        <v>1723</v>
      </c>
      <c r="L902" s="17">
        <v>10.440000000000001</v>
      </c>
      <c r="M902" s="1">
        <v>5</v>
      </c>
      <c r="N902" s="1">
        <v>0.2</v>
      </c>
      <c r="O902" s="17">
        <v>3.3929999999999989</v>
      </c>
      <c r="P902" s="17">
        <f>('Work File (2)'!$L902*'Work File (2)'!$M902)*(1-'Work File (2)'!$N902)</f>
        <v>41.760000000000005</v>
      </c>
      <c r="Q902" s="1">
        <f>YEAR(Table2[[#This Row],[Order Date]])</f>
        <v>2019</v>
      </c>
      <c r="R902" s="18" t="str">
        <f>TEXT(Table2[[#This Row],[Order Date]],"mmm")</f>
        <v>Nov</v>
      </c>
      <c r="S902" s="18"/>
    </row>
    <row r="903" spans="1:19" x14ac:dyDescent="0.2">
      <c r="A903" s="1">
        <v>902</v>
      </c>
      <c r="B903" s="1" t="s">
        <v>1721</v>
      </c>
      <c r="C903" s="2">
        <v>43780</v>
      </c>
      <c r="D903" s="1" t="s">
        <v>128</v>
      </c>
      <c r="E903" s="1" t="s">
        <v>779</v>
      </c>
      <c r="F903" s="1" t="s">
        <v>1722</v>
      </c>
      <c r="G903" s="1" t="s">
        <v>73</v>
      </c>
      <c r="H903" s="1" t="s">
        <v>74</v>
      </c>
      <c r="I903" s="1" t="s">
        <v>32</v>
      </c>
      <c r="J903" s="1" t="s">
        <v>53</v>
      </c>
      <c r="K903" s="1" t="s">
        <v>1724</v>
      </c>
      <c r="L903" s="17">
        <v>18.335999999999999</v>
      </c>
      <c r="M903" s="1">
        <v>4</v>
      </c>
      <c r="N903" s="1">
        <v>0.8</v>
      </c>
      <c r="O903" s="17">
        <v>-32.088000000000008</v>
      </c>
      <c r="P903" s="17">
        <f>('Work File (2)'!$L903*'Work File (2)'!$M903)*(1-'Work File (2)'!$N903)</f>
        <v>14.668799999999996</v>
      </c>
      <c r="Q903" s="1">
        <f>YEAR(Table2[[#This Row],[Order Date]])</f>
        <v>2019</v>
      </c>
      <c r="R903" s="18" t="str">
        <f>TEXT(Table2[[#This Row],[Order Date]],"mmm")</f>
        <v>Nov</v>
      </c>
      <c r="S903" s="18"/>
    </row>
    <row r="904" spans="1:19" x14ac:dyDescent="0.2">
      <c r="A904" s="1">
        <v>903</v>
      </c>
      <c r="B904" s="1" t="s">
        <v>1725</v>
      </c>
      <c r="C904" s="2">
        <v>43723</v>
      </c>
      <c r="D904" s="1" t="s">
        <v>128</v>
      </c>
      <c r="E904" s="1" t="s">
        <v>414</v>
      </c>
      <c r="F904" s="1" t="s">
        <v>200</v>
      </c>
      <c r="G904" s="1" t="s">
        <v>142</v>
      </c>
      <c r="H904" s="1" t="s">
        <v>74</v>
      </c>
      <c r="I904" s="1" t="s">
        <v>50</v>
      </c>
      <c r="J904" s="1" t="s">
        <v>51</v>
      </c>
      <c r="K904" s="1" t="s">
        <v>420</v>
      </c>
      <c r="L904" s="17">
        <v>323.97600000000006</v>
      </c>
      <c r="M904" s="1">
        <v>3</v>
      </c>
      <c r="N904" s="1">
        <v>0.2</v>
      </c>
      <c r="O904" s="17">
        <v>20.248499999999993</v>
      </c>
      <c r="P904" s="17">
        <f>('Work File (2)'!$L904*'Work File (2)'!$M904)*(1-'Work File (2)'!$N904)</f>
        <v>777.54240000000016</v>
      </c>
      <c r="Q904" s="1">
        <f>YEAR(Table2[[#This Row],[Order Date]])</f>
        <v>2019</v>
      </c>
      <c r="R904" s="18" t="str">
        <f>TEXT(Table2[[#This Row],[Order Date]],"mmm")</f>
        <v>Sep</v>
      </c>
      <c r="S904" s="18"/>
    </row>
    <row r="905" spans="1:19" x14ac:dyDescent="0.2">
      <c r="A905" s="1">
        <v>904</v>
      </c>
      <c r="B905" s="1" t="s">
        <v>1726</v>
      </c>
      <c r="C905" s="2">
        <v>43198</v>
      </c>
      <c r="D905" s="1" t="s">
        <v>36</v>
      </c>
      <c r="E905" s="1" t="s">
        <v>520</v>
      </c>
      <c r="F905" s="1" t="s">
        <v>29</v>
      </c>
      <c r="G905" s="1" t="s">
        <v>30</v>
      </c>
      <c r="H905" s="1" t="s">
        <v>31</v>
      </c>
      <c r="I905" s="1" t="s">
        <v>32</v>
      </c>
      <c r="J905" s="1" t="s">
        <v>63</v>
      </c>
      <c r="K905" s="1" t="s">
        <v>1727</v>
      </c>
      <c r="L905" s="17">
        <v>20.04</v>
      </c>
      <c r="M905" s="1">
        <v>3</v>
      </c>
      <c r="N905" s="1">
        <v>0</v>
      </c>
      <c r="O905" s="17">
        <v>9.6191999999999993</v>
      </c>
      <c r="P905" s="17">
        <f>('Work File (2)'!$L905*'Work File (2)'!$M905)*(1-'Work File (2)'!$N905)</f>
        <v>60.12</v>
      </c>
      <c r="Q905" s="1">
        <f>YEAR(Table2[[#This Row],[Order Date]])</f>
        <v>2018</v>
      </c>
      <c r="R905" s="18" t="str">
        <f>TEXT(Table2[[#This Row],[Order Date]],"mmm")</f>
        <v>Apr</v>
      </c>
      <c r="S905" s="18"/>
    </row>
    <row r="906" spans="1:19" x14ac:dyDescent="0.2">
      <c r="A906" s="1">
        <v>905</v>
      </c>
      <c r="B906" s="1" t="s">
        <v>1726</v>
      </c>
      <c r="C906" s="2">
        <v>43198</v>
      </c>
      <c r="D906" s="1" t="s">
        <v>36</v>
      </c>
      <c r="E906" s="1" t="s">
        <v>520</v>
      </c>
      <c r="F906" s="1" t="s">
        <v>29</v>
      </c>
      <c r="G906" s="1" t="s">
        <v>30</v>
      </c>
      <c r="H906" s="1" t="s">
        <v>31</v>
      </c>
      <c r="I906" s="1" t="s">
        <v>32</v>
      </c>
      <c r="J906" s="1" t="s">
        <v>42</v>
      </c>
      <c r="K906" s="1" t="s">
        <v>1375</v>
      </c>
      <c r="L906" s="17">
        <v>64.959999999999994</v>
      </c>
      <c r="M906" s="1">
        <v>2</v>
      </c>
      <c r="N906" s="1">
        <v>0</v>
      </c>
      <c r="O906" s="17">
        <v>2.598399999999998</v>
      </c>
      <c r="P906" s="17">
        <f>('Work File (2)'!$L906*'Work File (2)'!$M906)*(1-'Work File (2)'!$N906)</f>
        <v>129.91999999999999</v>
      </c>
      <c r="Q906" s="1">
        <f>YEAR(Table2[[#This Row],[Order Date]])</f>
        <v>2018</v>
      </c>
      <c r="R906" s="18" t="str">
        <f>TEXT(Table2[[#This Row],[Order Date]],"mmm")</f>
        <v>Apr</v>
      </c>
      <c r="S906" s="18"/>
    </row>
    <row r="907" spans="1:19" x14ac:dyDescent="0.2">
      <c r="A907" s="1">
        <v>906</v>
      </c>
      <c r="B907" s="1" t="s">
        <v>1726</v>
      </c>
      <c r="C907" s="2">
        <v>43198</v>
      </c>
      <c r="D907" s="1" t="s">
        <v>36</v>
      </c>
      <c r="E907" s="1" t="s">
        <v>520</v>
      </c>
      <c r="F907" s="1" t="s">
        <v>29</v>
      </c>
      <c r="G907" s="1" t="s">
        <v>30</v>
      </c>
      <c r="H907" s="1" t="s">
        <v>31</v>
      </c>
      <c r="I907" s="1" t="s">
        <v>32</v>
      </c>
      <c r="J907" s="1" t="s">
        <v>63</v>
      </c>
      <c r="K907" s="1" t="s">
        <v>1728</v>
      </c>
      <c r="L907" s="17">
        <v>12.96</v>
      </c>
      <c r="M907" s="1">
        <v>2</v>
      </c>
      <c r="N907" s="1">
        <v>0</v>
      </c>
      <c r="O907" s="17">
        <v>6.2208000000000006</v>
      </c>
      <c r="P907" s="17">
        <f>('Work File (2)'!$L907*'Work File (2)'!$M907)*(1-'Work File (2)'!$N907)</f>
        <v>25.92</v>
      </c>
      <c r="Q907" s="1">
        <f>YEAR(Table2[[#This Row],[Order Date]])</f>
        <v>2018</v>
      </c>
      <c r="R907" s="18" t="str">
        <f>TEXT(Table2[[#This Row],[Order Date]],"mmm")</f>
        <v>Apr</v>
      </c>
      <c r="S907" s="18"/>
    </row>
    <row r="908" spans="1:19" x14ac:dyDescent="0.2">
      <c r="A908" s="1">
        <v>907</v>
      </c>
      <c r="B908" s="1" t="s">
        <v>1729</v>
      </c>
      <c r="C908" s="2">
        <v>43829</v>
      </c>
      <c r="D908" s="1" t="s">
        <v>36</v>
      </c>
      <c r="E908" s="1" t="s">
        <v>158</v>
      </c>
      <c r="F908" s="1" t="s">
        <v>178</v>
      </c>
      <c r="G908" s="1" t="s">
        <v>179</v>
      </c>
      <c r="H908" s="1" t="s">
        <v>103</v>
      </c>
      <c r="I908" s="1" t="s">
        <v>22</v>
      </c>
      <c r="J908" s="1" t="s">
        <v>23</v>
      </c>
      <c r="K908" s="1" t="s">
        <v>1730</v>
      </c>
      <c r="L908" s="17">
        <v>323.13600000000002</v>
      </c>
      <c r="M908" s="1">
        <v>4</v>
      </c>
      <c r="N908" s="1">
        <v>0.2</v>
      </c>
      <c r="O908" s="17">
        <v>12.117599999999968</v>
      </c>
      <c r="P908" s="17">
        <f>('Work File (2)'!$L908*'Work File (2)'!$M908)*(1-'Work File (2)'!$N908)</f>
        <v>1034.0352</v>
      </c>
      <c r="Q908" s="1">
        <f>YEAR(Table2[[#This Row],[Order Date]])</f>
        <v>2019</v>
      </c>
      <c r="R908" s="18" t="str">
        <f>TEXT(Table2[[#This Row],[Order Date]],"mmm")</f>
        <v>Dec</v>
      </c>
      <c r="S908" s="18"/>
    </row>
    <row r="909" spans="1:19" x14ac:dyDescent="0.2">
      <c r="A909" s="1">
        <v>908</v>
      </c>
      <c r="B909" s="1" t="s">
        <v>1729</v>
      </c>
      <c r="C909" s="2">
        <v>43829</v>
      </c>
      <c r="D909" s="1" t="s">
        <v>36</v>
      </c>
      <c r="E909" s="1" t="s">
        <v>158</v>
      </c>
      <c r="F909" s="1" t="s">
        <v>178</v>
      </c>
      <c r="G909" s="1" t="s">
        <v>179</v>
      </c>
      <c r="H909" s="1" t="s">
        <v>103</v>
      </c>
      <c r="I909" s="1" t="s">
        <v>50</v>
      </c>
      <c r="J909" s="1" t="s">
        <v>51</v>
      </c>
      <c r="K909" s="1" t="s">
        <v>1731</v>
      </c>
      <c r="L909" s="17">
        <v>90.93</v>
      </c>
      <c r="M909" s="1">
        <v>7</v>
      </c>
      <c r="N909" s="1">
        <v>0</v>
      </c>
      <c r="O909" s="17">
        <v>2.7278999999999964</v>
      </c>
      <c r="P909" s="17">
        <f>('Work File (2)'!$L909*'Work File (2)'!$M909)*(1-'Work File (2)'!$N909)</f>
        <v>636.51</v>
      </c>
      <c r="Q909" s="1">
        <f>YEAR(Table2[[#This Row],[Order Date]])</f>
        <v>2019</v>
      </c>
      <c r="R909" s="18" t="str">
        <f>TEXT(Table2[[#This Row],[Order Date]],"mmm")</f>
        <v>Dec</v>
      </c>
      <c r="S909" s="18"/>
    </row>
    <row r="910" spans="1:19" x14ac:dyDescent="0.2">
      <c r="A910" s="1">
        <v>909</v>
      </c>
      <c r="B910" s="1" t="s">
        <v>1729</v>
      </c>
      <c r="C910" s="2">
        <v>43829</v>
      </c>
      <c r="D910" s="1" t="s">
        <v>36</v>
      </c>
      <c r="E910" s="1" t="s">
        <v>158</v>
      </c>
      <c r="F910" s="1" t="s">
        <v>178</v>
      </c>
      <c r="G910" s="1" t="s">
        <v>179</v>
      </c>
      <c r="H910" s="1" t="s">
        <v>103</v>
      </c>
      <c r="I910" s="1" t="s">
        <v>32</v>
      </c>
      <c r="J910" s="1" t="s">
        <v>53</v>
      </c>
      <c r="K910" s="1" t="s">
        <v>1732</v>
      </c>
      <c r="L910" s="17">
        <v>52.775999999999996</v>
      </c>
      <c r="M910" s="1">
        <v>3</v>
      </c>
      <c r="N910" s="1">
        <v>0.2</v>
      </c>
      <c r="O910" s="17">
        <v>19.791</v>
      </c>
      <c r="P910" s="17">
        <f>('Work File (2)'!$L910*'Work File (2)'!$M910)*(1-'Work File (2)'!$N910)</f>
        <v>126.66239999999999</v>
      </c>
      <c r="Q910" s="1">
        <f>YEAR(Table2[[#This Row],[Order Date]])</f>
        <v>2019</v>
      </c>
      <c r="R910" s="18" t="str">
        <f>TEXT(Table2[[#This Row],[Order Date]],"mmm")</f>
        <v>Dec</v>
      </c>
      <c r="S910" s="18"/>
    </row>
    <row r="911" spans="1:19" x14ac:dyDescent="0.2">
      <c r="A911" s="1">
        <v>910</v>
      </c>
      <c r="B911" s="1" t="s">
        <v>1733</v>
      </c>
      <c r="C911" s="2">
        <v>43710</v>
      </c>
      <c r="D911" s="1" t="s">
        <v>36</v>
      </c>
      <c r="E911" s="1" t="s">
        <v>1734</v>
      </c>
      <c r="F911" s="1" t="s">
        <v>217</v>
      </c>
      <c r="G911" s="1" t="s">
        <v>160</v>
      </c>
      <c r="H911" s="1" t="s">
        <v>74</v>
      </c>
      <c r="I911" s="1" t="s">
        <v>50</v>
      </c>
      <c r="J911" s="1" t="s">
        <v>51</v>
      </c>
      <c r="K911" s="1" t="s">
        <v>1735</v>
      </c>
      <c r="L911" s="17">
        <v>1199.8</v>
      </c>
      <c r="M911" s="1">
        <v>4</v>
      </c>
      <c r="N911" s="1">
        <v>0</v>
      </c>
      <c r="O911" s="17">
        <v>323.94600000000003</v>
      </c>
      <c r="P911" s="17">
        <f>('Work File (2)'!$L911*'Work File (2)'!$M911)*(1-'Work File (2)'!$N911)</f>
        <v>4799.2</v>
      </c>
      <c r="Q911" s="1">
        <f>YEAR(Table2[[#This Row],[Order Date]])</f>
        <v>2019</v>
      </c>
      <c r="R911" s="18" t="str">
        <f>TEXT(Table2[[#This Row],[Order Date]],"mmm")</f>
        <v>Sep</v>
      </c>
      <c r="S911" s="18"/>
    </row>
    <row r="912" spans="1:19" x14ac:dyDescent="0.2">
      <c r="A912" s="1">
        <v>911</v>
      </c>
      <c r="B912" s="1" t="s">
        <v>1733</v>
      </c>
      <c r="C912" s="2">
        <v>43710</v>
      </c>
      <c r="D912" s="1" t="s">
        <v>36</v>
      </c>
      <c r="E912" s="1" t="s">
        <v>1734</v>
      </c>
      <c r="F912" s="1" t="s">
        <v>217</v>
      </c>
      <c r="G912" s="1" t="s">
        <v>160</v>
      </c>
      <c r="H912" s="1" t="s">
        <v>74</v>
      </c>
      <c r="I912" s="1" t="s">
        <v>50</v>
      </c>
      <c r="J912" s="1" t="s">
        <v>111</v>
      </c>
      <c r="K912" s="1" t="s">
        <v>1736</v>
      </c>
      <c r="L912" s="17">
        <v>1928.7800000000002</v>
      </c>
      <c r="M912" s="1">
        <v>7</v>
      </c>
      <c r="N912" s="1">
        <v>0</v>
      </c>
      <c r="O912" s="17">
        <v>829.37540000000024</v>
      </c>
      <c r="P912" s="17">
        <f>('Work File (2)'!$L912*'Work File (2)'!$M912)*(1-'Work File (2)'!$N912)</f>
        <v>13501.460000000001</v>
      </c>
      <c r="Q912" s="1">
        <f>YEAR(Table2[[#This Row],[Order Date]])</f>
        <v>2019</v>
      </c>
      <c r="R912" s="18" t="str">
        <f>TEXT(Table2[[#This Row],[Order Date]],"mmm")</f>
        <v>Sep</v>
      </c>
      <c r="S912" s="18"/>
    </row>
    <row r="913" spans="1:19" x14ac:dyDescent="0.2">
      <c r="A913" s="1">
        <v>912</v>
      </c>
      <c r="B913" s="1" t="s">
        <v>1733</v>
      </c>
      <c r="C913" s="2">
        <v>43710</v>
      </c>
      <c r="D913" s="1" t="s">
        <v>36</v>
      </c>
      <c r="E913" s="1" t="s">
        <v>1734</v>
      </c>
      <c r="F913" s="1" t="s">
        <v>217</v>
      </c>
      <c r="G913" s="1" t="s">
        <v>160</v>
      </c>
      <c r="H913" s="1" t="s">
        <v>74</v>
      </c>
      <c r="I913" s="1" t="s">
        <v>32</v>
      </c>
      <c r="J913" s="1" t="s">
        <v>42</v>
      </c>
      <c r="K913" s="1" t="s">
        <v>1737</v>
      </c>
      <c r="L913" s="17">
        <v>352.38</v>
      </c>
      <c r="M913" s="1">
        <v>2</v>
      </c>
      <c r="N913" s="1">
        <v>0</v>
      </c>
      <c r="O913" s="17">
        <v>81.047399999999982</v>
      </c>
      <c r="P913" s="17">
        <f>('Work File (2)'!$L913*'Work File (2)'!$M913)*(1-'Work File (2)'!$N913)</f>
        <v>704.76</v>
      </c>
      <c r="Q913" s="1">
        <f>YEAR(Table2[[#This Row],[Order Date]])</f>
        <v>2019</v>
      </c>
      <c r="R913" s="18" t="str">
        <f>TEXT(Table2[[#This Row],[Order Date]],"mmm")</f>
        <v>Sep</v>
      </c>
      <c r="S913" s="18"/>
    </row>
    <row r="914" spans="1:19" x14ac:dyDescent="0.2">
      <c r="A914" s="1">
        <v>913</v>
      </c>
      <c r="B914" s="1" t="s">
        <v>1738</v>
      </c>
      <c r="C914" s="2">
        <v>42886</v>
      </c>
      <c r="D914" s="1" t="s">
        <v>36</v>
      </c>
      <c r="E914" s="1" t="s">
        <v>1739</v>
      </c>
      <c r="F914" s="1" t="s">
        <v>1740</v>
      </c>
      <c r="G914" s="1" t="s">
        <v>478</v>
      </c>
      <c r="H914" s="1" t="s">
        <v>103</v>
      </c>
      <c r="I914" s="1" t="s">
        <v>22</v>
      </c>
      <c r="J914" s="1" t="s">
        <v>46</v>
      </c>
      <c r="K914" s="1" t="s">
        <v>852</v>
      </c>
      <c r="L914" s="17">
        <v>22.200000000000003</v>
      </c>
      <c r="M914" s="1">
        <v>6</v>
      </c>
      <c r="N914" s="1">
        <v>0</v>
      </c>
      <c r="O914" s="17">
        <v>9.1020000000000021</v>
      </c>
      <c r="P914" s="17">
        <f>('Work File (2)'!$L914*'Work File (2)'!$M914)*(1-'Work File (2)'!$N914)</f>
        <v>133.20000000000002</v>
      </c>
      <c r="Q914" s="1">
        <f>YEAR(Table2[[#This Row],[Order Date]])</f>
        <v>2017</v>
      </c>
      <c r="R914" s="18" t="str">
        <f>TEXT(Table2[[#This Row],[Order Date]],"mmm")</f>
        <v>May</v>
      </c>
      <c r="S914" s="18"/>
    </row>
    <row r="915" spans="1:19" x14ac:dyDescent="0.2">
      <c r="A915" s="1">
        <v>914</v>
      </c>
      <c r="B915" s="1" t="s">
        <v>1741</v>
      </c>
      <c r="C915" s="2">
        <v>43796</v>
      </c>
      <c r="D915" s="1" t="s">
        <v>128</v>
      </c>
      <c r="E915" s="1" t="s">
        <v>1618</v>
      </c>
      <c r="F915" s="1" t="s">
        <v>1583</v>
      </c>
      <c r="G915" s="1" t="s">
        <v>80</v>
      </c>
      <c r="H915" s="1" t="s">
        <v>74</v>
      </c>
      <c r="I915" s="1" t="s">
        <v>22</v>
      </c>
      <c r="J915" s="1" t="s">
        <v>46</v>
      </c>
      <c r="K915" s="1" t="s">
        <v>681</v>
      </c>
      <c r="L915" s="17">
        <v>46.94</v>
      </c>
      <c r="M915" s="1">
        <v>1</v>
      </c>
      <c r="N915" s="1">
        <v>0</v>
      </c>
      <c r="O915" s="17">
        <v>19.2454</v>
      </c>
      <c r="P915" s="17">
        <f>('Work File (2)'!$L915*'Work File (2)'!$M915)*(1-'Work File (2)'!$N915)</f>
        <v>46.94</v>
      </c>
      <c r="Q915" s="1">
        <f>YEAR(Table2[[#This Row],[Order Date]])</f>
        <v>2019</v>
      </c>
      <c r="R915" s="18" t="str">
        <f>TEXT(Table2[[#This Row],[Order Date]],"mmm")</f>
        <v>Nov</v>
      </c>
      <c r="S915" s="18"/>
    </row>
    <row r="916" spans="1:19" x14ac:dyDescent="0.2">
      <c r="A916" s="1">
        <v>915</v>
      </c>
      <c r="B916" s="1" t="s">
        <v>1741</v>
      </c>
      <c r="C916" s="2">
        <v>43796</v>
      </c>
      <c r="D916" s="1" t="s">
        <v>128</v>
      </c>
      <c r="E916" s="1" t="s">
        <v>1618</v>
      </c>
      <c r="F916" s="1" t="s">
        <v>1583</v>
      </c>
      <c r="G916" s="1" t="s">
        <v>80</v>
      </c>
      <c r="H916" s="1" t="s">
        <v>74</v>
      </c>
      <c r="I916" s="1" t="s">
        <v>50</v>
      </c>
      <c r="J916" s="1" t="s">
        <v>111</v>
      </c>
      <c r="K916" s="1" t="s">
        <v>988</v>
      </c>
      <c r="L916" s="17">
        <v>143.73000000000002</v>
      </c>
      <c r="M916" s="1">
        <v>9</v>
      </c>
      <c r="N916" s="1">
        <v>0</v>
      </c>
      <c r="O916" s="17">
        <v>56.054700000000011</v>
      </c>
      <c r="P916" s="17">
        <f>('Work File (2)'!$L916*'Work File (2)'!$M916)*(1-'Work File (2)'!$N916)</f>
        <v>1293.5700000000002</v>
      </c>
      <c r="Q916" s="1">
        <f>YEAR(Table2[[#This Row],[Order Date]])</f>
        <v>2019</v>
      </c>
      <c r="R916" s="18" t="str">
        <f>TEXT(Table2[[#This Row],[Order Date]],"mmm")</f>
        <v>Nov</v>
      </c>
      <c r="S916" s="18"/>
    </row>
    <row r="917" spans="1:19" x14ac:dyDescent="0.2">
      <c r="A917" s="1">
        <v>916</v>
      </c>
      <c r="B917" s="1" t="s">
        <v>1742</v>
      </c>
      <c r="C917" s="2">
        <v>42536</v>
      </c>
      <c r="D917" s="1" t="s">
        <v>36</v>
      </c>
      <c r="E917" s="1" t="s">
        <v>679</v>
      </c>
      <c r="F917" s="1" t="s">
        <v>437</v>
      </c>
      <c r="G917" s="1" t="s">
        <v>73</v>
      </c>
      <c r="H917" s="1" t="s">
        <v>74</v>
      </c>
      <c r="I917" s="1" t="s">
        <v>22</v>
      </c>
      <c r="J917" s="1" t="s">
        <v>40</v>
      </c>
      <c r="K917" s="1" t="s">
        <v>1743</v>
      </c>
      <c r="L917" s="17">
        <v>99.918000000000006</v>
      </c>
      <c r="M917" s="1">
        <v>2</v>
      </c>
      <c r="N917" s="1">
        <v>0.3</v>
      </c>
      <c r="O917" s="17">
        <v>-18.556200000000018</v>
      </c>
      <c r="P917" s="17">
        <f>('Work File (2)'!$L917*'Work File (2)'!$M917)*(1-'Work File (2)'!$N917)</f>
        <v>139.8852</v>
      </c>
      <c r="Q917" s="1">
        <f>YEAR(Table2[[#This Row],[Order Date]])</f>
        <v>2016</v>
      </c>
      <c r="R917" s="18" t="str">
        <f>TEXT(Table2[[#This Row],[Order Date]],"mmm")</f>
        <v>Jun</v>
      </c>
      <c r="S917" s="18"/>
    </row>
    <row r="918" spans="1:19" x14ac:dyDescent="0.2">
      <c r="A918" s="1">
        <v>917</v>
      </c>
      <c r="B918" s="1" t="s">
        <v>1742</v>
      </c>
      <c r="C918" s="2">
        <v>42536</v>
      </c>
      <c r="D918" s="1" t="s">
        <v>36</v>
      </c>
      <c r="E918" s="1" t="s">
        <v>679</v>
      </c>
      <c r="F918" s="1" t="s">
        <v>437</v>
      </c>
      <c r="G918" s="1" t="s">
        <v>73</v>
      </c>
      <c r="H918" s="1" t="s">
        <v>74</v>
      </c>
      <c r="I918" s="1" t="s">
        <v>22</v>
      </c>
      <c r="J918" s="1" t="s">
        <v>25</v>
      </c>
      <c r="K918" s="1" t="s">
        <v>1118</v>
      </c>
      <c r="L918" s="17">
        <v>797.94399999999996</v>
      </c>
      <c r="M918" s="1">
        <v>4</v>
      </c>
      <c r="N918" s="1">
        <v>0.3</v>
      </c>
      <c r="O918" s="17">
        <v>-56.995999999999981</v>
      </c>
      <c r="P918" s="17">
        <f>('Work File (2)'!$L918*'Work File (2)'!$M918)*(1-'Work File (2)'!$N918)</f>
        <v>2234.2431999999999</v>
      </c>
      <c r="Q918" s="1">
        <f>YEAR(Table2[[#This Row],[Order Date]])</f>
        <v>2016</v>
      </c>
      <c r="R918" s="18" t="str">
        <f>TEXT(Table2[[#This Row],[Order Date]],"mmm")</f>
        <v>Jun</v>
      </c>
      <c r="S918" s="18"/>
    </row>
    <row r="919" spans="1:19" x14ac:dyDescent="0.2">
      <c r="A919" s="1">
        <v>918</v>
      </c>
      <c r="B919" s="1" t="s">
        <v>1742</v>
      </c>
      <c r="C919" s="2">
        <v>42536</v>
      </c>
      <c r="D919" s="1" t="s">
        <v>36</v>
      </c>
      <c r="E919" s="1" t="s">
        <v>679</v>
      </c>
      <c r="F919" s="1" t="s">
        <v>437</v>
      </c>
      <c r="G919" s="1" t="s">
        <v>73</v>
      </c>
      <c r="H919" s="1" t="s">
        <v>74</v>
      </c>
      <c r="I919" s="1" t="s">
        <v>32</v>
      </c>
      <c r="J919" s="1" t="s">
        <v>53</v>
      </c>
      <c r="K919" s="1" t="s">
        <v>692</v>
      </c>
      <c r="L919" s="17">
        <v>8.5679999999999978</v>
      </c>
      <c r="M919" s="1">
        <v>3</v>
      </c>
      <c r="N919" s="1">
        <v>0.8</v>
      </c>
      <c r="O919" s="17">
        <v>-14.5656</v>
      </c>
      <c r="P919" s="17">
        <f>('Work File (2)'!$L919*'Work File (2)'!$M919)*(1-'Work File (2)'!$N919)</f>
        <v>5.1407999999999978</v>
      </c>
      <c r="Q919" s="1">
        <f>YEAR(Table2[[#This Row],[Order Date]])</f>
        <v>2016</v>
      </c>
      <c r="R919" s="18" t="str">
        <f>TEXT(Table2[[#This Row],[Order Date]],"mmm")</f>
        <v>Jun</v>
      </c>
      <c r="S919" s="18"/>
    </row>
    <row r="920" spans="1:19" x14ac:dyDescent="0.2">
      <c r="A920" s="1">
        <v>919</v>
      </c>
      <c r="B920" s="1" t="s">
        <v>1744</v>
      </c>
      <c r="C920" s="2">
        <v>43164</v>
      </c>
      <c r="D920" s="1" t="s">
        <v>36</v>
      </c>
      <c r="E920" s="1" t="s">
        <v>1745</v>
      </c>
      <c r="F920" s="1" t="s">
        <v>521</v>
      </c>
      <c r="G920" s="1" t="s">
        <v>73</v>
      </c>
      <c r="H920" s="1" t="s">
        <v>74</v>
      </c>
      <c r="I920" s="1" t="s">
        <v>32</v>
      </c>
      <c r="J920" s="1" t="s">
        <v>118</v>
      </c>
      <c r="K920" s="1" t="s">
        <v>1531</v>
      </c>
      <c r="L920" s="17">
        <v>149.352</v>
      </c>
      <c r="M920" s="1">
        <v>3</v>
      </c>
      <c r="N920" s="1">
        <v>0.2</v>
      </c>
      <c r="O920" s="17">
        <v>50.40629999999998</v>
      </c>
      <c r="P920" s="17">
        <f>('Work File (2)'!$L920*'Work File (2)'!$M920)*(1-'Work File (2)'!$N920)</f>
        <v>358.44480000000004</v>
      </c>
      <c r="Q920" s="1">
        <f>YEAR(Table2[[#This Row],[Order Date]])</f>
        <v>2018</v>
      </c>
      <c r="R920" s="18" t="str">
        <f>TEXT(Table2[[#This Row],[Order Date]],"mmm")</f>
        <v>Mar</v>
      </c>
      <c r="S920" s="18"/>
    </row>
    <row r="921" spans="1:19" x14ac:dyDescent="0.2">
      <c r="A921" s="1">
        <v>920</v>
      </c>
      <c r="B921" s="1" t="s">
        <v>1744</v>
      </c>
      <c r="C921" s="2">
        <v>43164</v>
      </c>
      <c r="D921" s="1" t="s">
        <v>36</v>
      </c>
      <c r="E921" s="1" t="s">
        <v>1745</v>
      </c>
      <c r="F921" s="1" t="s">
        <v>521</v>
      </c>
      <c r="G921" s="1" t="s">
        <v>73</v>
      </c>
      <c r="H921" s="1" t="s">
        <v>74</v>
      </c>
      <c r="I921" s="1" t="s">
        <v>32</v>
      </c>
      <c r="J921" s="1" t="s">
        <v>42</v>
      </c>
      <c r="K921" s="1" t="s">
        <v>1746</v>
      </c>
      <c r="L921" s="17">
        <v>12.991999999999999</v>
      </c>
      <c r="M921" s="1">
        <v>1</v>
      </c>
      <c r="N921" s="1">
        <v>0.2</v>
      </c>
      <c r="O921" s="17">
        <v>-0.81199999999999983</v>
      </c>
      <c r="P921" s="17">
        <f>('Work File (2)'!$L921*'Work File (2)'!$M921)*(1-'Work File (2)'!$N921)</f>
        <v>10.393599999999999</v>
      </c>
      <c r="Q921" s="1">
        <f>YEAR(Table2[[#This Row],[Order Date]])</f>
        <v>2018</v>
      </c>
      <c r="R921" s="18" t="str">
        <f>TEXT(Table2[[#This Row],[Order Date]],"mmm")</f>
        <v>Mar</v>
      </c>
      <c r="S921" s="18"/>
    </row>
    <row r="922" spans="1:19" x14ac:dyDescent="0.2">
      <c r="A922" s="1">
        <v>921</v>
      </c>
      <c r="B922" s="1" t="s">
        <v>1747</v>
      </c>
      <c r="C922" s="2">
        <v>42709</v>
      </c>
      <c r="D922" s="1" t="s">
        <v>36</v>
      </c>
      <c r="E922" s="1" t="s">
        <v>622</v>
      </c>
      <c r="F922" s="1" t="s">
        <v>1748</v>
      </c>
      <c r="G922" s="1" t="s">
        <v>211</v>
      </c>
      <c r="H922" s="1" t="s">
        <v>21</v>
      </c>
      <c r="I922" s="1" t="s">
        <v>32</v>
      </c>
      <c r="J922" s="1" t="s">
        <v>42</v>
      </c>
      <c r="K922" s="1" t="s">
        <v>1390</v>
      </c>
      <c r="L922" s="17">
        <v>24.56</v>
      </c>
      <c r="M922" s="1">
        <v>2</v>
      </c>
      <c r="N922" s="1">
        <v>0</v>
      </c>
      <c r="O922" s="17">
        <v>6.8767999999999994</v>
      </c>
      <c r="P922" s="17">
        <f>('Work File (2)'!$L922*'Work File (2)'!$M922)*(1-'Work File (2)'!$N922)</f>
        <v>49.12</v>
      </c>
      <c r="Q922" s="1">
        <f>YEAR(Table2[[#This Row],[Order Date]])</f>
        <v>2016</v>
      </c>
      <c r="R922" s="18" t="str">
        <f>TEXT(Table2[[#This Row],[Order Date]],"mmm")</f>
        <v>Dec</v>
      </c>
      <c r="S922" s="18"/>
    </row>
    <row r="923" spans="1:19" x14ac:dyDescent="0.2">
      <c r="A923" s="1">
        <v>922</v>
      </c>
      <c r="B923" s="1" t="s">
        <v>1749</v>
      </c>
      <c r="C923" s="2">
        <v>42836</v>
      </c>
      <c r="D923" s="1" t="s">
        <v>36</v>
      </c>
      <c r="E923" s="1" t="s">
        <v>1750</v>
      </c>
      <c r="F923" s="1" t="s">
        <v>178</v>
      </c>
      <c r="G923" s="1" t="s">
        <v>179</v>
      </c>
      <c r="H923" s="1" t="s">
        <v>103</v>
      </c>
      <c r="I923" s="1" t="s">
        <v>50</v>
      </c>
      <c r="J923" s="1" t="s">
        <v>111</v>
      </c>
      <c r="K923" s="1" t="s">
        <v>1751</v>
      </c>
      <c r="L923" s="17">
        <v>85.14</v>
      </c>
      <c r="M923" s="1">
        <v>3</v>
      </c>
      <c r="N923" s="1">
        <v>0</v>
      </c>
      <c r="O923" s="17">
        <v>34.907399999999996</v>
      </c>
      <c r="P923" s="17">
        <f>('Work File (2)'!$L923*'Work File (2)'!$M923)*(1-'Work File (2)'!$N923)</f>
        <v>255.42000000000002</v>
      </c>
      <c r="Q923" s="1">
        <f>YEAR(Table2[[#This Row],[Order Date]])</f>
        <v>2017</v>
      </c>
      <c r="R923" s="18" t="str">
        <f>TEXT(Table2[[#This Row],[Order Date]],"mmm")</f>
        <v>Apr</v>
      </c>
      <c r="S923" s="18"/>
    </row>
    <row r="924" spans="1:19" x14ac:dyDescent="0.2">
      <c r="A924" s="1">
        <v>923</v>
      </c>
      <c r="B924" s="1" t="s">
        <v>1749</v>
      </c>
      <c r="C924" s="2">
        <v>42836</v>
      </c>
      <c r="D924" s="1" t="s">
        <v>36</v>
      </c>
      <c r="E924" s="1" t="s">
        <v>1750</v>
      </c>
      <c r="F924" s="1" t="s">
        <v>178</v>
      </c>
      <c r="G924" s="1" t="s">
        <v>179</v>
      </c>
      <c r="H924" s="1" t="s">
        <v>103</v>
      </c>
      <c r="I924" s="1" t="s">
        <v>50</v>
      </c>
      <c r="J924" s="1" t="s">
        <v>51</v>
      </c>
      <c r="K924" s="1" t="s">
        <v>1752</v>
      </c>
      <c r="L924" s="17">
        <v>21.99</v>
      </c>
      <c r="M924" s="1">
        <v>1</v>
      </c>
      <c r="N924" s="1">
        <v>0</v>
      </c>
      <c r="O924" s="17">
        <v>10.555199999999999</v>
      </c>
      <c r="P924" s="17">
        <f>('Work File (2)'!$L924*'Work File (2)'!$M924)*(1-'Work File (2)'!$N924)</f>
        <v>21.99</v>
      </c>
      <c r="Q924" s="1">
        <f>YEAR(Table2[[#This Row],[Order Date]])</f>
        <v>2017</v>
      </c>
      <c r="R924" s="18" t="str">
        <f>TEXT(Table2[[#This Row],[Order Date]],"mmm")</f>
        <v>Apr</v>
      </c>
      <c r="S924" s="18"/>
    </row>
    <row r="925" spans="1:19" x14ac:dyDescent="0.2">
      <c r="A925" s="1">
        <v>924</v>
      </c>
      <c r="B925" s="1" t="s">
        <v>1749</v>
      </c>
      <c r="C925" s="2">
        <v>42836</v>
      </c>
      <c r="D925" s="1" t="s">
        <v>36</v>
      </c>
      <c r="E925" s="1" t="s">
        <v>1750</v>
      </c>
      <c r="F925" s="1" t="s">
        <v>178</v>
      </c>
      <c r="G925" s="1" t="s">
        <v>179</v>
      </c>
      <c r="H925" s="1" t="s">
        <v>103</v>
      </c>
      <c r="I925" s="1" t="s">
        <v>32</v>
      </c>
      <c r="J925" s="1" t="s">
        <v>55</v>
      </c>
      <c r="K925" s="1" t="s">
        <v>1753</v>
      </c>
      <c r="L925" s="17">
        <v>406.59999999999997</v>
      </c>
      <c r="M925" s="1">
        <v>5</v>
      </c>
      <c r="N925" s="1">
        <v>0</v>
      </c>
      <c r="O925" s="17">
        <v>113.84799999999998</v>
      </c>
      <c r="P925" s="17">
        <f>('Work File (2)'!$L925*'Work File (2)'!$M925)*(1-'Work File (2)'!$N925)</f>
        <v>2032.9999999999998</v>
      </c>
      <c r="Q925" s="1">
        <f>YEAR(Table2[[#This Row],[Order Date]])</f>
        <v>2017</v>
      </c>
      <c r="R925" s="18" t="str">
        <f>TEXT(Table2[[#This Row],[Order Date]],"mmm")</f>
        <v>Apr</v>
      </c>
      <c r="S925" s="18"/>
    </row>
    <row r="926" spans="1:19" x14ac:dyDescent="0.2">
      <c r="A926" s="1">
        <v>925</v>
      </c>
      <c r="B926" s="1" t="s">
        <v>1754</v>
      </c>
      <c r="C926" s="2">
        <v>43358</v>
      </c>
      <c r="D926" s="1" t="s">
        <v>36</v>
      </c>
      <c r="E926" s="1" t="s">
        <v>1755</v>
      </c>
      <c r="F926" s="1" t="s">
        <v>178</v>
      </c>
      <c r="G926" s="1" t="s">
        <v>179</v>
      </c>
      <c r="H926" s="1" t="s">
        <v>103</v>
      </c>
      <c r="I926" s="1" t="s">
        <v>32</v>
      </c>
      <c r="J926" s="1" t="s">
        <v>53</v>
      </c>
      <c r="K926" s="1" t="s">
        <v>335</v>
      </c>
      <c r="L926" s="17">
        <v>841.5680000000001</v>
      </c>
      <c r="M926" s="1">
        <v>2</v>
      </c>
      <c r="N926" s="1">
        <v>0.2</v>
      </c>
      <c r="O926" s="17">
        <v>294.54879999999991</v>
      </c>
      <c r="P926" s="17">
        <f>('Work File (2)'!$L926*'Work File (2)'!$M926)*(1-'Work File (2)'!$N926)</f>
        <v>1346.5088000000003</v>
      </c>
      <c r="Q926" s="1">
        <f>YEAR(Table2[[#This Row],[Order Date]])</f>
        <v>2018</v>
      </c>
      <c r="R926" s="18" t="str">
        <f>TEXT(Table2[[#This Row],[Order Date]],"mmm")</f>
        <v>Sep</v>
      </c>
      <c r="S926" s="18"/>
    </row>
    <row r="927" spans="1:19" x14ac:dyDescent="0.2">
      <c r="A927" s="1">
        <v>926</v>
      </c>
      <c r="B927" s="1" t="s">
        <v>1756</v>
      </c>
      <c r="C927" s="2">
        <v>42626</v>
      </c>
      <c r="D927" s="1" t="s">
        <v>128</v>
      </c>
      <c r="E927" s="1" t="s">
        <v>1757</v>
      </c>
      <c r="F927" s="1" t="s">
        <v>101</v>
      </c>
      <c r="G927" s="1" t="s">
        <v>102</v>
      </c>
      <c r="H927" s="1" t="s">
        <v>103</v>
      </c>
      <c r="I927" s="1" t="s">
        <v>32</v>
      </c>
      <c r="J927" s="1" t="s">
        <v>63</v>
      </c>
      <c r="K927" s="1" t="s">
        <v>1758</v>
      </c>
      <c r="L927" s="17">
        <v>15.552000000000003</v>
      </c>
      <c r="M927" s="1">
        <v>3</v>
      </c>
      <c r="N927" s="1">
        <v>0.2</v>
      </c>
      <c r="O927" s="17">
        <v>5.4432</v>
      </c>
      <c r="P927" s="17">
        <f>('Work File (2)'!$L927*'Work File (2)'!$M927)*(1-'Work File (2)'!$N927)</f>
        <v>37.324800000000003</v>
      </c>
      <c r="Q927" s="1">
        <f>YEAR(Table2[[#This Row],[Order Date]])</f>
        <v>2016</v>
      </c>
      <c r="R927" s="18" t="str">
        <f>TEXT(Table2[[#This Row],[Order Date]],"mmm")</f>
        <v>Sep</v>
      </c>
      <c r="S927" s="18"/>
    </row>
    <row r="928" spans="1:19" x14ac:dyDescent="0.2">
      <c r="A928" s="1">
        <v>927</v>
      </c>
      <c r="B928" s="1" t="s">
        <v>1756</v>
      </c>
      <c r="C928" s="2">
        <v>42626</v>
      </c>
      <c r="D928" s="1" t="s">
        <v>128</v>
      </c>
      <c r="E928" s="1" t="s">
        <v>1757</v>
      </c>
      <c r="F928" s="1" t="s">
        <v>101</v>
      </c>
      <c r="G928" s="1" t="s">
        <v>102</v>
      </c>
      <c r="H928" s="1" t="s">
        <v>103</v>
      </c>
      <c r="I928" s="1" t="s">
        <v>50</v>
      </c>
      <c r="J928" s="1" t="s">
        <v>111</v>
      </c>
      <c r="K928" s="1" t="s">
        <v>1759</v>
      </c>
      <c r="L928" s="17">
        <v>252.00000000000003</v>
      </c>
      <c r="M928" s="1">
        <v>5</v>
      </c>
      <c r="N928" s="1">
        <v>0.2</v>
      </c>
      <c r="O928" s="17">
        <v>53.550000000000004</v>
      </c>
      <c r="P928" s="17">
        <f>('Work File (2)'!$L928*'Work File (2)'!$M928)*(1-'Work File (2)'!$N928)</f>
        <v>1008.0000000000002</v>
      </c>
      <c r="Q928" s="1">
        <f>YEAR(Table2[[#This Row],[Order Date]])</f>
        <v>2016</v>
      </c>
      <c r="R928" s="18" t="str">
        <f>TEXT(Table2[[#This Row],[Order Date]],"mmm")</f>
        <v>Sep</v>
      </c>
      <c r="S928" s="18"/>
    </row>
    <row r="929" spans="1:19" x14ac:dyDescent="0.2">
      <c r="A929" s="1">
        <v>928</v>
      </c>
      <c r="B929" s="1" t="s">
        <v>1760</v>
      </c>
      <c r="C929" s="2">
        <v>43013</v>
      </c>
      <c r="D929" s="1" t="s">
        <v>36</v>
      </c>
      <c r="E929" s="1" t="s">
        <v>1761</v>
      </c>
      <c r="F929" s="1" t="s">
        <v>210</v>
      </c>
      <c r="G929" s="1" t="s">
        <v>211</v>
      </c>
      <c r="H929" s="1" t="s">
        <v>21</v>
      </c>
      <c r="I929" s="1" t="s">
        <v>32</v>
      </c>
      <c r="J929" s="1" t="s">
        <v>48</v>
      </c>
      <c r="K929" s="1" t="s">
        <v>823</v>
      </c>
      <c r="L929" s="17">
        <v>46.2</v>
      </c>
      <c r="M929" s="1">
        <v>4</v>
      </c>
      <c r="N929" s="1">
        <v>0</v>
      </c>
      <c r="O929" s="17">
        <v>12.936</v>
      </c>
      <c r="P929" s="17">
        <f>('Work File (2)'!$L929*'Work File (2)'!$M929)*(1-'Work File (2)'!$N929)</f>
        <v>184.8</v>
      </c>
      <c r="Q929" s="1">
        <f>YEAR(Table2[[#This Row],[Order Date]])</f>
        <v>2017</v>
      </c>
      <c r="R929" s="18" t="str">
        <f>TEXT(Table2[[#This Row],[Order Date]],"mmm")</f>
        <v>Oct</v>
      </c>
      <c r="S929" s="18"/>
    </row>
    <row r="930" spans="1:19" x14ac:dyDescent="0.2">
      <c r="A930" s="1">
        <v>929</v>
      </c>
      <c r="B930" s="1" t="s">
        <v>1760</v>
      </c>
      <c r="C930" s="2">
        <v>43013</v>
      </c>
      <c r="D930" s="1" t="s">
        <v>36</v>
      </c>
      <c r="E930" s="1" t="s">
        <v>1761</v>
      </c>
      <c r="F930" s="1" t="s">
        <v>210</v>
      </c>
      <c r="G930" s="1" t="s">
        <v>211</v>
      </c>
      <c r="H930" s="1" t="s">
        <v>21</v>
      </c>
      <c r="I930" s="1" t="s">
        <v>32</v>
      </c>
      <c r="J930" s="1" t="s">
        <v>55</v>
      </c>
      <c r="K930" s="1" t="s">
        <v>834</v>
      </c>
      <c r="L930" s="17">
        <v>28.84</v>
      </c>
      <c r="M930" s="1">
        <v>2</v>
      </c>
      <c r="N930" s="1">
        <v>0</v>
      </c>
      <c r="O930" s="17">
        <v>9.517199999999999</v>
      </c>
      <c r="P930" s="17">
        <f>('Work File (2)'!$L930*'Work File (2)'!$M930)*(1-'Work File (2)'!$N930)</f>
        <v>57.68</v>
      </c>
      <c r="Q930" s="1">
        <f>YEAR(Table2[[#This Row],[Order Date]])</f>
        <v>2017</v>
      </c>
      <c r="R930" s="18" t="str">
        <f>TEXT(Table2[[#This Row],[Order Date]],"mmm")</f>
        <v>Oct</v>
      </c>
      <c r="S930" s="18"/>
    </row>
    <row r="931" spans="1:19" x14ac:dyDescent="0.2">
      <c r="A931" s="1">
        <v>930</v>
      </c>
      <c r="B931" s="1" t="s">
        <v>1762</v>
      </c>
      <c r="C931" s="2">
        <v>43569</v>
      </c>
      <c r="D931" s="1" t="s">
        <v>128</v>
      </c>
      <c r="E931" s="1" t="s">
        <v>1392</v>
      </c>
      <c r="F931" s="1" t="s">
        <v>1763</v>
      </c>
      <c r="G931" s="1" t="s">
        <v>324</v>
      </c>
      <c r="H931" s="1" t="s">
        <v>103</v>
      </c>
      <c r="I931" s="1" t="s">
        <v>32</v>
      </c>
      <c r="J931" s="1" t="s">
        <v>48</v>
      </c>
      <c r="K931" s="1" t="s">
        <v>1177</v>
      </c>
      <c r="L931" s="17">
        <v>14.592000000000002</v>
      </c>
      <c r="M931" s="1">
        <v>3</v>
      </c>
      <c r="N931" s="1">
        <v>0.2</v>
      </c>
      <c r="O931" s="17">
        <v>2.5535999999999985</v>
      </c>
      <c r="P931" s="17">
        <f>('Work File (2)'!$L931*'Work File (2)'!$M931)*(1-'Work File (2)'!$N931)</f>
        <v>35.020800000000008</v>
      </c>
      <c r="Q931" s="1">
        <f>YEAR(Table2[[#This Row],[Order Date]])</f>
        <v>2019</v>
      </c>
      <c r="R931" s="18" t="str">
        <f>TEXT(Table2[[#This Row],[Order Date]],"mmm")</f>
        <v>Apr</v>
      </c>
      <c r="S931" s="18"/>
    </row>
    <row r="932" spans="1:19" x14ac:dyDescent="0.2">
      <c r="A932" s="1">
        <v>931</v>
      </c>
      <c r="B932" s="1" t="s">
        <v>1762</v>
      </c>
      <c r="C932" s="2">
        <v>43569</v>
      </c>
      <c r="D932" s="1" t="s">
        <v>128</v>
      </c>
      <c r="E932" s="1" t="s">
        <v>1392</v>
      </c>
      <c r="F932" s="1" t="s">
        <v>1763</v>
      </c>
      <c r="G932" s="1" t="s">
        <v>324</v>
      </c>
      <c r="H932" s="1" t="s">
        <v>103</v>
      </c>
      <c r="I932" s="1" t="s">
        <v>32</v>
      </c>
      <c r="J932" s="1" t="s">
        <v>48</v>
      </c>
      <c r="K932" s="1" t="s">
        <v>1764</v>
      </c>
      <c r="L932" s="17">
        <v>89.855999999999995</v>
      </c>
      <c r="M932" s="1">
        <v>3</v>
      </c>
      <c r="N932" s="1">
        <v>0.2</v>
      </c>
      <c r="O932" s="17">
        <v>21.340800000000002</v>
      </c>
      <c r="P932" s="17">
        <f>('Work File (2)'!$L932*'Work File (2)'!$M932)*(1-'Work File (2)'!$N932)</f>
        <v>215.65440000000001</v>
      </c>
      <c r="Q932" s="1">
        <f>YEAR(Table2[[#This Row],[Order Date]])</f>
        <v>2019</v>
      </c>
      <c r="R932" s="18" t="str">
        <f>TEXT(Table2[[#This Row],[Order Date]],"mmm")</f>
        <v>Apr</v>
      </c>
      <c r="S932" s="18"/>
    </row>
    <row r="933" spans="1:19" x14ac:dyDescent="0.2">
      <c r="A933" s="1">
        <v>932</v>
      </c>
      <c r="B933" s="1" t="s">
        <v>1762</v>
      </c>
      <c r="C933" s="2">
        <v>43569</v>
      </c>
      <c r="D933" s="1" t="s">
        <v>128</v>
      </c>
      <c r="E933" s="1" t="s">
        <v>1392</v>
      </c>
      <c r="F933" s="1" t="s">
        <v>1763</v>
      </c>
      <c r="G933" s="1" t="s">
        <v>324</v>
      </c>
      <c r="H933" s="1" t="s">
        <v>103</v>
      </c>
      <c r="I933" s="1" t="s">
        <v>32</v>
      </c>
      <c r="J933" s="1" t="s">
        <v>63</v>
      </c>
      <c r="K933" s="1" t="s">
        <v>1471</v>
      </c>
      <c r="L933" s="17">
        <v>13.872000000000002</v>
      </c>
      <c r="M933" s="1">
        <v>3</v>
      </c>
      <c r="N933" s="1">
        <v>0.2</v>
      </c>
      <c r="O933" s="17">
        <v>5.0286000000000008</v>
      </c>
      <c r="P933" s="17">
        <f>('Work File (2)'!$L933*'Work File (2)'!$M933)*(1-'Work File (2)'!$N933)</f>
        <v>33.292800000000007</v>
      </c>
      <c r="Q933" s="1">
        <f>YEAR(Table2[[#This Row],[Order Date]])</f>
        <v>2019</v>
      </c>
      <c r="R933" s="18" t="str">
        <f>TEXT(Table2[[#This Row],[Order Date]],"mmm")</f>
        <v>Apr</v>
      </c>
      <c r="S933" s="18"/>
    </row>
    <row r="934" spans="1:19" x14ac:dyDescent="0.2">
      <c r="A934" s="1">
        <v>933</v>
      </c>
      <c r="B934" s="1" t="s">
        <v>1765</v>
      </c>
      <c r="C934" s="2">
        <v>43710</v>
      </c>
      <c r="D934" s="1" t="s">
        <v>36</v>
      </c>
      <c r="E934" s="1" t="s">
        <v>1766</v>
      </c>
      <c r="F934" s="1" t="s">
        <v>101</v>
      </c>
      <c r="G934" s="1" t="s">
        <v>102</v>
      </c>
      <c r="H934" s="1" t="s">
        <v>103</v>
      </c>
      <c r="I934" s="1" t="s">
        <v>32</v>
      </c>
      <c r="J934" s="1" t="s">
        <v>63</v>
      </c>
      <c r="K934" s="1" t="s">
        <v>1767</v>
      </c>
      <c r="L934" s="17">
        <v>12.192</v>
      </c>
      <c r="M934" s="1">
        <v>3</v>
      </c>
      <c r="N934" s="1">
        <v>0.2</v>
      </c>
      <c r="O934" s="17">
        <v>4.1147999999999998</v>
      </c>
      <c r="P934" s="17">
        <f>('Work File (2)'!$L934*'Work File (2)'!$M934)*(1-'Work File (2)'!$N934)</f>
        <v>29.260800000000003</v>
      </c>
      <c r="Q934" s="1">
        <f>YEAR(Table2[[#This Row],[Order Date]])</f>
        <v>2019</v>
      </c>
      <c r="R934" s="18" t="str">
        <f>TEXT(Table2[[#This Row],[Order Date]],"mmm")</f>
        <v>Sep</v>
      </c>
      <c r="S934" s="18"/>
    </row>
    <row r="935" spans="1:19" x14ac:dyDescent="0.2">
      <c r="A935" s="1">
        <v>934</v>
      </c>
      <c r="B935" s="1" t="s">
        <v>1768</v>
      </c>
      <c r="C935" s="2">
        <v>43271</v>
      </c>
      <c r="D935" s="1" t="s">
        <v>36</v>
      </c>
      <c r="E935" s="1" t="s">
        <v>1769</v>
      </c>
      <c r="F935" s="1" t="s">
        <v>101</v>
      </c>
      <c r="G935" s="1" t="s">
        <v>102</v>
      </c>
      <c r="H935" s="1" t="s">
        <v>103</v>
      </c>
      <c r="I935" s="1" t="s">
        <v>32</v>
      </c>
      <c r="J935" s="1" t="s">
        <v>63</v>
      </c>
      <c r="K935" s="1" t="s">
        <v>1770</v>
      </c>
      <c r="L935" s="17">
        <v>45.056000000000004</v>
      </c>
      <c r="M935" s="1">
        <v>8</v>
      </c>
      <c r="N935" s="1">
        <v>0.2</v>
      </c>
      <c r="O935" s="17">
        <v>15.206399999999997</v>
      </c>
      <c r="P935" s="17">
        <f>('Work File (2)'!$L935*'Work File (2)'!$M935)*(1-'Work File (2)'!$N935)</f>
        <v>288.35840000000002</v>
      </c>
      <c r="Q935" s="1">
        <f>YEAR(Table2[[#This Row],[Order Date]])</f>
        <v>2018</v>
      </c>
      <c r="R935" s="18" t="str">
        <f>TEXT(Table2[[#This Row],[Order Date]],"mmm")</f>
        <v>Jun</v>
      </c>
      <c r="S935" s="18"/>
    </row>
    <row r="936" spans="1:19" x14ac:dyDescent="0.2">
      <c r="A936" s="1">
        <v>935</v>
      </c>
      <c r="B936" s="1" t="s">
        <v>1768</v>
      </c>
      <c r="C936" s="2">
        <v>43271</v>
      </c>
      <c r="D936" s="1" t="s">
        <v>36</v>
      </c>
      <c r="E936" s="1" t="s">
        <v>1769</v>
      </c>
      <c r="F936" s="1" t="s">
        <v>101</v>
      </c>
      <c r="G936" s="1" t="s">
        <v>102</v>
      </c>
      <c r="H936" s="1" t="s">
        <v>103</v>
      </c>
      <c r="I936" s="1" t="s">
        <v>32</v>
      </c>
      <c r="J936" s="1" t="s">
        <v>53</v>
      </c>
      <c r="K936" s="1" t="s">
        <v>1771</v>
      </c>
      <c r="L936" s="17">
        <v>29.718000000000007</v>
      </c>
      <c r="M936" s="1">
        <v>6</v>
      </c>
      <c r="N936" s="1">
        <v>0.7</v>
      </c>
      <c r="O936" s="17">
        <v>-21.793199999999992</v>
      </c>
      <c r="P936" s="17">
        <f>('Work File (2)'!$L936*'Work File (2)'!$M936)*(1-'Work File (2)'!$N936)</f>
        <v>53.492400000000025</v>
      </c>
      <c r="Q936" s="1">
        <f>YEAR(Table2[[#This Row],[Order Date]])</f>
        <v>2018</v>
      </c>
      <c r="R936" s="18" t="str">
        <f>TEXT(Table2[[#This Row],[Order Date]],"mmm")</f>
        <v>Jun</v>
      </c>
      <c r="S936" s="18"/>
    </row>
    <row r="937" spans="1:19" x14ac:dyDescent="0.2">
      <c r="A937" s="1">
        <v>936</v>
      </c>
      <c r="B937" s="1" t="s">
        <v>1768</v>
      </c>
      <c r="C937" s="2">
        <v>43271</v>
      </c>
      <c r="D937" s="1" t="s">
        <v>36</v>
      </c>
      <c r="E937" s="1" t="s">
        <v>1769</v>
      </c>
      <c r="F937" s="1" t="s">
        <v>101</v>
      </c>
      <c r="G937" s="1" t="s">
        <v>102</v>
      </c>
      <c r="H937" s="1" t="s">
        <v>103</v>
      </c>
      <c r="I937" s="1" t="s">
        <v>32</v>
      </c>
      <c r="J937" s="1" t="s">
        <v>63</v>
      </c>
      <c r="K937" s="1" t="s">
        <v>1641</v>
      </c>
      <c r="L937" s="17">
        <v>15.552000000000003</v>
      </c>
      <c r="M937" s="1">
        <v>3</v>
      </c>
      <c r="N937" s="1">
        <v>0.2</v>
      </c>
      <c r="O937" s="17">
        <v>5.4432</v>
      </c>
      <c r="P937" s="17">
        <f>('Work File (2)'!$L937*'Work File (2)'!$M937)*(1-'Work File (2)'!$N937)</f>
        <v>37.324800000000003</v>
      </c>
      <c r="Q937" s="1">
        <f>YEAR(Table2[[#This Row],[Order Date]])</f>
        <v>2018</v>
      </c>
      <c r="R937" s="18" t="str">
        <f>TEXT(Table2[[#This Row],[Order Date]],"mmm")</f>
        <v>Jun</v>
      </c>
      <c r="S937" s="18"/>
    </row>
    <row r="938" spans="1:19" x14ac:dyDescent="0.2">
      <c r="A938" s="1">
        <v>937</v>
      </c>
      <c r="B938" s="1" t="s">
        <v>1768</v>
      </c>
      <c r="C938" s="2">
        <v>43271</v>
      </c>
      <c r="D938" s="1" t="s">
        <v>36</v>
      </c>
      <c r="E938" s="1" t="s">
        <v>1769</v>
      </c>
      <c r="F938" s="1" t="s">
        <v>101</v>
      </c>
      <c r="G938" s="1" t="s">
        <v>102</v>
      </c>
      <c r="H938" s="1" t="s">
        <v>103</v>
      </c>
      <c r="I938" s="1" t="s">
        <v>32</v>
      </c>
      <c r="J938" s="1" t="s">
        <v>55</v>
      </c>
      <c r="K938" s="1" t="s">
        <v>385</v>
      </c>
      <c r="L938" s="17">
        <v>447.69600000000003</v>
      </c>
      <c r="M938" s="1">
        <v>2</v>
      </c>
      <c r="N938" s="1">
        <v>0.2</v>
      </c>
      <c r="O938" s="17">
        <v>33.577199999999976</v>
      </c>
      <c r="P938" s="17">
        <f>('Work File (2)'!$L938*'Work File (2)'!$M938)*(1-'Work File (2)'!$N938)</f>
        <v>716.31360000000006</v>
      </c>
      <c r="Q938" s="1">
        <f>YEAR(Table2[[#This Row],[Order Date]])</f>
        <v>2018</v>
      </c>
      <c r="R938" s="18" t="str">
        <f>TEXT(Table2[[#This Row],[Order Date]],"mmm")</f>
        <v>Jun</v>
      </c>
      <c r="S938" s="18"/>
    </row>
    <row r="939" spans="1:19" x14ac:dyDescent="0.2">
      <c r="A939" s="1">
        <v>938</v>
      </c>
      <c r="B939" s="1" t="s">
        <v>1772</v>
      </c>
      <c r="C939" s="2">
        <v>43774</v>
      </c>
      <c r="D939" s="1" t="s">
        <v>128</v>
      </c>
      <c r="E939" s="1" t="s">
        <v>145</v>
      </c>
      <c r="F939" s="1" t="s">
        <v>1773</v>
      </c>
      <c r="G939" s="1" t="s">
        <v>430</v>
      </c>
      <c r="H939" s="1" t="s">
        <v>31</v>
      </c>
      <c r="I939" s="1" t="s">
        <v>50</v>
      </c>
      <c r="J939" s="1" t="s">
        <v>111</v>
      </c>
      <c r="K939" s="1" t="s">
        <v>822</v>
      </c>
      <c r="L939" s="17">
        <v>159.99</v>
      </c>
      <c r="M939" s="1">
        <v>1</v>
      </c>
      <c r="N939" s="1">
        <v>0</v>
      </c>
      <c r="O939" s="17">
        <v>54.396599999999992</v>
      </c>
      <c r="P939" s="17">
        <f>('Work File (2)'!$L939*'Work File (2)'!$M939)*(1-'Work File (2)'!$N939)</f>
        <v>159.99</v>
      </c>
      <c r="Q939" s="1">
        <f>YEAR(Table2[[#This Row],[Order Date]])</f>
        <v>2019</v>
      </c>
      <c r="R939" s="18" t="str">
        <f>TEXT(Table2[[#This Row],[Order Date]],"mmm")</f>
        <v>Nov</v>
      </c>
      <c r="S939" s="18"/>
    </row>
    <row r="940" spans="1:19" x14ac:dyDescent="0.2">
      <c r="A940" s="1">
        <v>939</v>
      </c>
      <c r="B940" s="1" t="s">
        <v>1774</v>
      </c>
      <c r="C940" s="2">
        <v>43082</v>
      </c>
      <c r="D940" s="1" t="s">
        <v>36</v>
      </c>
      <c r="E940" s="1" t="s">
        <v>1775</v>
      </c>
      <c r="F940" s="1" t="s">
        <v>1776</v>
      </c>
      <c r="G940" s="1" t="s">
        <v>30</v>
      </c>
      <c r="H940" s="1" t="s">
        <v>31</v>
      </c>
      <c r="I940" s="1" t="s">
        <v>32</v>
      </c>
      <c r="J940" s="1" t="s">
        <v>63</v>
      </c>
      <c r="K940" s="1" t="s">
        <v>1777</v>
      </c>
      <c r="L940" s="17">
        <v>12.96</v>
      </c>
      <c r="M940" s="1">
        <v>2</v>
      </c>
      <c r="N940" s="1">
        <v>0</v>
      </c>
      <c r="O940" s="17">
        <v>6.2208000000000006</v>
      </c>
      <c r="P940" s="17">
        <f>('Work File (2)'!$L940*'Work File (2)'!$M940)*(1-'Work File (2)'!$N940)</f>
        <v>25.92</v>
      </c>
      <c r="Q940" s="1">
        <f>YEAR(Table2[[#This Row],[Order Date]])</f>
        <v>2017</v>
      </c>
      <c r="R940" s="18" t="str">
        <f>TEXT(Table2[[#This Row],[Order Date]],"mmm")</f>
        <v>Dec</v>
      </c>
      <c r="S940" s="18"/>
    </row>
    <row r="941" spans="1:19" x14ac:dyDescent="0.2">
      <c r="A941" s="1">
        <v>940</v>
      </c>
      <c r="B941" s="1" t="s">
        <v>1774</v>
      </c>
      <c r="C941" s="2">
        <v>43082</v>
      </c>
      <c r="D941" s="1" t="s">
        <v>36</v>
      </c>
      <c r="E941" s="1" t="s">
        <v>1775</v>
      </c>
      <c r="F941" s="1" t="s">
        <v>1776</v>
      </c>
      <c r="G941" s="1" t="s">
        <v>30</v>
      </c>
      <c r="H941" s="1" t="s">
        <v>31</v>
      </c>
      <c r="I941" s="1" t="s">
        <v>32</v>
      </c>
      <c r="J941" s="1" t="s">
        <v>55</v>
      </c>
      <c r="K941" s="1" t="s">
        <v>1778</v>
      </c>
      <c r="L941" s="17">
        <v>134.47999999999999</v>
      </c>
      <c r="M941" s="1">
        <v>4</v>
      </c>
      <c r="N941" s="1">
        <v>0</v>
      </c>
      <c r="O941" s="17">
        <v>34.964799999999997</v>
      </c>
      <c r="P941" s="17">
        <f>('Work File (2)'!$L941*'Work File (2)'!$M941)*(1-'Work File (2)'!$N941)</f>
        <v>537.91999999999996</v>
      </c>
      <c r="Q941" s="1">
        <f>YEAR(Table2[[#This Row],[Order Date]])</f>
        <v>2017</v>
      </c>
      <c r="R941" s="18" t="str">
        <f>TEXT(Table2[[#This Row],[Order Date]],"mmm")</f>
        <v>Dec</v>
      </c>
      <c r="S941" s="18"/>
    </row>
    <row r="942" spans="1:19" x14ac:dyDescent="0.2">
      <c r="A942" s="1">
        <v>941</v>
      </c>
      <c r="B942" s="1" t="s">
        <v>1779</v>
      </c>
      <c r="C942" s="2">
        <v>43270</v>
      </c>
      <c r="D942" s="1" t="s">
        <v>128</v>
      </c>
      <c r="E942" s="1" t="s">
        <v>1780</v>
      </c>
      <c r="F942" s="1" t="s">
        <v>89</v>
      </c>
      <c r="G942" s="1" t="s">
        <v>30</v>
      </c>
      <c r="H942" s="1" t="s">
        <v>31</v>
      </c>
      <c r="I942" s="1" t="s">
        <v>32</v>
      </c>
      <c r="J942" s="1" t="s">
        <v>63</v>
      </c>
      <c r="K942" s="1" t="s">
        <v>1781</v>
      </c>
      <c r="L942" s="17">
        <v>17.12</v>
      </c>
      <c r="M942" s="1">
        <v>2</v>
      </c>
      <c r="N942" s="1">
        <v>0</v>
      </c>
      <c r="O942" s="17">
        <v>8.0464000000000002</v>
      </c>
      <c r="P942" s="17">
        <f>('Work File (2)'!$L942*'Work File (2)'!$M942)*(1-'Work File (2)'!$N942)</f>
        <v>34.24</v>
      </c>
      <c r="Q942" s="1">
        <f>YEAR(Table2[[#This Row],[Order Date]])</f>
        <v>2018</v>
      </c>
      <c r="R942" s="18" t="str">
        <f>TEXT(Table2[[#This Row],[Order Date]],"mmm")</f>
        <v>Jun</v>
      </c>
      <c r="S942" s="18"/>
    </row>
    <row r="943" spans="1:19" x14ac:dyDescent="0.2">
      <c r="A943" s="1">
        <v>942</v>
      </c>
      <c r="B943" s="1" t="s">
        <v>1782</v>
      </c>
      <c r="C943" s="2">
        <v>43447</v>
      </c>
      <c r="D943" s="1" t="s">
        <v>36</v>
      </c>
      <c r="E943" s="1" t="s">
        <v>1745</v>
      </c>
      <c r="F943" s="1" t="s">
        <v>1783</v>
      </c>
      <c r="G943" s="1" t="s">
        <v>30</v>
      </c>
      <c r="H943" s="1" t="s">
        <v>31</v>
      </c>
      <c r="I943" s="1" t="s">
        <v>32</v>
      </c>
      <c r="J943" s="1" t="s">
        <v>53</v>
      </c>
      <c r="K943" s="1" t="s">
        <v>1784</v>
      </c>
      <c r="L943" s="17">
        <v>6.0960000000000001</v>
      </c>
      <c r="M943" s="1">
        <v>2</v>
      </c>
      <c r="N943" s="1">
        <v>0.2</v>
      </c>
      <c r="O943" s="17">
        <v>2.2098</v>
      </c>
      <c r="P943" s="17">
        <f>('Work File (2)'!$L943*'Work File (2)'!$M943)*(1-'Work File (2)'!$N943)</f>
        <v>9.7536000000000005</v>
      </c>
      <c r="Q943" s="1">
        <f>YEAR(Table2[[#This Row],[Order Date]])</f>
        <v>2018</v>
      </c>
      <c r="R943" s="18" t="str">
        <f>TEXT(Table2[[#This Row],[Order Date]],"mmm")</f>
        <v>Dec</v>
      </c>
      <c r="S943" s="18"/>
    </row>
    <row r="944" spans="1:19" x14ac:dyDescent="0.2">
      <c r="A944" s="1">
        <v>943</v>
      </c>
      <c r="B944" s="1" t="s">
        <v>1782</v>
      </c>
      <c r="C944" s="2">
        <v>43447</v>
      </c>
      <c r="D944" s="1" t="s">
        <v>36</v>
      </c>
      <c r="E944" s="1" t="s">
        <v>1745</v>
      </c>
      <c r="F944" s="1" t="s">
        <v>1783</v>
      </c>
      <c r="G944" s="1" t="s">
        <v>30</v>
      </c>
      <c r="H944" s="1" t="s">
        <v>31</v>
      </c>
      <c r="I944" s="1" t="s">
        <v>22</v>
      </c>
      <c r="J944" s="1" t="s">
        <v>40</v>
      </c>
      <c r="K944" s="1" t="s">
        <v>41</v>
      </c>
      <c r="L944" s="17">
        <v>1114.2719999999999</v>
      </c>
      <c r="M944" s="1">
        <v>4</v>
      </c>
      <c r="N944" s="1">
        <v>0.2</v>
      </c>
      <c r="O944" s="17">
        <v>41.785200000000032</v>
      </c>
      <c r="P944" s="17">
        <f>('Work File (2)'!$L944*'Work File (2)'!$M944)*(1-'Work File (2)'!$N944)</f>
        <v>3565.6704</v>
      </c>
      <c r="Q944" s="1">
        <f>YEAR(Table2[[#This Row],[Order Date]])</f>
        <v>2018</v>
      </c>
      <c r="R944" s="18" t="str">
        <f>TEXT(Table2[[#This Row],[Order Date]],"mmm")</f>
        <v>Dec</v>
      </c>
      <c r="S944" s="18"/>
    </row>
    <row r="945" spans="1:19" x14ac:dyDescent="0.2">
      <c r="A945" s="1">
        <v>944</v>
      </c>
      <c r="B945" s="1" t="s">
        <v>1785</v>
      </c>
      <c r="C945" s="2">
        <v>42884</v>
      </c>
      <c r="D945" s="1" t="s">
        <v>36</v>
      </c>
      <c r="E945" s="1" t="s">
        <v>754</v>
      </c>
      <c r="F945" s="1" t="s">
        <v>67</v>
      </c>
      <c r="G945" s="1" t="s">
        <v>68</v>
      </c>
      <c r="H945" s="1" t="s">
        <v>31</v>
      </c>
      <c r="I945" s="1" t="s">
        <v>32</v>
      </c>
      <c r="J945" s="1" t="s">
        <v>63</v>
      </c>
      <c r="K945" s="1" t="s">
        <v>1231</v>
      </c>
      <c r="L945" s="17">
        <v>32.400000000000006</v>
      </c>
      <c r="M945" s="1">
        <v>5</v>
      </c>
      <c r="N945" s="1">
        <v>0</v>
      </c>
      <c r="O945" s="17">
        <v>15.552000000000001</v>
      </c>
      <c r="P945" s="17">
        <f>('Work File (2)'!$L945*'Work File (2)'!$M945)*(1-'Work File (2)'!$N945)</f>
        <v>162.00000000000003</v>
      </c>
      <c r="Q945" s="1">
        <f>YEAR(Table2[[#This Row],[Order Date]])</f>
        <v>2017</v>
      </c>
      <c r="R945" s="18" t="str">
        <f>TEXT(Table2[[#This Row],[Order Date]],"mmm")</f>
        <v>May</v>
      </c>
      <c r="S945" s="18"/>
    </row>
    <row r="946" spans="1:19" x14ac:dyDescent="0.2">
      <c r="A946" s="1">
        <v>945</v>
      </c>
      <c r="B946" s="1" t="s">
        <v>1785</v>
      </c>
      <c r="C946" s="2">
        <v>42884</v>
      </c>
      <c r="D946" s="1" t="s">
        <v>36</v>
      </c>
      <c r="E946" s="1" t="s">
        <v>754</v>
      </c>
      <c r="F946" s="1" t="s">
        <v>67</v>
      </c>
      <c r="G946" s="1" t="s">
        <v>68</v>
      </c>
      <c r="H946" s="1" t="s">
        <v>31</v>
      </c>
      <c r="I946" s="1" t="s">
        <v>32</v>
      </c>
      <c r="J946" s="1" t="s">
        <v>42</v>
      </c>
      <c r="K946" s="1" t="s">
        <v>1786</v>
      </c>
      <c r="L946" s="17">
        <v>540.56999999999994</v>
      </c>
      <c r="M946" s="1">
        <v>3</v>
      </c>
      <c r="N946" s="1">
        <v>0</v>
      </c>
      <c r="O946" s="17">
        <v>140.54820000000001</v>
      </c>
      <c r="P946" s="17">
        <f>('Work File (2)'!$L946*'Work File (2)'!$M946)*(1-'Work File (2)'!$N946)</f>
        <v>1621.7099999999998</v>
      </c>
      <c r="Q946" s="1">
        <f>YEAR(Table2[[#This Row],[Order Date]])</f>
        <v>2017</v>
      </c>
      <c r="R946" s="18" t="str">
        <f>TEXT(Table2[[#This Row],[Order Date]],"mmm")</f>
        <v>May</v>
      </c>
      <c r="S946" s="18"/>
    </row>
    <row r="947" spans="1:19" x14ac:dyDescent="0.2">
      <c r="A947" s="1">
        <v>946</v>
      </c>
      <c r="B947" s="1" t="s">
        <v>1785</v>
      </c>
      <c r="C947" s="2">
        <v>42884</v>
      </c>
      <c r="D947" s="1" t="s">
        <v>36</v>
      </c>
      <c r="E947" s="1" t="s">
        <v>754</v>
      </c>
      <c r="F947" s="1" t="s">
        <v>67</v>
      </c>
      <c r="G947" s="1" t="s">
        <v>68</v>
      </c>
      <c r="H947" s="1" t="s">
        <v>31</v>
      </c>
      <c r="I947" s="1" t="s">
        <v>32</v>
      </c>
      <c r="J947" s="1" t="s">
        <v>53</v>
      </c>
      <c r="K947" s="1" t="s">
        <v>1787</v>
      </c>
      <c r="L947" s="17">
        <v>167.76</v>
      </c>
      <c r="M947" s="1">
        <v>5</v>
      </c>
      <c r="N947" s="1">
        <v>0.2</v>
      </c>
      <c r="O947" s="17">
        <v>62.91</v>
      </c>
      <c r="P947" s="17">
        <f>('Work File (2)'!$L947*'Work File (2)'!$M947)*(1-'Work File (2)'!$N947)</f>
        <v>671.04</v>
      </c>
      <c r="Q947" s="1">
        <f>YEAR(Table2[[#This Row],[Order Date]])</f>
        <v>2017</v>
      </c>
      <c r="R947" s="18" t="str">
        <f>TEXT(Table2[[#This Row],[Order Date]],"mmm")</f>
        <v>May</v>
      </c>
      <c r="S947" s="18"/>
    </row>
    <row r="948" spans="1:19" x14ac:dyDescent="0.2">
      <c r="A948" s="1">
        <v>947</v>
      </c>
      <c r="B948" s="1" t="s">
        <v>1788</v>
      </c>
      <c r="C948" s="2">
        <v>42942</v>
      </c>
      <c r="D948" s="1" t="s">
        <v>128</v>
      </c>
      <c r="E948" s="1" t="s">
        <v>1187</v>
      </c>
      <c r="F948" s="1" t="s">
        <v>1136</v>
      </c>
      <c r="G948" s="1" t="s">
        <v>205</v>
      </c>
      <c r="H948" s="1" t="s">
        <v>31</v>
      </c>
      <c r="I948" s="1" t="s">
        <v>22</v>
      </c>
      <c r="J948" s="1" t="s">
        <v>40</v>
      </c>
      <c r="K948" s="1" t="s">
        <v>1789</v>
      </c>
      <c r="L948" s="17">
        <v>393.16500000000002</v>
      </c>
      <c r="M948" s="1">
        <v>3</v>
      </c>
      <c r="N948" s="1">
        <v>0.5</v>
      </c>
      <c r="O948" s="17">
        <v>-204.44580000000005</v>
      </c>
      <c r="P948" s="17">
        <f>('Work File (2)'!$L948*'Work File (2)'!$M948)*(1-'Work File (2)'!$N948)</f>
        <v>589.74750000000006</v>
      </c>
      <c r="Q948" s="1">
        <f>YEAR(Table2[[#This Row],[Order Date]])</f>
        <v>2017</v>
      </c>
      <c r="R948" s="18" t="str">
        <f>TEXT(Table2[[#This Row],[Order Date]],"mmm")</f>
        <v>Jul</v>
      </c>
      <c r="S948" s="18"/>
    </row>
    <row r="949" spans="1:19" x14ac:dyDescent="0.2">
      <c r="A949" s="1">
        <v>948</v>
      </c>
      <c r="B949" s="1" t="s">
        <v>1790</v>
      </c>
      <c r="C949" s="2">
        <v>43797</v>
      </c>
      <c r="D949" s="1" t="s">
        <v>36</v>
      </c>
      <c r="E949" s="1" t="s">
        <v>945</v>
      </c>
      <c r="F949" s="1" t="s">
        <v>101</v>
      </c>
      <c r="G949" s="1" t="s">
        <v>102</v>
      </c>
      <c r="H949" s="1" t="s">
        <v>103</v>
      </c>
      <c r="I949" s="1" t="s">
        <v>22</v>
      </c>
      <c r="J949" s="1" t="s">
        <v>46</v>
      </c>
      <c r="K949" s="1" t="s">
        <v>1791</v>
      </c>
      <c r="L949" s="17">
        <v>516.48800000000006</v>
      </c>
      <c r="M949" s="1">
        <v>7</v>
      </c>
      <c r="N949" s="1">
        <v>0.2</v>
      </c>
      <c r="O949" s="17">
        <v>-12.912200000000027</v>
      </c>
      <c r="P949" s="17">
        <f>('Work File (2)'!$L949*'Work File (2)'!$M949)*(1-'Work File (2)'!$N949)</f>
        <v>2892.3328000000001</v>
      </c>
      <c r="Q949" s="1">
        <f>YEAR(Table2[[#This Row],[Order Date]])</f>
        <v>2019</v>
      </c>
      <c r="R949" s="18" t="str">
        <f>TEXT(Table2[[#This Row],[Order Date]],"mmm")</f>
        <v>Nov</v>
      </c>
      <c r="S949" s="18"/>
    </row>
    <row r="950" spans="1:19" x14ac:dyDescent="0.2">
      <c r="A950" s="1">
        <v>949</v>
      </c>
      <c r="B950" s="1" t="s">
        <v>1790</v>
      </c>
      <c r="C950" s="2">
        <v>43797</v>
      </c>
      <c r="D950" s="1" t="s">
        <v>36</v>
      </c>
      <c r="E950" s="1" t="s">
        <v>945</v>
      </c>
      <c r="F950" s="1" t="s">
        <v>101</v>
      </c>
      <c r="G950" s="1" t="s">
        <v>102</v>
      </c>
      <c r="H950" s="1" t="s">
        <v>103</v>
      </c>
      <c r="I950" s="1" t="s">
        <v>22</v>
      </c>
      <c r="J950" s="1" t="s">
        <v>46</v>
      </c>
      <c r="K950" s="1" t="s">
        <v>584</v>
      </c>
      <c r="L950" s="17">
        <v>1007.2320000000001</v>
      </c>
      <c r="M950" s="1">
        <v>6</v>
      </c>
      <c r="N950" s="1">
        <v>0.2</v>
      </c>
      <c r="O950" s="17">
        <v>75.542400000000015</v>
      </c>
      <c r="P950" s="17">
        <f>('Work File (2)'!$L950*'Work File (2)'!$M950)*(1-'Work File (2)'!$N950)</f>
        <v>4834.713600000001</v>
      </c>
      <c r="Q950" s="1">
        <f>YEAR(Table2[[#This Row],[Order Date]])</f>
        <v>2019</v>
      </c>
      <c r="R950" s="18" t="str">
        <f>TEXT(Table2[[#This Row],[Order Date]],"mmm")</f>
        <v>Nov</v>
      </c>
      <c r="S950" s="18"/>
    </row>
    <row r="951" spans="1:19" x14ac:dyDescent="0.2">
      <c r="A951" s="1">
        <v>950</v>
      </c>
      <c r="B951" s="1" t="s">
        <v>1790</v>
      </c>
      <c r="C951" s="2">
        <v>43797</v>
      </c>
      <c r="D951" s="1" t="s">
        <v>36</v>
      </c>
      <c r="E951" s="1" t="s">
        <v>945</v>
      </c>
      <c r="F951" s="1" t="s">
        <v>101</v>
      </c>
      <c r="G951" s="1" t="s">
        <v>102</v>
      </c>
      <c r="H951" s="1" t="s">
        <v>103</v>
      </c>
      <c r="I951" s="1" t="s">
        <v>22</v>
      </c>
      <c r="J951" s="1" t="s">
        <v>40</v>
      </c>
      <c r="K951" s="1" t="s">
        <v>1792</v>
      </c>
      <c r="L951" s="17">
        <v>2065.3200000000002</v>
      </c>
      <c r="M951" s="1">
        <v>12</v>
      </c>
      <c r="N951" s="1">
        <v>0.4</v>
      </c>
      <c r="O951" s="17">
        <v>-619.59600000000012</v>
      </c>
      <c r="P951" s="17">
        <f>('Work File (2)'!$L951*'Work File (2)'!$M951)*(1-'Work File (2)'!$N951)</f>
        <v>14870.304000000002</v>
      </c>
      <c r="Q951" s="1">
        <f>YEAR(Table2[[#This Row],[Order Date]])</f>
        <v>2019</v>
      </c>
      <c r="R951" s="18" t="str">
        <f>TEXT(Table2[[#This Row],[Order Date]],"mmm")</f>
        <v>Nov</v>
      </c>
      <c r="S951" s="18"/>
    </row>
    <row r="952" spans="1:19" x14ac:dyDescent="0.2">
      <c r="A952" s="1">
        <v>951</v>
      </c>
      <c r="B952" s="1" t="s">
        <v>1790</v>
      </c>
      <c r="C952" s="2">
        <v>43797</v>
      </c>
      <c r="D952" s="1" t="s">
        <v>36</v>
      </c>
      <c r="E952" s="1" t="s">
        <v>945</v>
      </c>
      <c r="F952" s="1" t="s">
        <v>101</v>
      </c>
      <c r="G952" s="1" t="s">
        <v>102</v>
      </c>
      <c r="H952" s="1" t="s">
        <v>103</v>
      </c>
      <c r="I952" s="1" t="s">
        <v>32</v>
      </c>
      <c r="J952" s="1" t="s">
        <v>63</v>
      </c>
      <c r="K952" s="1" t="s">
        <v>1793</v>
      </c>
      <c r="L952" s="17">
        <v>15.552000000000003</v>
      </c>
      <c r="M952" s="1">
        <v>3</v>
      </c>
      <c r="N952" s="1">
        <v>0.2</v>
      </c>
      <c r="O952" s="17">
        <v>5.4432</v>
      </c>
      <c r="P952" s="17">
        <f>('Work File (2)'!$L952*'Work File (2)'!$M952)*(1-'Work File (2)'!$N952)</f>
        <v>37.324800000000003</v>
      </c>
      <c r="Q952" s="1">
        <f>YEAR(Table2[[#This Row],[Order Date]])</f>
        <v>2019</v>
      </c>
      <c r="R952" s="18" t="str">
        <f>TEXT(Table2[[#This Row],[Order Date]],"mmm")</f>
        <v>Nov</v>
      </c>
      <c r="S952" s="18"/>
    </row>
    <row r="953" spans="1:19" x14ac:dyDescent="0.2">
      <c r="A953" s="1">
        <v>952</v>
      </c>
      <c r="B953" s="1" t="s">
        <v>1790</v>
      </c>
      <c r="C953" s="2">
        <v>43797</v>
      </c>
      <c r="D953" s="1" t="s">
        <v>36</v>
      </c>
      <c r="E953" s="1" t="s">
        <v>945</v>
      </c>
      <c r="F953" s="1" t="s">
        <v>101</v>
      </c>
      <c r="G953" s="1" t="s">
        <v>102</v>
      </c>
      <c r="H953" s="1" t="s">
        <v>103</v>
      </c>
      <c r="I953" s="1" t="s">
        <v>32</v>
      </c>
      <c r="J953" s="1" t="s">
        <v>63</v>
      </c>
      <c r="K953" s="1" t="s">
        <v>580</v>
      </c>
      <c r="L953" s="17">
        <v>25.344000000000001</v>
      </c>
      <c r="M953" s="1">
        <v>6</v>
      </c>
      <c r="N953" s="1">
        <v>0.2</v>
      </c>
      <c r="O953" s="17">
        <v>7.92</v>
      </c>
      <c r="P953" s="17">
        <f>('Work File (2)'!$L953*'Work File (2)'!$M953)*(1-'Work File (2)'!$N953)</f>
        <v>121.65120000000002</v>
      </c>
      <c r="Q953" s="1">
        <f>YEAR(Table2[[#This Row],[Order Date]])</f>
        <v>2019</v>
      </c>
      <c r="R953" s="18" t="str">
        <f>TEXT(Table2[[#This Row],[Order Date]],"mmm")</f>
        <v>Nov</v>
      </c>
      <c r="S953" s="18"/>
    </row>
    <row r="954" spans="1:19" x14ac:dyDescent="0.2">
      <c r="A954" s="1">
        <v>953</v>
      </c>
      <c r="B954" s="1" t="s">
        <v>1794</v>
      </c>
      <c r="C954" s="2">
        <v>43558</v>
      </c>
      <c r="D954" s="1" t="s">
        <v>36</v>
      </c>
      <c r="E954" s="1" t="s">
        <v>1795</v>
      </c>
      <c r="F954" s="1" t="s">
        <v>101</v>
      </c>
      <c r="G954" s="1" t="s">
        <v>102</v>
      </c>
      <c r="H954" s="1" t="s">
        <v>103</v>
      </c>
      <c r="I954" s="1" t="s">
        <v>22</v>
      </c>
      <c r="J954" s="1" t="s">
        <v>46</v>
      </c>
      <c r="K954" s="1" t="s">
        <v>585</v>
      </c>
      <c r="L954" s="17">
        <v>25.472000000000001</v>
      </c>
      <c r="M954" s="1">
        <v>4</v>
      </c>
      <c r="N954" s="1">
        <v>0.2</v>
      </c>
      <c r="O954" s="17">
        <v>7.6416000000000022</v>
      </c>
      <c r="P954" s="17">
        <f>('Work File (2)'!$L954*'Work File (2)'!$M954)*(1-'Work File (2)'!$N954)</f>
        <v>81.510400000000004</v>
      </c>
      <c r="Q954" s="1">
        <f>YEAR(Table2[[#This Row],[Order Date]])</f>
        <v>2019</v>
      </c>
      <c r="R954" s="18" t="str">
        <f>TEXT(Table2[[#This Row],[Order Date]],"mmm")</f>
        <v>Apr</v>
      </c>
      <c r="S954" s="18"/>
    </row>
    <row r="955" spans="1:19" x14ac:dyDescent="0.2">
      <c r="A955" s="1">
        <v>954</v>
      </c>
      <c r="B955" s="1" t="s">
        <v>1796</v>
      </c>
      <c r="C955" s="2">
        <v>43827</v>
      </c>
      <c r="D955" s="1" t="s">
        <v>36</v>
      </c>
      <c r="E955" s="1" t="s">
        <v>1797</v>
      </c>
      <c r="F955" s="1" t="s">
        <v>1798</v>
      </c>
      <c r="G955" s="1" t="s">
        <v>73</v>
      </c>
      <c r="H955" s="1" t="s">
        <v>74</v>
      </c>
      <c r="I955" s="1" t="s">
        <v>32</v>
      </c>
      <c r="J955" s="1" t="s">
        <v>48</v>
      </c>
      <c r="K955" s="1" t="s">
        <v>557</v>
      </c>
      <c r="L955" s="17">
        <v>27.168000000000003</v>
      </c>
      <c r="M955" s="1">
        <v>2</v>
      </c>
      <c r="N955" s="1">
        <v>0.2</v>
      </c>
      <c r="O955" s="17">
        <v>2.7168000000000001</v>
      </c>
      <c r="P955" s="17">
        <f>('Work File (2)'!$L955*'Work File (2)'!$M955)*(1-'Work File (2)'!$N955)</f>
        <v>43.468800000000009</v>
      </c>
      <c r="Q955" s="1">
        <f>YEAR(Table2[[#This Row],[Order Date]])</f>
        <v>2019</v>
      </c>
      <c r="R955" s="18" t="str">
        <f>TEXT(Table2[[#This Row],[Order Date]],"mmm")</f>
        <v>Dec</v>
      </c>
      <c r="S955" s="18"/>
    </row>
    <row r="956" spans="1:19" x14ac:dyDescent="0.2">
      <c r="A956" s="1">
        <v>955</v>
      </c>
      <c r="B956" s="1" t="s">
        <v>1796</v>
      </c>
      <c r="C956" s="2">
        <v>43827</v>
      </c>
      <c r="D956" s="1" t="s">
        <v>36</v>
      </c>
      <c r="E956" s="1" t="s">
        <v>1797</v>
      </c>
      <c r="F956" s="1" t="s">
        <v>1798</v>
      </c>
      <c r="G956" s="1" t="s">
        <v>73</v>
      </c>
      <c r="H956" s="1" t="s">
        <v>74</v>
      </c>
      <c r="I956" s="1" t="s">
        <v>22</v>
      </c>
      <c r="J956" s="1" t="s">
        <v>23</v>
      </c>
      <c r="K956" s="1" t="s">
        <v>677</v>
      </c>
      <c r="L956" s="17">
        <v>78.852799999999988</v>
      </c>
      <c r="M956" s="1">
        <v>2</v>
      </c>
      <c r="N956" s="1">
        <v>0.32</v>
      </c>
      <c r="O956" s="17">
        <v>-11.595999999999997</v>
      </c>
      <c r="P956" s="17">
        <f>('Work File (2)'!$L956*'Work File (2)'!$M956)*(1-'Work File (2)'!$N956)</f>
        <v>107.23980799999997</v>
      </c>
      <c r="Q956" s="1">
        <f>YEAR(Table2[[#This Row],[Order Date]])</f>
        <v>2019</v>
      </c>
      <c r="R956" s="18" t="str">
        <f>TEXT(Table2[[#This Row],[Order Date]],"mmm")</f>
        <v>Dec</v>
      </c>
      <c r="S956" s="18"/>
    </row>
    <row r="957" spans="1:19" x14ac:dyDescent="0.2">
      <c r="A957" s="1">
        <v>956</v>
      </c>
      <c r="B957" s="1" t="s">
        <v>1799</v>
      </c>
      <c r="C957" s="2">
        <v>43799</v>
      </c>
      <c r="D957" s="1" t="s">
        <v>36</v>
      </c>
      <c r="E957" s="1" t="s">
        <v>1800</v>
      </c>
      <c r="F957" s="1" t="s">
        <v>217</v>
      </c>
      <c r="G957" s="1" t="s">
        <v>931</v>
      </c>
      <c r="H957" s="1" t="s">
        <v>21</v>
      </c>
      <c r="I957" s="1" t="s">
        <v>32</v>
      </c>
      <c r="J957" s="1" t="s">
        <v>42</v>
      </c>
      <c r="K957" s="1" t="s">
        <v>186</v>
      </c>
      <c r="L957" s="17">
        <v>173.79999999999998</v>
      </c>
      <c r="M957" s="1">
        <v>5</v>
      </c>
      <c r="N957" s="1">
        <v>0</v>
      </c>
      <c r="O957" s="17">
        <v>43.449999999999989</v>
      </c>
      <c r="P957" s="17">
        <f>('Work File (2)'!$L957*'Work File (2)'!$M957)*(1-'Work File (2)'!$N957)</f>
        <v>868.99999999999989</v>
      </c>
      <c r="Q957" s="1">
        <f>YEAR(Table2[[#This Row],[Order Date]])</f>
        <v>2019</v>
      </c>
      <c r="R957" s="18" t="str">
        <f>TEXT(Table2[[#This Row],[Order Date]],"mmm")</f>
        <v>Nov</v>
      </c>
      <c r="S957" s="18"/>
    </row>
    <row r="958" spans="1:19" x14ac:dyDescent="0.2">
      <c r="A958" s="1">
        <v>957</v>
      </c>
      <c r="B958" s="1" t="s">
        <v>1801</v>
      </c>
      <c r="C958" s="2">
        <v>43600</v>
      </c>
      <c r="D958" s="1" t="s">
        <v>17</v>
      </c>
      <c r="E958" s="1" t="s">
        <v>1802</v>
      </c>
      <c r="F958" s="1" t="s">
        <v>352</v>
      </c>
      <c r="G958" s="1" t="s">
        <v>205</v>
      </c>
      <c r="H958" s="1" t="s">
        <v>31</v>
      </c>
      <c r="I958" s="1" t="s">
        <v>50</v>
      </c>
      <c r="J958" s="1" t="s">
        <v>51</v>
      </c>
      <c r="K958" s="1" t="s">
        <v>1658</v>
      </c>
      <c r="L958" s="17">
        <v>29.592000000000002</v>
      </c>
      <c r="M958" s="1">
        <v>1</v>
      </c>
      <c r="N958" s="1">
        <v>0.2</v>
      </c>
      <c r="O958" s="17">
        <v>2.5893000000000006</v>
      </c>
      <c r="P958" s="17">
        <f>('Work File (2)'!$L958*'Work File (2)'!$M958)*(1-'Work File (2)'!$N958)</f>
        <v>23.673600000000004</v>
      </c>
      <c r="Q958" s="1">
        <f>YEAR(Table2[[#This Row],[Order Date]])</f>
        <v>2019</v>
      </c>
      <c r="R958" s="18" t="str">
        <f>TEXT(Table2[[#This Row],[Order Date]],"mmm")</f>
        <v>May</v>
      </c>
      <c r="S958" s="18"/>
    </row>
    <row r="959" spans="1:19" x14ac:dyDescent="0.2">
      <c r="A959" s="1">
        <v>958</v>
      </c>
      <c r="B959" s="1" t="s">
        <v>1801</v>
      </c>
      <c r="C959" s="2">
        <v>43600</v>
      </c>
      <c r="D959" s="1" t="s">
        <v>17</v>
      </c>
      <c r="E959" s="1" t="s">
        <v>1802</v>
      </c>
      <c r="F959" s="1" t="s">
        <v>352</v>
      </c>
      <c r="G959" s="1" t="s">
        <v>205</v>
      </c>
      <c r="H959" s="1" t="s">
        <v>31</v>
      </c>
      <c r="I959" s="1" t="s">
        <v>32</v>
      </c>
      <c r="J959" s="1" t="s">
        <v>53</v>
      </c>
      <c r="K959" s="1" t="s">
        <v>1803</v>
      </c>
      <c r="L959" s="17">
        <v>4.7520000000000007</v>
      </c>
      <c r="M959" s="1">
        <v>2</v>
      </c>
      <c r="N959" s="1">
        <v>0.7</v>
      </c>
      <c r="O959" s="17">
        <v>-3.1679999999999993</v>
      </c>
      <c r="P959" s="17">
        <f>('Work File (2)'!$L959*'Work File (2)'!$M959)*(1-'Work File (2)'!$N959)</f>
        <v>2.8512000000000008</v>
      </c>
      <c r="Q959" s="1">
        <f>YEAR(Table2[[#This Row],[Order Date]])</f>
        <v>2019</v>
      </c>
      <c r="R959" s="18" t="str">
        <f>TEXT(Table2[[#This Row],[Order Date]],"mmm")</f>
        <v>May</v>
      </c>
      <c r="S959" s="18"/>
    </row>
    <row r="960" spans="1:19" x14ac:dyDescent="0.2">
      <c r="A960" s="1">
        <v>959</v>
      </c>
      <c r="B960" s="1" t="s">
        <v>1801</v>
      </c>
      <c r="C960" s="2">
        <v>43600</v>
      </c>
      <c r="D960" s="1" t="s">
        <v>17</v>
      </c>
      <c r="E960" s="1" t="s">
        <v>1802</v>
      </c>
      <c r="F960" s="1" t="s">
        <v>352</v>
      </c>
      <c r="G960" s="1" t="s">
        <v>205</v>
      </c>
      <c r="H960" s="1" t="s">
        <v>31</v>
      </c>
      <c r="I960" s="1" t="s">
        <v>32</v>
      </c>
      <c r="J960" s="1" t="s">
        <v>63</v>
      </c>
      <c r="K960" s="1" t="s">
        <v>1804</v>
      </c>
      <c r="L960" s="17">
        <v>15.552000000000003</v>
      </c>
      <c r="M960" s="1">
        <v>3</v>
      </c>
      <c r="N960" s="1">
        <v>0.2</v>
      </c>
      <c r="O960" s="17">
        <v>5.6375999999999999</v>
      </c>
      <c r="P960" s="17">
        <f>('Work File (2)'!$L960*'Work File (2)'!$M960)*(1-'Work File (2)'!$N960)</f>
        <v>37.324800000000003</v>
      </c>
      <c r="Q960" s="1">
        <f>YEAR(Table2[[#This Row],[Order Date]])</f>
        <v>2019</v>
      </c>
      <c r="R960" s="18" t="str">
        <f>TEXT(Table2[[#This Row],[Order Date]],"mmm")</f>
        <v>May</v>
      </c>
      <c r="S960" s="18"/>
    </row>
    <row r="961" spans="1:19" x14ac:dyDescent="0.2">
      <c r="A961" s="1">
        <v>960</v>
      </c>
      <c r="B961" s="1" t="s">
        <v>1805</v>
      </c>
      <c r="C961" s="2">
        <v>43000</v>
      </c>
      <c r="D961" s="1" t="s">
        <v>808</v>
      </c>
      <c r="E961" s="1" t="s">
        <v>1806</v>
      </c>
      <c r="F961" s="1" t="s">
        <v>1454</v>
      </c>
      <c r="G961" s="1" t="s">
        <v>30</v>
      </c>
      <c r="H961" s="1" t="s">
        <v>31</v>
      </c>
      <c r="I961" s="1" t="s">
        <v>22</v>
      </c>
      <c r="J961" s="1" t="s">
        <v>46</v>
      </c>
      <c r="K961" s="1" t="s">
        <v>1807</v>
      </c>
      <c r="L961" s="17">
        <v>204.6</v>
      </c>
      <c r="M961" s="1">
        <v>2</v>
      </c>
      <c r="N961" s="1">
        <v>0</v>
      </c>
      <c r="O961" s="17">
        <v>53.195999999999998</v>
      </c>
      <c r="P961" s="17">
        <f>('Work File (2)'!$L961*'Work File (2)'!$M961)*(1-'Work File (2)'!$N961)</f>
        <v>409.2</v>
      </c>
      <c r="Q961" s="1">
        <f>YEAR(Table2[[#This Row],[Order Date]])</f>
        <v>2017</v>
      </c>
      <c r="R961" s="18" t="str">
        <f>TEXT(Table2[[#This Row],[Order Date]],"mmm")</f>
        <v>Sep</v>
      </c>
      <c r="S961" s="18"/>
    </row>
    <row r="962" spans="1:19" x14ac:dyDescent="0.2">
      <c r="A962" s="1">
        <v>961</v>
      </c>
      <c r="B962" s="1" t="s">
        <v>1808</v>
      </c>
      <c r="C962" s="2">
        <v>43783</v>
      </c>
      <c r="D962" s="1" t="s">
        <v>36</v>
      </c>
      <c r="E962" s="1" t="s">
        <v>1809</v>
      </c>
      <c r="F962" s="1" t="s">
        <v>89</v>
      </c>
      <c r="G962" s="1" t="s">
        <v>30</v>
      </c>
      <c r="H962" s="1" t="s">
        <v>31</v>
      </c>
      <c r="I962" s="1" t="s">
        <v>22</v>
      </c>
      <c r="J962" s="1" t="s">
        <v>25</v>
      </c>
      <c r="K962" s="1" t="s">
        <v>597</v>
      </c>
      <c r="L962" s="17">
        <v>321.56799999999998</v>
      </c>
      <c r="M962" s="1">
        <v>2</v>
      </c>
      <c r="N962" s="1">
        <v>0.2</v>
      </c>
      <c r="O962" s="17">
        <v>28.137200000000007</v>
      </c>
      <c r="P962" s="17">
        <f>('Work File (2)'!$L962*'Work File (2)'!$M962)*(1-'Work File (2)'!$N962)</f>
        <v>514.50879999999995</v>
      </c>
      <c r="Q962" s="1">
        <f>YEAR(Table2[[#This Row],[Order Date]])</f>
        <v>2019</v>
      </c>
      <c r="R962" s="18" t="str">
        <f>TEXT(Table2[[#This Row],[Order Date]],"mmm")</f>
        <v>Nov</v>
      </c>
      <c r="S962" s="18"/>
    </row>
    <row r="963" spans="1:19" x14ac:dyDescent="0.2">
      <c r="A963" s="1">
        <v>962</v>
      </c>
      <c r="B963" s="1" t="s">
        <v>1810</v>
      </c>
      <c r="C963" s="2">
        <v>43066</v>
      </c>
      <c r="D963" s="1" t="s">
        <v>36</v>
      </c>
      <c r="E963" s="1" t="s">
        <v>1811</v>
      </c>
      <c r="F963" s="1" t="s">
        <v>1063</v>
      </c>
      <c r="G963" s="1" t="s">
        <v>1064</v>
      </c>
      <c r="H963" s="1" t="s">
        <v>21</v>
      </c>
      <c r="I963" s="1" t="s">
        <v>32</v>
      </c>
      <c r="J963" s="1" t="s">
        <v>53</v>
      </c>
      <c r="K963" s="1" t="s">
        <v>1812</v>
      </c>
      <c r="L963" s="17">
        <v>6.24</v>
      </c>
      <c r="M963" s="1">
        <v>2</v>
      </c>
      <c r="N963" s="1">
        <v>0</v>
      </c>
      <c r="O963" s="17">
        <v>3.0575999999999999</v>
      </c>
      <c r="P963" s="17">
        <f>('Work File (2)'!$L963*'Work File (2)'!$M963)*(1-'Work File (2)'!$N963)</f>
        <v>12.48</v>
      </c>
      <c r="Q963" s="1">
        <f>YEAR(Table2[[#This Row],[Order Date]])</f>
        <v>2017</v>
      </c>
      <c r="R963" s="18" t="str">
        <f>TEXT(Table2[[#This Row],[Order Date]],"mmm")</f>
        <v>Nov</v>
      </c>
      <c r="S963" s="18"/>
    </row>
    <row r="964" spans="1:19" x14ac:dyDescent="0.2">
      <c r="A964" s="1">
        <v>963</v>
      </c>
      <c r="B964" s="1" t="s">
        <v>1813</v>
      </c>
      <c r="C964" s="2">
        <v>43344</v>
      </c>
      <c r="D964" s="1" t="s">
        <v>128</v>
      </c>
      <c r="E964" s="1" t="s">
        <v>313</v>
      </c>
      <c r="F964" s="1" t="s">
        <v>89</v>
      </c>
      <c r="G964" s="1" t="s">
        <v>30</v>
      </c>
      <c r="H964" s="1" t="s">
        <v>31</v>
      </c>
      <c r="I964" s="1" t="s">
        <v>32</v>
      </c>
      <c r="J964" s="1" t="s">
        <v>118</v>
      </c>
      <c r="K964" s="1" t="s">
        <v>1123</v>
      </c>
      <c r="L964" s="17">
        <v>21.88</v>
      </c>
      <c r="M964" s="1">
        <v>2</v>
      </c>
      <c r="N964" s="1">
        <v>0</v>
      </c>
      <c r="O964" s="17">
        <v>10.94</v>
      </c>
      <c r="P964" s="17">
        <f>('Work File (2)'!$L964*'Work File (2)'!$M964)*(1-'Work File (2)'!$N964)</f>
        <v>43.76</v>
      </c>
      <c r="Q964" s="1">
        <f>YEAR(Table2[[#This Row],[Order Date]])</f>
        <v>2018</v>
      </c>
      <c r="R964" s="18" t="str">
        <f>TEXT(Table2[[#This Row],[Order Date]],"mmm")</f>
        <v>Sep</v>
      </c>
      <c r="S964" s="18"/>
    </row>
    <row r="965" spans="1:19" x14ac:dyDescent="0.2">
      <c r="A965" s="1">
        <v>964</v>
      </c>
      <c r="B965" s="1" t="s">
        <v>1814</v>
      </c>
      <c r="C965" s="2">
        <v>42635</v>
      </c>
      <c r="D965" s="1" t="s">
        <v>17</v>
      </c>
      <c r="E965" s="1" t="s">
        <v>1714</v>
      </c>
      <c r="F965" s="1" t="s">
        <v>1815</v>
      </c>
      <c r="G965" s="1" t="s">
        <v>39</v>
      </c>
      <c r="H965" s="1" t="s">
        <v>21</v>
      </c>
      <c r="I965" s="1" t="s">
        <v>32</v>
      </c>
      <c r="J965" s="1" t="s">
        <v>33</v>
      </c>
      <c r="K965" s="1" t="s">
        <v>1816</v>
      </c>
      <c r="L965" s="17">
        <v>4.6079999999999997</v>
      </c>
      <c r="M965" s="1">
        <v>2</v>
      </c>
      <c r="N965" s="1">
        <v>0.2</v>
      </c>
      <c r="O965" s="17">
        <v>1.6704000000000001</v>
      </c>
      <c r="P965" s="17">
        <f>('Work File (2)'!$L965*'Work File (2)'!$M965)*(1-'Work File (2)'!$N965)</f>
        <v>7.3727999999999998</v>
      </c>
      <c r="Q965" s="1">
        <f>YEAR(Table2[[#This Row],[Order Date]])</f>
        <v>2016</v>
      </c>
      <c r="R965" s="18" t="str">
        <f>TEXT(Table2[[#This Row],[Order Date]],"mmm")</f>
        <v>Sep</v>
      </c>
      <c r="S965" s="18"/>
    </row>
    <row r="966" spans="1:19" x14ac:dyDescent="0.2">
      <c r="A966" s="1">
        <v>965</v>
      </c>
      <c r="B966" s="1" t="s">
        <v>1817</v>
      </c>
      <c r="C966" s="2">
        <v>43564</v>
      </c>
      <c r="D966" s="1" t="s">
        <v>128</v>
      </c>
      <c r="E966" s="1" t="s">
        <v>1818</v>
      </c>
      <c r="F966" s="1" t="s">
        <v>178</v>
      </c>
      <c r="G966" s="1" t="s">
        <v>179</v>
      </c>
      <c r="H966" s="1" t="s">
        <v>103</v>
      </c>
      <c r="I966" s="1" t="s">
        <v>32</v>
      </c>
      <c r="J966" s="1" t="s">
        <v>33</v>
      </c>
      <c r="K966" s="1" t="s">
        <v>1819</v>
      </c>
      <c r="L966" s="17">
        <v>9.82</v>
      </c>
      <c r="M966" s="1">
        <v>2</v>
      </c>
      <c r="N966" s="1">
        <v>0</v>
      </c>
      <c r="O966" s="17">
        <v>4.8117999999999999</v>
      </c>
      <c r="P966" s="17">
        <f>('Work File (2)'!$L966*'Work File (2)'!$M966)*(1-'Work File (2)'!$N966)</f>
        <v>19.64</v>
      </c>
      <c r="Q966" s="1">
        <f>YEAR(Table2[[#This Row],[Order Date]])</f>
        <v>2019</v>
      </c>
      <c r="R966" s="18" t="str">
        <f>TEXT(Table2[[#This Row],[Order Date]],"mmm")</f>
        <v>Apr</v>
      </c>
      <c r="S966" s="18"/>
    </row>
    <row r="967" spans="1:19" x14ac:dyDescent="0.2">
      <c r="A967" s="1">
        <v>966</v>
      </c>
      <c r="B967" s="1" t="s">
        <v>1817</v>
      </c>
      <c r="C967" s="2">
        <v>43564</v>
      </c>
      <c r="D967" s="1" t="s">
        <v>128</v>
      </c>
      <c r="E967" s="1" t="s">
        <v>1818</v>
      </c>
      <c r="F967" s="1" t="s">
        <v>178</v>
      </c>
      <c r="G967" s="1" t="s">
        <v>179</v>
      </c>
      <c r="H967" s="1" t="s">
        <v>103</v>
      </c>
      <c r="I967" s="1" t="s">
        <v>32</v>
      </c>
      <c r="J967" s="1" t="s">
        <v>48</v>
      </c>
      <c r="K967" s="1" t="s">
        <v>911</v>
      </c>
      <c r="L967" s="17">
        <v>35.97</v>
      </c>
      <c r="M967" s="1">
        <v>3</v>
      </c>
      <c r="N967" s="1">
        <v>0</v>
      </c>
      <c r="O967" s="17">
        <v>9.7118999999999982</v>
      </c>
      <c r="P967" s="17">
        <f>('Work File (2)'!$L967*'Work File (2)'!$M967)*(1-'Work File (2)'!$N967)</f>
        <v>107.91</v>
      </c>
      <c r="Q967" s="1">
        <f>YEAR(Table2[[#This Row],[Order Date]])</f>
        <v>2019</v>
      </c>
      <c r="R967" s="18" t="str">
        <f>TEXT(Table2[[#This Row],[Order Date]],"mmm")</f>
        <v>Apr</v>
      </c>
      <c r="S967" s="18"/>
    </row>
    <row r="968" spans="1:19" x14ac:dyDescent="0.2">
      <c r="A968" s="1">
        <v>967</v>
      </c>
      <c r="B968" s="1" t="s">
        <v>1817</v>
      </c>
      <c r="C968" s="2">
        <v>43564</v>
      </c>
      <c r="D968" s="1" t="s">
        <v>128</v>
      </c>
      <c r="E968" s="1" t="s">
        <v>1818</v>
      </c>
      <c r="F968" s="1" t="s">
        <v>178</v>
      </c>
      <c r="G968" s="1" t="s">
        <v>179</v>
      </c>
      <c r="H968" s="1" t="s">
        <v>103</v>
      </c>
      <c r="I968" s="1" t="s">
        <v>32</v>
      </c>
      <c r="J968" s="1" t="s">
        <v>63</v>
      </c>
      <c r="K968" s="1" t="s">
        <v>1820</v>
      </c>
      <c r="L968" s="17">
        <v>12.96</v>
      </c>
      <c r="M968" s="1">
        <v>2</v>
      </c>
      <c r="N968" s="1">
        <v>0</v>
      </c>
      <c r="O968" s="17">
        <v>6.2208000000000006</v>
      </c>
      <c r="P968" s="17">
        <f>('Work File (2)'!$L968*'Work File (2)'!$M968)*(1-'Work File (2)'!$N968)</f>
        <v>25.92</v>
      </c>
      <c r="Q968" s="1">
        <f>YEAR(Table2[[#This Row],[Order Date]])</f>
        <v>2019</v>
      </c>
      <c r="R968" s="18" t="str">
        <f>TEXT(Table2[[#This Row],[Order Date]],"mmm")</f>
        <v>Apr</v>
      </c>
      <c r="S968" s="18"/>
    </row>
    <row r="969" spans="1:19" x14ac:dyDescent="0.2">
      <c r="A969" s="1">
        <v>968</v>
      </c>
      <c r="B969" s="1" t="s">
        <v>1817</v>
      </c>
      <c r="C969" s="2">
        <v>43564</v>
      </c>
      <c r="D969" s="1" t="s">
        <v>128</v>
      </c>
      <c r="E969" s="1" t="s">
        <v>1818</v>
      </c>
      <c r="F969" s="1" t="s">
        <v>178</v>
      </c>
      <c r="G969" s="1" t="s">
        <v>179</v>
      </c>
      <c r="H969" s="1" t="s">
        <v>103</v>
      </c>
      <c r="I969" s="1" t="s">
        <v>32</v>
      </c>
      <c r="J969" s="1" t="s">
        <v>63</v>
      </c>
      <c r="K969" s="1" t="s">
        <v>1821</v>
      </c>
      <c r="L969" s="17">
        <v>191.6</v>
      </c>
      <c r="M969" s="1">
        <v>4</v>
      </c>
      <c r="N969" s="1">
        <v>0</v>
      </c>
      <c r="O969" s="17">
        <v>91.967999999999989</v>
      </c>
      <c r="P969" s="17">
        <f>('Work File (2)'!$L969*'Work File (2)'!$M969)*(1-'Work File (2)'!$N969)</f>
        <v>766.4</v>
      </c>
      <c r="Q969" s="1">
        <f>YEAR(Table2[[#This Row],[Order Date]])</f>
        <v>2019</v>
      </c>
      <c r="R969" s="18" t="str">
        <f>TEXT(Table2[[#This Row],[Order Date]],"mmm")</f>
        <v>Apr</v>
      </c>
      <c r="S969" s="18"/>
    </row>
    <row r="970" spans="1:19" x14ac:dyDescent="0.2">
      <c r="A970" s="1">
        <v>969</v>
      </c>
      <c r="B970" s="1" t="s">
        <v>1817</v>
      </c>
      <c r="C970" s="2">
        <v>43564</v>
      </c>
      <c r="D970" s="1" t="s">
        <v>128</v>
      </c>
      <c r="E970" s="1" t="s">
        <v>1818</v>
      </c>
      <c r="F970" s="1" t="s">
        <v>178</v>
      </c>
      <c r="G970" s="1" t="s">
        <v>179</v>
      </c>
      <c r="H970" s="1" t="s">
        <v>103</v>
      </c>
      <c r="I970" s="1" t="s">
        <v>32</v>
      </c>
      <c r="J970" s="1" t="s">
        <v>33</v>
      </c>
      <c r="K970" s="1" t="s">
        <v>1816</v>
      </c>
      <c r="L970" s="17">
        <v>8.64</v>
      </c>
      <c r="M970" s="1">
        <v>3</v>
      </c>
      <c r="N970" s="1">
        <v>0</v>
      </c>
      <c r="O970" s="17">
        <v>4.2336</v>
      </c>
      <c r="P970" s="17">
        <f>('Work File (2)'!$L970*'Work File (2)'!$M970)*(1-'Work File (2)'!$N970)</f>
        <v>25.92</v>
      </c>
      <c r="Q970" s="1">
        <f>YEAR(Table2[[#This Row],[Order Date]])</f>
        <v>2019</v>
      </c>
      <c r="R970" s="18" t="str">
        <f>TEXT(Table2[[#This Row],[Order Date]],"mmm")</f>
        <v>Apr</v>
      </c>
      <c r="S970" s="18"/>
    </row>
    <row r="971" spans="1:19" x14ac:dyDescent="0.2">
      <c r="A971" s="1">
        <v>970</v>
      </c>
      <c r="B971" s="1" t="s">
        <v>1817</v>
      </c>
      <c r="C971" s="2">
        <v>43564</v>
      </c>
      <c r="D971" s="1" t="s">
        <v>128</v>
      </c>
      <c r="E971" s="1" t="s">
        <v>1818</v>
      </c>
      <c r="F971" s="1" t="s">
        <v>178</v>
      </c>
      <c r="G971" s="1" t="s">
        <v>179</v>
      </c>
      <c r="H971" s="1" t="s">
        <v>103</v>
      </c>
      <c r="I971" s="1" t="s">
        <v>32</v>
      </c>
      <c r="J971" s="1" t="s">
        <v>42</v>
      </c>
      <c r="K971" s="1" t="s">
        <v>1822</v>
      </c>
      <c r="L971" s="17">
        <v>501.81000000000006</v>
      </c>
      <c r="M971" s="1">
        <v>3</v>
      </c>
      <c r="N971" s="1">
        <v>0</v>
      </c>
      <c r="O971" s="17">
        <v>0</v>
      </c>
      <c r="P971" s="17">
        <f>('Work File (2)'!$L971*'Work File (2)'!$M971)*(1-'Work File (2)'!$N971)</f>
        <v>1505.4300000000003</v>
      </c>
      <c r="Q971" s="1">
        <f>YEAR(Table2[[#This Row],[Order Date]])</f>
        <v>2019</v>
      </c>
      <c r="R971" s="18" t="str">
        <f>TEXT(Table2[[#This Row],[Order Date]],"mmm")</f>
        <v>Apr</v>
      </c>
      <c r="S971" s="18"/>
    </row>
    <row r="972" spans="1:19" x14ac:dyDescent="0.2">
      <c r="A972" s="1">
        <v>971</v>
      </c>
      <c r="B972" s="1" t="s">
        <v>1823</v>
      </c>
      <c r="C972" s="2">
        <v>42385</v>
      </c>
      <c r="D972" s="1" t="s">
        <v>17</v>
      </c>
      <c r="E972" s="1" t="s">
        <v>603</v>
      </c>
      <c r="F972" s="1" t="s">
        <v>101</v>
      </c>
      <c r="G972" s="1" t="s">
        <v>102</v>
      </c>
      <c r="H972" s="1" t="s">
        <v>103</v>
      </c>
      <c r="I972" s="1" t="s">
        <v>22</v>
      </c>
      <c r="J972" s="1" t="s">
        <v>46</v>
      </c>
      <c r="K972" s="1" t="s">
        <v>1824</v>
      </c>
      <c r="L972" s="17">
        <v>127.10400000000001</v>
      </c>
      <c r="M972" s="1">
        <v>6</v>
      </c>
      <c r="N972" s="1">
        <v>0.2</v>
      </c>
      <c r="O972" s="17">
        <v>28.598399999999998</v>
      </c>
      <c r="P972" s="17">
        <f>('Work File (2)'!$L972*'Work File (2)'!$M972)*(1-'Work File (2)'!$N972)</f>
        <v>610.0992</v>
      </c>
      <c r="Q972" s="1">
        <f>YEAR(Table2[[#This Row],[Order Date]])</f>
        <v>2016</v>
      </c>
      <c r="R972" s="18" t="str">
        <f>TEXT(Table2[[#This Row],[Order Date]],"mmm")</f>
        <v>Jan</v>
      </c>
      <c r="S972" s="18"/>
    </row>
    <row r="973" spans="1:19" x14ac:dyDescent="0.2">
      <c r="A973" s="1">
        <v>972</v>
      </c>
      <c r="B973" s="1" t="s">
        <v>1823</v>
      </c>
      <c r="C973" s="2">
        <v>42385</v>
      </c>
      <c r="D973" s="1" t="s">
        <v>17</v>
      </c>
      <c r="E973" s="1" t="s">
        <v>603</v>
      </c>
      <c r="F973" s="1" t="s">
        <v>101</v>
      </c>
      <c r="G973" s="1" t="s">
        <v>102</v>
      </c>
      <c r="H973" s="1" t="s">
        <v>103</v>
      </c>
      <c r="I973" s="1" t="s">
        <v>50</v>
      </c>
      <c r="J973" s="1" t="s">
        <v>51</v>
      </c>
      <c r="K973" s="1" t="s">
        <v>755</v>
      </c>
      <c r="L973" s="17">
        <v>124.19999999999999</v>
      </c>
      <c r="M973" s="1">
        <v>3</v>
      </c>
      <c r="N973" s="1">
        <v>0.4</v>
      </c>
      <c r="O973" s="17">
        <v>-31.050000000000011</v>
      </c>
      <c r="P973" s="17">
        <f>('Work File (2)'!$L973*'Work File (2)'!$M973)*(1-'Work File (2)'!$N973)</f>
        <v>223.55999999999997</v>
      </c>
      <c r="Q973" s="1">
        <f>YEAR(Table2[[#This Row],[Order Date]])</f>
        <v>2016</v>
      </c>
      <c r="R973" s="18" t="str">
        <f>TEXT(Table2[[#This Row],[Order Date]],"mmm")</f>
        <v>Jan</v>
      </c>
      <c r="S973" s="18"/>
    </row>
    <row r="974" spans="1:19" x14ac:dyDescent="0.2">
      <c r="A974" s="1">
        <v>973</v>
      </c>
      <c r="B974" s="1" t="s">
        <v>1823</v>
      </c>
      <c r="C974" s="2">
        <v>42385</v>
      </c>
      <c r="D974" s="1" t="s">
        <v>17</v>
      </c>
      <c r="E974" s="1" t="s">
        <v>603</v>
      </c>
      <c r="F974" s="1" t="s">
        <v>101</v>
      </c>
      <c r="G974" s="1" t="s">
        <v>102</v>
      </c>
      <c r="H974" s="1" t="s">
        <v>103</v>
      </c>
      <c r="I974" s="1" t="s">
        <v>32</v>
      </c>
      <c r="J974" s="1" t="s">
        <v>53</v>
      </c>
      <c r="K974" s="1" t="s">
        <v>1401</v>
      </c>
      <c r="L974" s="17">
        <v>18.588000000000005</v>
      </c>
      <c r="M974" s="1">
        <v>2</v>
      </c>
      <c r="N974" s="1">
        <v>0.7</v>
      </c>
      <c r="O974" s="17">
        <v>-13.6312</v>
      </c>
      <c r="P974" s="17">
        <f>('Work File (2)'!$L974*'Work File (2)'!$M974)*(1-'Work File (2)'!$N974)</f>
        <v>11.152800000000004</v>
      </c>
      <c r="Q974" s="1">
        <f>YEAR(Table2[[#This Row],[Order Date]])</f>
        <v>2016</v>
      </c>
      <c r="R974" s="18" t="str">
        <f>TEXT(Table2[[#This Row],[Order Date]],"mmm")</f>
        <v>Jan</v>
      </c>
      <c r="S974" s="18"/>
    </row>
    <row r="975" spans="1:19" x14ac:dyDescent="0.2">
      <c r="A975" s="1">
        <v>974</v>
      </c>
      <c r="B975" s="1" t="s">
        <v>1823</v>
      </c>
      <c r="C975" s="2">
        <v>42385</v>
      </c>
      <c r="D975" s="1" t="s">
        <v>17</v>
      </c>
      <c r="E975" s="1" t="s">
        <v>603</v>
      </c>
      <c r="F975" s="1" t="s">
        <v>101</v>
      </c>
      <c r="G975" s="1" t="s">
        <v>102</v>
      </c>
      <c r="H975" s="1" t="s">
        <v>103</v>
      </c>
      <c r="I975" s="1" t="s">
        <v>32</v>
      </c>
      <c r="J975" s="1" t="s">
        <v>33</v>
      </c>
      <c r="K975" s="1" t="s">
        <v>751</v>
      </c>
      <c r="L975" s="17">
        <v>30.072000000000003</v>
      </c>
      <c r="M975" s="1">
        <v>3</v>
      </c>
      <c r="N975" s="1">
        <v>0.2</v>
      </c>
      <c r="O975" s="17">
        <v>10.149299999999997</v>
      </c>
      <c r="P975" s="17">
        <f>('Work File (2)'!$L975*'Work File (2)'!$M975)*(1-'Work File (2)'!$N975)</f>
        <v>72.172800000000009</v>
      </c>
      <c r="Q975" s="1">
        <f>YEAR(Table2[[#This Row],[Order Date]])</f>
        <v>2016</v>
      </c>
      <c r="R975" s="18" t="str">
        <f>TEXT(Table2[[#This Row],[Order Date]],"mmm")</f>
        <v>Jan</v>
      </c>
      <c r="S975" s="18"/>
    </row>
    <row r="976" spans="1:19" x14ac:dyDescent="0.2">
      <c r="A976" s="1">
        <v>975</v>
      </c>
      <c r="B976" s="1" t="s">
        <v>1825</v>
      </c>
      <c r="C976" s="2">
        <v>43743</v>
      </c>
      <c r="D976" s="1" t="s">
        <v>17</v>
      </c>
      <c r="E976" s="1" t="s">
        <v>1466</v>
      </c>
      <c r="F976" s="1" t="s">
        <v>178</v>
      </c>
      <c r="G976" s="1" t="s">
        <v>179</v>
      </c>
      <c r="H976" s="1" t="s">
        <v>103</v>
      </c>
      <c r="I976" s="1" t="s">
        <v>50</v>
      </c>
      <c r="J976" s="1" t="s">
        <v>51</v>
      </c>
      <c r="K976" s="1" t="s">
        <v>1111</v>
      </c>
      <c r="L976" s="17">
        <v>160.92999999999998</v>
      </c>
      <c r="M976" s="1">
        <v>7</v>
      </c>
      <c r="N976" s="1">
        <v>0</v>
      </c>
      <c r="O976" s="17">
        <v>3.2186000000000092</v>
      </c>
      <c r="P976" s="17">
        <f>('Work File (2)'!$L976*'Work File (2)'!$M976)*(1-'Work File (2)'!$N976)</f>
        <v>1126.5099999999998</v>
      </c>
      <c r="Q976" s="1">
        <f>YEAR(Table2[[#This Row],[Order Date]])</f>
        <v>2019</v>
      </c>
      <c r="R976" s="18" t="str">
        <f>TEXT(Table2[[#This Row],[Order Date]],"mmm")</f>
        <v>Oct</v>
      </c>
      <c r="S976" s="18"/>
    </row>
    <row r="977" spans="1:19" x14ac:dyDescent="0.2">
      <c r="A977" s="1">
        <v>976</v>
      </c>
      <c r="B977" s="1" t="s">
        <v>1825</v>
      </c>
      <c r="C977" s="2">
        <v>43743</v>
      </c>
      <c r="D977" s="1" t="s">
        <v>17</v>
      </c>
      <c r="E977" s="1" t="s">
        <v>1466</v>
      </c>
      <c r="F977" s="1" t="s">
        <v>178</v>
      </c>
      <c r="G977" s="1" t="s">
        <v>179</v>
      </c>
      <c r="H977" s="1" t="s">
        <v>103</v>
      </c>
      <c r="I977" s="1" t="s">
        <v>32</v>
      </c>
      <c r="J977" s="1" t="s">
        <v>53</v>
      </c>
      <c r="K977" s="1" t="s">
        <v>872</v>
      </c>
      <c r="L977" s="17">
        <v>75.792000000000002</v>
      </c>
      <c r="M977" s="1">
        <v>3</v>
      </c>
      <c r="N977" s="1">
        <v>0.2</v>
      </c>
      <c r="O977" s="17">
        <v>25.579799999999992</v>
      </c>
      <c r="P977" s="17">
        <f>('Work File (2)'!$L977*'Work File (2)'!$M977)*(1-'Work File (2)'!$N977)</f>
        <v>181.9008</v>
      </c>
      <c r="Q977" s="1">
        <f>YEAR(Table2[[#This Row],[Order Date]])</f>
        <v>2019</v>
      </c>
      <c r="R977" s="18" t="str">
        <f>TEXT(Table2[[#This Row],[Order Date]],"mmm")</f>
        <v>Oct</v>
      </c>
      <c r="S977" s="18"/>
    </row>
    <row r="978" spans="1:19" x14ac:dyDescent="0.2">
      <c r="A978" s="1">
        <v>977</v>
      </c>
      <c r="B978" s="1" t="s">
        <v>1826</v>
      </c>
      <c r="C978" s="2">
        <v>43655</v>
      </c>
      <c r="D978" s="1" t="s">
        <v>36</v>
      </c>
      <c r="E978" s="1" t="s">
        <v>779</v>
      </c>
      <c r="F978" s="1" t="s">
        <v>274</v>
      </c>
      <c r="G978" s="1" t="s">
        <v>275</v>
      </c>
      <c r="H978" s="1" t="s">
        <v>31</v>
      </c>
      <c r="I978" s="1" t="s">
        <v>32</v>
      </c>
      <c r="J978" s="1" t="s">
        <v>53</v>
      </c>
      <c r="K978" s="1" t="s">
        <v>1827</v>
      </c>
      <c r="L978" s="17">
        <v>1.0800000000000003</v>
      </c>
      <c r="M978" s="1">
        <v>2</v>
      </c>
      <c r="N978" s="1">
        <v>0.7</v>
      </c>
      <c r="O978" s="17">
        <v>-0.79200000000000004</v>
      </c>
      <c r="P978" s="17">
        <f>('Work File (2)'!$L978*'Work File (2)'!$M978)*(1-'Work File (2)'!$N978)</f>
        <v>0.64800000000000024</v>
      </c>
      <c r="Q978" s="1">
        <f>YEAR(Table2[[#This Row],[Order Date]])</f>
        <v>2019</v>
      </c>
      <c r="R978" s="18" t="str">
        <f>TEXT(Table2[[#This Row],[Order Date]],"mmm")</f>
        <v>Jul</v>
      </c>
      <c r="S978" s="18"/>
    </row>
    <row r="979" spans="1:19" x14ac:dyDescent="0.2">
      <c r="A979" s="1">
        <v>978</v>
      </c>
      <c r="B979" s="1" t="s">
        <v>1828</v>
      </c>
      <c r="C979" s="2">
        <v>43472</v>
      </c>
      <c r="D979" s="1" t="s">
        <v>128</v>
      </c>
      <c r="E979" s="1" t="s">
        <v>1582</v>
      </c>
      <c r="F979" s="1" t="s">
        <v>560</v>
      </c>
      <c r="G979" s="1" t="s">
        <v>160</v>
      </c>
      <c r="H979" s="1" t="s">
        <v>74</v>
      </c>
      <c r="I979" s="1" t="s">
        <v>50</v>
      </c>
      <c r="J979" s="1" t="s">
        <v>439</v>
      </c>
      <c r="K979" s="1" t="s">
        <v>440</v>
      </c>
      <c r="L979" s="17">
        <v>3059.982</v>
      </c>
      <c r="M979" s="1">
        <v>2</v>
      </c>
      <c r="N979" s="1">
        <v>0.1</v>
      </c>
      <c r="O979" s="17">
        <v>679.99599999999964</v>
      </c>
      <c r="P979" s="17">
        <f>('Work File (2)'!$L979*'Work File (2)'!$M979)*(1-'Work File (2)'!$N979)</f>
        <v>5507.9675999999999</v>
      </c>
      <c r="Q979" s="1">
        <f>YEAR(Table2[[#This Row],[Order Date]])</f>
        <v>2019</v>
      </c>
      <c r="R979" s="18" t="str">
        <f>TEXT(Table2[[#This Row],[Order Date]],"mmm")</f>
        <v>Jan</v>
      </c>
      <c r="S979" s="18"/>
    </row>
    <row r="980" spans="1:19" x14ac:dyDescent="0.2">
      <c r="A980" s="1">
        <v>979</v>
      </c>
      <c r="B980" s="1" t="s">
        <v>1829</v>
      </c>
      <c r="C980" s="2">
        <v>43250</v>
      </c>
      <c r="D980" s="1" t="s">
        <v>128</v>
      </c>
      <c r="E980" s="1" t="s">
        <v>1830</v>
      </c>
      <c r="F980" s="1" t="s">
        <v>338</v>
      </c>
      <c r="G980" s="1" t="s">
        <v>62</v>
      </c>
      <c r="H980" s="1" t="s">
        <v>21</v>
      </c>
      <c r="I980" s="1" t="s">
        <v>32</v>
      </c>
      <c r="J980" s="1" t="s">
        <v>53</v>
      </c>
      <c r="K980" s="1" t="s">
        <v>1253</v>
      </c>
      <c r="L980" s="17">
        <v>3.2820000000000005</v>
      </c>
      <c r="M980" s="1">
        <v>2</v>
      </c>
      <c r="N980" s="1">
        <v>0.7</v>
      </c>
      <c r="O980" s="17">
        <v>-2.6256000000000004</v>
      </c>
      <c r="P980" s="17">
        <f>('Work File (2)'!$L980*'Work File (2)'!$M980)*(1-'Work File (2)'!$N980)</f>
        <v>1.9692000000000005</v>
      </c>
      <c r="Q980" s="1">
        <f>YEAR(Table2[[#This Row],[Order Date]])</f>
        <v>2018</v>
      </c>
      <c r="R980" s="18" t="str">
        <f>TEXT(Table2[[#This Row],[Order Date]],"mmm")</f>
        <v>May</v>
      </c>
      <c r="S980" s="18"/>
    </row>
    <row r="981" spans="1:19" x14ac:dyDescent="0.2">
      <c r="A981" s="1">
        <v>980</v>
      </c>
      <c r="B981" s="1" t="s">
        <v>1831</v>
      </c>
      <c r="C981" s="2">
        <v>43078</v>
      </c>
      <c r="D981" s="1" t="s">
        <v>128</v>
      </c>
      <c r="E981" s="1" t="s">
        <v>227</v>
      </c>
      <c r="F981" s="1" t="s">
        <v>323</v>
      </c>
      <c r="G981" s="1" t="s">
        <v>171</v>
      </c>
      <c r="H981" s="1" t="s">
        <v>74</v>
      </c>
      <c r="I981" s="1" t="s">
        <v>32</v>
      </c>
      <c r="J981" s="1" t="s">
        <v>63</v>
      </c>
      <c r="K981" s="1" t="s">
        <v>1832</v>
      </c>
      <c r="L981" s="17">
        <v>34.019999999999996</v>
      </c>
      <c r="M981" s="1">
        <v>3</v>
      </c>
      <c r="N981" s="1">
        <v>0</v>
      </c>
      <c r="O981" s="17">
        <v>16.669799999999999</v>
      </c>
      <c r="P981" s="17">
        <f>('Work File (2)'!$L981*'Work File (2)'!$M981)*(1-'Work File (2)'!$N981)</f>
        <v>102.05999999999999</v>
      </c>
      <c r="Q981" s="1">
        <f>YEAR(Table2[[#This Row],[Order Date]])</f>
        <v>2017</v>
      </c>
      <c r="R981" s="18" t="str">
        <f>TEXT(Table2[[#This Row],[Order Date]],"mmm")</f>
        <v>Dec</v>
      </c>
      <c r="S981" s="18"/>
    </row>
    <row r="982" spans="1:19" x14ac:dyDescent="0.2">
      <c r="A982" s="1">
        <v>981</v>
      </c>
      <c r="B982" s="1" t="s">
        <v>1833</v>
      </c>
      <c r="C982" s="2">
        <v>43376</v>
      </c>
      <c r="D982" s="1" t="s">
        <v>36</v>
      </c>
      <c r="E982" s="1" t="s">
        <v>106</v>
      </c>
      <c r="F982" s="1" t="s">
        <v>178</v>
      </c>
      <c r="G982" s="1" t="s">
        <v>179</v>
      </c>
      <c r="H982" s="1" t="s">
        <v>103</v>
      </c>
      <c r="I982" s="1" t="s">
        <v>22</v>
      </c>
      <c r="J982" s="1" t="s">
        <v>25</v>
      </c>
      <c r="K982" s="1" t="s">
        <v>1540</v>
      </c>
      <c r="L982" s="17">
        <v>599.29200000000003</v>
      </c>
      <c r="M982" s="1">
        <v>6</v>
      </c>
      <c r="N982" s="1">
        <v>0.1</v>
      </c>
      <c r="O982" s="17">
        <v>93.223199999999977</v>
      </c>
      <c r="P982" s="17">
        <f>('Work File (2)'!$L982*'Work File (2)'!$M982)*(1-'Work File (2)'!$N982)</f>
        <v>3236.1768000000006</v>
      </c>
      <c r="Q982" s="1">
        <f>YEAR(Table2[[#This Row],[Order Date]])</f>
        <v>2018</v>
      </c>
      <c r="R982" s="18" t="str">
        <f>TEXT(Table2[[#This Row],[Order Date]],"mmm")</f>
        <v>Oct</v>
      </c>
      <c r="S982" s="18"/>
    </row>
    <row r="983" spans="1:19" x14ac:dyDescent="0.2">
      <c r="A983" s="1">
        <v>982</v>
      </c>
      <c r="B983" s="1" t="s">
        <v>1834</v>
      </c>
      <c r="C983" s="2">
        <v>42685</v>
      </c>
      <c r="D983" s="1" t="s">
        <v>17</v>
      </c>
      <c r="E983" s="1" t="s">
        <v>1835</v>
      </c>
      <c r="F983" s="1" t="s">
        <v>922</v>
      </c>
      <c r="G983" s="1" t="s">
        <v>298</v>
      </c>
      <c r="H983" s="1" t="s">
        <v>31</v>
      </c>
      <c r="I983" s="1" t="s">
        <v>32</v>
      </c>
      <c r="J983" s="1" t="s">
        <v>48</v>
      </c>
      <c r="K983" s="1" t="s">
        <v>1836</v>
      </c>
      <c r="L983" s="17">
        <v>3.3920000000000003</v>
      </c>
      <c r="M983" s="1">
        <v>1</v>
      </c>
      <c r="N983" s="1">
        <v>0.2</v>
      </c>
      <c r="O983" s="17">
        <v>0.80559999999999987</v>
      </c>
      <c r="P983" s="17">
        <f>('Work File (2)'!$L983*'Work File (2)'!$M983)*(1-'Work File (2)'!$N983)</f>
        <v>2.7136000000000005</v>
      </c>
      <c r="Q983" s="1">
        <f>YEAR(Table2[[#This Row],[Order Date]])</f>
        <v>2016</v>
      </c>
      <c r="R983" s="18" t="str">
        <f>TEXT(Table2[[#This Row],[Order Date]],"mmm")</f>
        <v>Nov</v>
      </c>
      <c r="S983" s="18"/>
    </row>
    <row r="984" spans="1:19" x14ac:dyDescent="0.2">
      <c r="A984" s="1">
        <v>983</v>
      </c>
      <c r="B984" s="1" t="s">
        <v>1834</v>
      </c>
      <c r="C984" s="2">
        <v>42685</v>
      </c>
      <c r="D984" s="1" t="s">
        <v>17</v>
      </c>
      <c r="E984" s="1" t="s">
        <v>1835</v>
      </c>
      <c r="F984" s="1" t="s">
        <v>922</v>
      </c>
      <c r="G984" s="1" t="s">
        <v>298</v>
      </c>
      <c r="H984" s="1" t="s">
        <v>31</v>
      </c>
      <c r="I984" s="1" t="s">
        <v>50</v>
      </c>
      <c r="J984" s="1" t="s">
        <v>51</v>
      </c>
      <c r="K984" s="1" t="s">
        <v>1837</v>
      </c>
      <c r="L984" s="17">
        <v>559.98400000000004</v>
      </c>
      <c r="M984" s="1">
        <v>2</v>
      </c>
      <c r="N984" s="1">
        <v>0.2</v>
      </c>
      <c r="O984" s="17">
        <v>55.998400000000032</v>
      </c>
      <c r="P984" s="17">
        <f>('Work File (2)'!$L984*'Work File (2)'!$M984)*(1-'Work File (2)'!$N984)</f>
        <v>895.97440000000006</v>
      </c>
      <c r="Q984" s="1">
        <f>YEAR(Table2[[#This Row],[Order Date]])</f>
        <v>2016</v>
      </c>
      <c r="R984" s="18" t="str">
        <f>TEXT(Table2[[#This Row],[Order Date]],"mmm")</f>
        <v>Nov</v>
      </c>
      <c r="S984" s="18"/>
    </row>
    <row r="985" spans="1:19" x14ac:dyDescent="0.2">
      <c r="A985" s="1">
        <v>984</v>
      </c>
      <c r="B985" s="1" t="s">
        <v>1834</v>
      </c>
      <c r="C985" s="2">
        <v>42685</v>
      </c>
      <c r="D985" s="1" t="s">
        <v>17</v>
      </c>
      <c r="E985" s="1" t="s">
        <v>1835</v>
      </c>
      <c r="F985" s="1" t="s">
        <v>922</v>
      </c>
      <c r="G985" s="1" t="s">
        <v>298</v>
      </c>
      <c r="H985" s="1" t="s">
        <v>31</v>
      </c>
      <c r="I985" s="1" t="s">
        <v>22</v>
      </c>
      <c r="J985" s="1" t="s">
        <v>25</v>
      </c>
      <c r="K985" s="1" t="s">
        <v>1603</v>
      </c>
      <c r="L985" s="17">
        <v>603.91999999999996</v>
      </c>
      <c r="M985" s="1">
        <v>5</v>
      </c>
      <c r="N985" s="1">
        <v>0.2</v>
      </c>
      <c r="O985" s="17">
        <v>75.489999999999924</v>
      </c>
      <c r="P985" s="17">
        <f>('Work File (2)'!$L985*'Work File (2)'!$M985)*(1-'Work File (2)'!$N985)</f>
        <v>2415.6799999999998</v>
      </c>
      <c r="Q985" s="1">
        <f>YEAR(Table2[[#This Row],[Order Date]])</f>
        <v>2016</v>
      </c>
      <c r="R985" s="18" t="str">
        <f>TEXT(Table2[[#This Row],[Order Date]],"mmm")</f>
        <v>Nov</v>
      </c>
      <c r="S985" s="18"/>
    </row>
    <row r="986" spans="1:19" x14ac:dyDescent="0.2">
      <c r="A986" s="1">
        <v>985</v>
      </c>
      <c r="B986" s="1" t="s">
        <v>1838</v>
      </c>
      <c r="C986" s="2">
        <v>43737</v>
      </c>
      <c r="D986" s="1" t="s">
        <v>36</v>
      </c>
      <c r="E986" s="1" t="s">
        <v>1839</v>
      </c>
      <c r="F986" s="1" t="s">
        <v>388</v>
      </c>
      <c r="G986" s="1" t="s">
        <v>73</v>
      </c>
      <c r="H986" s="1" t="s">
        <v>74</v>
      </c>
      <c r="I986" s="1" t="s">
        <v>32</v>
      </c>
      <c r="J986" s="1" t="s">
        <v>33</v>
      </c>
      <c r="K986" s="1" t="s">
        <v>1547</v>
      </c>
      <c r="L986" s="17">
        <v>7.9680000000000009</v>
      </c>
      <c r="M986" s="1">
        <v>2</v>
      </c>
      <c r="N986" s="1">
        <v>0.2</v>
      </c>
      <c r="O986" s="17">
        <v>2.5895999999999999</v>
      </c>
      <c r="P986" s="17">
        <f>('Work File (2)'!$L986*'Work File (2)'!$M986)*(1-'Work File (2)'!$N986)</f>
        <v>12.748800000000003</v>
      </c>
      <c r="Q986" s="1">
        <f>YEAR(Table2[[#This Row],[Order Date]])</f>
        <v>2019</v>
      </c>
      <c r="R986" s="18" t="str">
        <f>TEXT(Table2[[#This Row],[Order Date]],"mmm")</f>
        <v>Sep</v>
      </c>
      <c r="S986" s="18"/>
    </row>
    <row r="987" spans="1:19" x14ac:dyDescent="0.2">
      <c r="A987" s="1">
        <v>986</v>
      </c>
      <c r="B987" s="1" t="s">
        <v>1838</v>
      </c>
      <c r="C987" s="2">
        <v>43737</v>
      </c>
      <c r="D987" s="1" t="s">
        <v>36</v>
      </c>
      <c r="E987" s="1" t="s">
        <v>1839</v>
      </c>
      <c r="F987" s="1" t="s">
        <v>388</v>
      </c>
      <c r="G987" s="1" t="s">
        <v>73</v>
      </c>
      <c r="H987" s="1" t="s">
        <v>74</v>
      </c>
      <c r="I987" s="1" t="s">
        <v>32</v>
      </c>
      <c r="J987" s="1" t="s">
        <v>118</v>
      </c>
      <c r="K987" s="1" t="s">
        <v>1840</v>
      </c>
      <c r="L987" s="17">
        <v>27.968000000000004</v>
      </c>
      <c r="M987" s="1">
        <v>4</v>
      </c>
      <c r="N987" s="1">
        <v>0.2</v>
      </c>
      <c r="O987" s="17">
        <v>9.4391999999999996</v>
      </c>
      <c r="P987" s="17">
        <f>('Work File (2)'!$L987*'Work File (2)'!$M987)*(1-'Work File (2)'!$N987)</f>
        <v>89.49760000000002</v>
      </c>
      <c r="Q987" s="1">
        <f>YEAR(Table2[[#This Row],[Order Date]])</f>
        <v>2019</v>
      </c>
      <c r="R987" s="18" t="str">
        <f>TEXT(Table2[[#This Row],[Order Date]],"mmm")</f>
        <v>Sep</v>
      </c>
      <c r="S987" s="18"/>
    </row>
    <row r="988" spans="1:19" x14ac:dyDescent="0.2">
      <c r="A988" s="1">
        <v>987</v>
      </c>
      <c r="B988" s="1" t="s">
        <v>1838</v>
      </c>
      <c r="C988" s="2">
        <v>43737</v>
      </c>
      <c r="D988" s="1" t="s">
        <v>36</v>
      </c>
      <c r="E988" s="1" t="s">
        <v>1839</v>
      </c>
      <c r="F988" s="1" t="s">
        <v>388</v>
      </c>
      <c r="G988" s="1" t="s">
        <v>73</v>
      </c>
      <c r="H988" s="1" t="s">
        <v>74</v>
      </c>
      <c r="I988" s="1" t="s">
        <v>50</v>
      </c>
      <c r="J988" s="1" t="s">
        <v>439</v>
      </c>
      <c r="K988" s="1" t="s">
        <v>1841</v>
      </c>
      <c r="L988" s="17">
        <v>336.51</v>
      </c>
      <c r="M988" s="1">
        <v>3</v>
      </c>
      <c r="N988" s="1">
        <v>0.4</v>
      </c>
      <c r="O988" s="17">
        <v>44.867999999999967</v>
      </c>
      <c r="P988" s="17">
        <f>('Work File (2)'!$L988*'Work File (2)'!$M988)*(1-'Work File (2)'!$N988)</f>
        <v>605.71799999999996</v>
      </c>
      <c r="Q988" s="1">
        <f>YEAR(Table2[[#This Row],[Order Date]])</f>
        <v>2019</v>
      </c>
      <c r="R988" s="18" t="str">
        <f>TEXT(Table2[[#This Row],[Order Date]],"mmm")</f>
        <v>Sep</v>
      </c>
      <c r="S988" s="18"/>
    </row>
    <row r="989" spans="1:19" x14ac:dyDescent="0.2">
      <c r="A989" s="1">
        <v>988</v>
      </c>
      <c r="B989" s="1" t="s">
        <v>1842</v>
      </c>
      <c r="C989" s="2">
        <v>42804</v>
      </c>
      <c r="D989" s="1" t="s">
        <v>808</v>
      </c>
      <c r="E989" s="1" t="s">
        <v>1843</v>
      </c>
      <c r="F989" s="1" t="s">
        <v>125</v>
      </c>
      <c r="G989" s="1" t="s">
        <v>73</v>
      </c>
      <c r="H989" s="1" t="s">
        <v>74</v>
      </c>
      <c r="I989" s="1" t="s">
        <v>32</v>
      </c>
      <c r="J989" s="1" t="s">
        <v>53</v>
      </c>
      <c r="K989" s="1" t="s">
        <v>1844</v>
      </c>
      <c r="L989" s="17">
        <v>1.1119999999999997</v>
      </c>
      <c r="M989" s="1">
        <v>2</v>
      </c>
      <c r="N989" s="1">
        <v>0.8</v>
      </c>
      <c r="O989" s="17">
        <v>-1.8904000000000001</v>
      </c>
      <c r="P989" s="17">
        <f>('Work File (2)'!$L989*'Work File (2)'!$M989)*(1-'Work File (2)'!$N989)</f>
        <v>0.44479999999999975</v>
      </c>
      <c r="Q989" s="1">
        <f>YEAR(Table2[[#This Row],[Order Date]])</f>
        <v>2017</v>
      </c>
      <c r="R989" s="18" t="str">
        <f>TEXT(Table2[[#This Row],[Order Date]],"mmm")</f>
        <v>Mar</v>
      </c>
      <c r="S989" s="18"/>
    </row>
    <row r="990" spans="1:19" x14ac:dyDescent="0.2">
      <c r="A990" s="1">
        <v>989</v>
      </c>
      <c r="B990" s="1" t="s">
        <v>1845</v>
      </c>
      <c r="C990" s="2">
        <v>43606</v>
      </c>
      <c r="D990" s="1" t="s">
        <v>36</v>
      </c>
      <c r="E990" s="1" t="s">
        <v>1029</v>
      </c>
      <c r="F990" s="1" t="s">
        <v>976</v>
      </c>
      <c r="G990" s="1" t="s">
        <v>179</v>
      </c>
      <c r="H990" s="1" t="s">
        <v>103</v>
      </c>
      <c r="I990" s="1" t="s">
        <v>22</v>
      </c>
      <c r="J990" s="1" t="s">
        <v>46</v>
      </c>
      <c r="K990" s="1" t="s">
        <v>1389</v>
      </c>
      <c r="L990" s="17">
        <v>520.05000000000007</v>
      </c>
      <c r="M990" s="1">
        <v>5</v>
      </c>
      <c r="N990" s="1">
        <v>0</v>
      </c>
      <c r="O990" s="17">
        <v>72.807000000000031</v>
      </c>
      <c r="P990" s="17">
        <f>('Work File (2)'!$L990*'Work File (2)'!$M990)*(1-'Work File (2)'!$N990)</f>
        <v>2600.2500000000005</v>
      </c>
      <c r="Q990" s="1">
        <f>YEAR(Table2[[#This Row],[Order Date]])</f>
        <v>2019</v>
      </c>
      <c r="R990" s="18" t="str">
        <f>TEXT(Table2[[#This Row],[Order Date]],"mmm")</f>
        <v>May</v>
      </c>
      <c r="S990" s="18"/>
    </row>
    <row r="991" spans="1:19" x14ac:dyDescent="0.2">
      <c r="A991" s="1">
        <v>990</v>
      </c>
      <c r="B991" s="1" t="s">
        <v>1845</v>
      </c>
      <c r="C991" s="2">
        <v>43606</v>
      </c>
      <c r="D991" s="1" t="s">
        <v>36</v>
      </c>
      <c r="E991" s="1" t="s">
        <v>1029</v>
      </c>
      <c r="F991" s="1" t="s">
        <v>976</v>
      </c>
      <c r="G991" s="1" t="s">
        <v>179</v>
      </c>
      <c r="H991" s="1" t="s">
        <v>103</v>
      </c>
      <c r="I991" s="1" t="s">
        <v>32</v>
      </c>
      <c r="J991" s="1" t="s">
        <v>48</v>
      </c>
      <c r="K991" s="1" t="s">
        <v>1846</v>
      </c>
      <c r="L991" s="17">
        <v>17.97</v>
      </c>
      <c r="M991" s="1">
        <v>3</v>
      </c>
      <c r="N991" s="1">
        <v>0</v>
      </c>
      <c r="O991" s="17">
        <v>5.2112999999999996</v>
      </c>
      <c r="P991" s="17">
        <f>('Work File (2)'!$L991*'Work File (2)'!$M991)*(1-'Work File (2)'!$N991)</f>
        <v>53.91</v>
      </c>
      <c r="Q991" s="1">
        <f>YEAR(Table2[[#This Row],[Order Date]])</f>
        <v>2019</v>
      </c>
      <c r="R991" s="18" t="str">
        <f>TEXT(Table2[[#This Row],[Order Date]],"mmm")</f>
        <v>May</v>
      </c>
      <c r="S991" s="18"/>
    </row>
    <row r="992" spans="1:19" x14ac:dyDescent="0.2">
      <c r="A992" s="1">
        <v>991</v>
      </c>
      <c r="B992" s="1" t="s">
        <v>1847</v>
      </c>
      <c r="C992" s="2">
        <v>42823</v>
      </c>
      <c r="D992" s="1" t="s">
        <v>17</v>
      </c>
      <c r="E992" s="1" t="s">
        <v>1848</v>
      </c>
      <c r="F992" s="1" t="s">
        <v>953</v>
      </c>
      <c r="G992" s="1" t="s">
        <v>39</v>
      </c>
      <c r="H992" s="1" t="s">
        <v>21</v>
      </c>
      <c r="I992" s="1" t="s">
        <v>22</v>
      </c>
      <c r="J992" s="1" t="s">
        <v>25</v>
      </c>
      <c r="K992" s="1" t="s">
        <v>714</v>
      </c>
      <c r="L992" s="17">
        <v>1166.92</v>
      </c>
      <c r="M992" s="1">
        <v>5</v>
      </c>
      <c r="N992" s="1">
        <v>0.2</v>
      </c>
      <c r="O992" s="17">
        <v>131.27849999999995</v>
      </c>
      <c r="P992" s="17">
        <f>('Work File (2)'!$L992*'Work File (2)'!$M992)*(1-'Work File (2)'!$N992)</f>
        <v>4667.68</v>
      </c>
      <c r="Q992" s="1">
        <f>YEAR(Table2[[#This Row],[Order Date]])</f>
        <v>2017</v>
      </c>
      <c r="R992" s="18" t="str">
        <f>TEXT(Table2[[#This Row],[Order Date]],"mmm")</f>
        <v>Mar</v>
      </c>
      <c r="S992" s="18"/>
    </row>
    <row r="993" spans="1:19" x14ac:dyDescent="0.2">
      <c r="A993" s="1">
        <v>992</v>
      </c>
      <c r="B993" s="1" t="s">
        <v>1849</v>
      </c>
      <c r="C993" s="2">
        <v>43352</v>
      </c>
      <c r="D993" s="1" t="s">
        <v>128</v>
      </c>
      <c r="E993" s="1" t="s">
        <v>351</v>
      </c>
      <c r="F993" s="1" t="s">
        <v>178</v>
      </c>
      <c r="G993" s="1" t="s">
        <v>179</v>
      </c>
      <c r="H993" s="1" t="s">
        <v>103</v>
      </c>
      <c r="I993" s="1" t="s">
        <v>32</v>
      </c>
      <c r="J993" s="1" t="s">
        <v>53</v>
      </c>
      <c r="K993" s="1" t="s">
        <v>1516</v>
      </c>
      <c r="L993" s="17">
        <v>14.624000000000002</v>
      </c>
      <c r="M993" s="1">
        <v>2</v>
      </c>
      <c r="N993" s="1">
        <v>0.2</v>
      </c>
      <c r="O993" s="17">
        <v>5.484</v>
      </c>
      <c r="P993" s="17">
        <f>('Work File (2)'!$L993*'Work File (2)'!$M993)*(1-'Work File (2)'!$N993)</f>
        <v>23.398400000000006</v>
      </c>
      <c r="Q993" s="1">
        <f>YEAR(Table2[[#This Row],[Order Date]])</f>
        <v>2018</v>
      </c>
      <c r="R993" s="18" t="str">
        <f>TEXT(Table2[[#This Row],[Order Date]],"mmm")</f>
        <v>Sep</v>
      </c>
      <c r="S993" s="18"/>
    </row>
    <row r="994" spans="1:19" x14ac:dyDescent="0.2">
      <c r="A994" s="1">
        <v>993</v>
      </c>
      <c r="B994" s="1" t="s">
        <v>1850</v>
      </c>
      <c r="C994" s="2">
        <v>43338</v>
      </c>
      <c r="D994" s="1" t="s">
        <v>128</v>
      </c>
      <c r="E994" s="1" t="s">
        <v>1479</v>
      </c>
      <c r="F994" s="1" t="s">
        <v>406</v>
      </c>
      <c r="G994" s="1" t="s">
        <v>30</v>
      </c>
      <c r="H994" s="1" t="s">
        <v>31</v>
      </c>
      <c r="I994" s="1" t="s">
        <v>32</v>
      </c>
      <c r="J994" s="1" t="s">
        <v>180</v>
      </c>
      <c r="K994" s="1" t="s">
        <v>674</v>
      </c>
      <c r="L994" s="17">
        <v>10.23</v>
      </c>
      <c r="M994" s="1">
        <v>3</v>
      </c>
      <c r="N994" s="1">
        <v>0</v>
      </c>
      <c r="O994" s="17">
        <v>4.9104000000000001</v>
      </c>
      <c r="P994" s="17">
        <f>('Work File (2)'!$L994*'Work File (2)'!$M994)*(1-'Work File (2)'!$N994)</f>
        <v>30.69</v>
      </c>
      <c r="Q994" s="1">
        <f>YEAR(Table2[[#This Row],[Order Date]])</f>
        <v>2018</v>
      </c>
      <c r="R994" s="18" t="str">
        <f>TEXT(Table2[[#This Row],[Order Date]],"mmm")</f>
        <v>Aug</v>
      </c>
      <c r="S994" s="18"/>
    </row>
    <row r="995" spans="1:19" x14ac:dyDescent="0.2">
      <c r="A995" s="1">
        <v>994</v>
      </c>
      <c r="B995" s="1" t="s">
        <v>1850</v>
      </c>
      <c r="C995" s="2">
        <v>43338</v>
      </c>
      <c r="D995" s="1" t="s">
        <v>128</v>
      </c>
      <c r="E995" s="1" t="s">
        <v>1479</v>
      </c>
      <c r="F995" s="1" t="s">
        <v>406</v>
      </c>
      <c r="G995" s="1" t="s">
        <v>30</v>
      </c>
      <c r="H995" s="1" t="s">
        <v>31</v>
      </c>
      <c r="I995" s="1" t="s">
        <v>32</v>
      </c>
      <c r="J995" s="1" t="s">
        <v>63</v>
      </c>
      <c r="K995" s="1" t="s">
        <v>1851</v>
      </c>
      <c r="L995" s="17">
        <v>154.9</v>
      </c>
      <c r="M995" s="1">
        <v>5</v>
      </c>
      <c r="N995" s="1">
        <v>0</v>
      </c>
      <c r="O995" s="17">
        <v>69.704999999999998</v>
      </c>
      <c r="P995" s="17">
        <f>('Work File (2)'!$L995*'Work File (2)'!$M995)*(1-'Work File (2)'!$N995)</f>
        <v>774.5</v>
      </c>
      <c r="Q995" s="1">
        <f>YEAR(Table2[[#This Row],[Order Date]])</f>
        <v>2018</v>
      </c>
      <c r="R995" s="18" t="str">
        <f>TEXT(Table2[[#This Row],[Order Date]],"mmm")</f>
        <v>Aug</v>
      </c>
      <c r="S995" s="18"/>
    </row>
    <row r="996" spans="1:19" x14ac:dyDescent="0.2">
      <c r="A996" s="1">
        <v>995</v>
      </c>
      <c r="B996" s="1" t="s">
        <v>1852</v>
      </c>
      <c r="C996" s="2">
        <v>42511</v>
      </c>
      <c r="D996" s="1" t="s">
        <v>36</v>
      </c>
      <c r="E996" s="1" t="s">
        <v>1853</v>
      </c>
      <c r="F996" s="1" t="s">
        <v>1854</v>
      </c>
      <c r="G996" s="1" t="s">
        <v>211</v>
      </c>
      <c r="H996" s="1" t="s">
        <v>21</v>
      </c>
      <c r="I996" s="1" t="s">
        <v>32</v>
      </c>
      <c r="J996" s="1" t="s">
        <v>53</v>
      </c>
      <c r="K996" s="1" t="s">
        <v>1855</v>
      </c>
      <c r="L996" s="17">
        <v>2715.9300000000003</v>
      </c>
      <c r="M996" s="1">
        <v>7</v>
      </c>
      <c r="N996" s="1">
        <v>0</v>
      </c>
      <c r="O996" s="17">
        <v>1276.4871000000001</v>
      </c>
      <c r="P996" s="17">
        <f>('Work File (2)'!$L996*'Work File (2)'!$M996)*(1-'Work File (2)'!$N996)</f>
        <v>19011.510000000002</v>
      </c>
      <c r="Q996" s="1">
        <f>YEAR(Table2[[#This Row],[Order Date]])</f>
        <v>2016</v>
      </c>
      <c r="R996" s="18" t="str">
        <f>TEXT(Table2[[#This Row],[Order Date]],"mmm")</f>
        <v>May</v>
      </c>
      <c r="S996" s="18"/>
    </row>
    <row r="997" spans="1:19" x14ac:dyDescent="0.2">
      <c r="A997" s="1">
        <v>996</v>
      </c>
      <c r="B997" s="1" t="s">
        <v>1852</v>
      </c>
      <c r="C997" s="2">
        <v>42511</v>
      </c>
      <c r="D997" s="1" t="s">
        <v>36</v>
      </c>
      <c r="E997" s="1" t="s">
        <v>1853</v>
      </c>
      <c r="F997" s="1" t="s">
        <v>1854</v>
      </c>
      <c r="G997" s="1" t="s">
        <v>211</v>
      </c>
      <c r="H997" s="1" t="s">
        <v>21</v>
      </c>
      <c r="I997" s="1" t="s">
        <v>50</v>
      </c>
      <c r="J997" s="1" t="s">
        <v>51</v>
      </c>
      <c r="K997" s="1" t="s">
        <v>1856</v>
      </c>
      <c r="L997" s="17">
        <v>617.97</v>
      </c>
      <c r="M997" s="1">
        <v>3</v>
      </c>
      <c r="N997" s="1">
        <v>0</v>
      </c>
      <c r="O997" s="17">
        <v>173.0316</v>
      </c>
      <c r="P997" s="17">
        <f>('Work File (2)'!$L997*'Work File (2)'!$M997)*(1-'Work File (2)'!$N997)</f>
        <v>1853.91</v>
      </c>
      <c r="Q997" s="1">
        <f>YEAR(Table2[[#This Row],[Order Date]])</f>
        <v>2016</v>
      </c>
      <c r="R997" s="18" t="str">
        <f>TEXT(Table2[[#This Row],[Order Date]],"mmm")</f>
        <v>May</v>
      </c>
      <c r="S997" s="18"/>
    </row>
    <row r="998" spans="1:19" x14ac:dyDescent="0.2">
      <c r="A998" s="1">
        <v>997</v>
      </c>
      <c r="B998" s="1" t="s">
        <v>1857</v>
      </c>
      <c r="C998" s="2">
        <v>43036</v>
      </c>
      <c r="D998" s="1" t="s">
        <v>36</v>
      </c>
      <c r="E998" s="1" t="s">
        <v>1858</v>
      </c>
      <c r="F998" s="1" t="s">
        <v>19</v>
      </c>
      <c r="G998" s="1" t="s">
        <v>20</v>
      </c>
      <c r="H998" s="1" t="s">
        <v>21</v>
      </c>
      <c r="I998" s="1" t="s">
        <v>32</v>
      </c>
      <c r="J998" s="1" t="s">
        <v>118</v>
      </c>
      <c r="K998" s="1" t="s">
        <v>1859</v>
      </c>
      <c r="L998" s="17">
        <v>10.67</v>
      </c>
      <c r="M998" s="1">
        <v>1</v>
      </c>
      <c r="N998" s="1">
        <v>0</v>
      </c>
      <c r="O998" s="17">
        <v>4.9081999999999999</v>
      </c>
      <c r="P998" s="17">
        <f>('Work File (2)'!$L998*'Work File (2)'!$M998)*(1-'Work File (2)'!$N998)</f>
        <v>10.67</v>
      </c>
      <c r="Q998" s="1">
        <f>YEAR(Table2[[#This Row],[Order Date]])</f>
        <v>2017</v>
      </c>
      <c r="R998" s="18" t="str">
        <f>TEXT(Table2[[#This Row],[Order Date]],"mmm")</f>
        <v>Oct</v>
      </c>
      <c r="S998" s="18"/>
    </row>
    <row r="999" spans="1:19" x14ac:dyDescent="0.2">
      <c r="A999" s="1">
        <v>998</v>
      </c>
      <c r="B999" s="1" t="s">
        <v>1857</v>
      </c>
      <c r="C999" s="2">
        <v>43036</v>
      </c>
      <c r="D999" s="1" t="s">
        <v>36</v>
      </c>
      <c r="E999" s="1" t="s">
        <v>1858</v>
      </c>
      <c r="F999" s="1" t="s">
        <v>19</v>
      </c>
      <c r="G999" s="1" t="s">
        <v>20</v>
      </c>
      <c r="H999" s="1" t="s">
        <v>21</v>
      </c>
      <c r="I999" s="1" t="s">
        <v>32</v>
      </c>
      <c r="J999" s="1" t="s">
        <v>42</v>
      </c>
      <c r="K999" s="1" t="s">
        <v>1860</v>
      </c>
      <c r="L999" s="17">
        <v>36.630000000000003</v>
      </c>
      <c r="M999" s="1">
        <v>3</v>
      </c>
      <c r="N999" s="1">
        <v>0</v>
      </c>
      <c r="O999" s="17">
        <v>9.8901000000000039</v>
      </c>
      <c r="P999" s="17">
        <f>('Work File (2)'!$L999*'Work File (2)'!$M999)*(1-'Work File (2)'!$N999)</f>
        <v>109.89000000000001</v>
      </c>
      <c r="Q999" s="1">
        <f>YEAR(Table2[[#This Row],[Order Date]])</f>
        <v>2017</v>
      </c>
      <c r="R999" s="18" t="str">
        <f>TEXT(Table2[[#This Row],[Order Date]],"mmm")</f>
        <v>Oct</v>
      </c>
      <c r="S999" s="18"/>
    </row>
    <row r="1000" spans="1:19" x14ac:dyDescent="0.2">
      <c r="A1000" s="1">
        <v>999</v>
      </c>
      <c r="B1000" s="1" t="s">
        <v>1857</v>
      </c>
      <c r="C1000" s="2">
        <v>43036</v>
      </c>
      <c r="D1000" s="1" t="s">
        <v>36</v>
      </c>
      <c r="E1000" s="1" t="s">
        <v>1858</v>
      </c>
      <c r="F1000" s="1" t="s">
        <v>19</v>
      </c>
      <c r="G1000" s="1" t="s">
        <v>20</v>
      </c>
      <c r="H1000" s="1" t="s">
        <v>21</v>
      </c>
      <c r="I1000" s="1" t="s">
        <v>22</v>
      </c>
      <c r="J1000" s="1" t="s">
        <v>46</v>
      </c>
      <c r="K1000" s="1" t="s">
        <v>1861</v>
      </c>
      <c r="L1000" s="17">
        <v>24.1</v>
      </c>
      <c r="M1000" s="1">
        <v>5</v>
      </c>
      <c r="N1000" s="1">
        <v>0</v>
      </c>
      <c r="O1000" s="17">
        <v>9.1580000000000013</v>
      </c>
      <c r="P1000" s="17">
        <f>('Work File (2)'!$L1000*'Work File (2)'!$M1000)*(1-'Work File (2)'!$N1000)</f>
        <v>120.5</v>
      </c>
      <c r="Q1000" s="1">
        <f>YEAR(Table2[[#This Row],[Order Date]])</f>
        <v>2017</v>
      </c>
      <c r="R1000" s="18" t="str">
        <f>TEXT(Table2[[#This Row],[Order Date]],"mmm")</f>
        <v>Oct</v>
      </c>
      <c r="S1000" s="18"/>
    </row>
    <row r="1001" spans="1:19" x14ac:dyDescent="0.2">
      <c r="A1001" s="1">
        <v>1000</v>
      </c>
      <c r="B1001" s="1" t="s">
        <v>1857</v>
      </c>
      <c r="C1001" s="2">
        <v>43036</v>
      </c>
      <c r="D1001" s="1" t="s">
        <v>36</v>
      </c>
      <c r="E1001" s="1" t="s">
        <v>1858</v>
      </c>
      <c r="F1001" s="1" t="s">
        <v>19</v>
      </c>
      <c r="G1001" s="1" t="s">
        <v>20</v>
      </c>
      <c r="H1001" s="1" t="s">
        <v>21</v>
      </c>
      <c r="I1001" s="1" t="s">
        <v>22</v>
      </c>
      <c r="J1001" s="1" t="s">
        <v>46</v>
      </c>
      <c r="K1001" s="1" t="s">
        <v>713</v>
      </c>
      <c r="L1001" s="17">
        <v>33.11</v>
      </c>
      <c r="M1001" s="1">
        <v>7</v>
      </c>
      <c r="N1001" s="1">
        <v>0</v>
      </c>
      <c r="O1001" s="17">
        <v>12.912900000000004</v>
      </c>
      <c r="P1001" s="17">
        <f>('Work File (2)'!$L1001*'Work File (2)'!$M1001)*(1-'Work File (2)'!$N1001)</f>
        <v>231.76999999999998</v>
      </c>
      <c r="Q1001" s="12">
        <f>YEAR(Table2[[#This Row],[Order Date]])</f>
        <v>2017</v>
      </c>
      <c r="R1001" s="18" t="str">
        <f>TEXT(Table2[[#This Row],[Order Date]],"mmm")</f>
        <v>Oct</v>
      </c>
      <c r="S1001" s="18"/>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Table</vt:lpstr>
      <vt:lpstr>Pivot Table</vt:lpstr>
      <vt:lpstr>Work File (2)</vt:lpstr>
    </vt:vector>
  </TitlesOfParts>
  <Company>MCIT EGYPT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2026-01-17T10:22:09Z</dcterms:created>
  <dcterms:modified xsi:type="dcterms:W3CDTF">2026-02-28T18:24:44Z</dcterms:modified>
</cp:coreProperties>
</file>